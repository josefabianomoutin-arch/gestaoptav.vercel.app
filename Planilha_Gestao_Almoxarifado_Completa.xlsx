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inel &amp; Indicadores" state="visible" r:id="rId4"/>
    <sheet sheetId="2" name="FORNECEDORES" state="visible" r:id="rId5"/>
    <sheet sheetId="3" name="CADASTRO_ITENS" state="visible" r:id="rId6"/>
    <sheet sheetId="4" name="MOVIMENTAÇÕES" state="visible" r:id="rId7"/>
    <sheet sheetId="5" name="CRONOGRAMA_ENTREGAS" state="visible" r:id="rId8"/>
    <sheet sheetId="6" name="IMPRESSÃO_ETIQUETAS" state="visible" r:id="rId9"/>
    <sheet sheetId="7" name="CONTROLE_VALIDADES" state="visible" r:id="rId10"/>
    <sheet sheetId="8" name="INSTRUÇÕES_USO" state="visible" r:id="rId11"/>
  </sheets>
  <calcPr calcId="171027"/>
</workbook>
</file>

<file path=xl/sharedStrings.xml><?xml version="1.0" encoding="utf-8"?>
<sst xmlns="http://schemas.openxmlformats.org/spreadsheetml/2006/main" count="756" uniqueCount="482">
  <si>
    <t>📊 SISTEMA DE GESTÃO DO ALMOXARIFADO - PAINEL GERAL DE CONTROLE</t>
  </si>
  <si>
    <t>Controle Unificado de Fornecedores, Itens, Movimentações, Cronograma de Entregas e Etiquetas (Sem anexos de arquivos)</t>
  </si>
  <si>
    <t>FORNECEDORES ATIVOS</t>
  </si>
  <si>
    <t>TOTAL DE ITENS NO CATÁLOGO</t>
  </si>
  <si>
    <t>VALOR TOTAL EM ESTOQUE</t>
  </si>
  <si>
    <t>⚠️ ITENS COM ESTOQUE BAIXO</t>
  </si>
  <si>
    <t>🚨 LOTES EM VALIDADE CRÍTICA</t>
  </si>
  <si>
    <t>🚚 ENTREGAS AGENDADAS</t>
  </si>
  <si>
    <t>📌 ESTRUTURA E FUNCIONAMENTO DAS ABAS DO ALMOXARIFADO</t>
  </si>
  <si>
    <t>1. FORNECEDORES</t>
  </si>
  <si>
    <t>Cadastro completo de fornecedores, produtores (PPAIS/PPL/Convencionais), contatos, dados bancários e contratos.</t>
  </si>
  <si>
    <t>2. CADASTRO_ITENS</t>
  </si>
  <si>
    <t>Catálogo de materiais e gêneros alimentícios, unidade de medida, estoques mínimo e cálculo automático do saldo e valor.</t>
  </si>
  <si>
    <t>3. MOVIMENTAÇÕES</t>
  </si>
  <si>
    <t>Livro de registro de Entradas e Saídas diárias, número de NF (sem anexo PDF), lotes, validades e conferente responsável.</t>
  </si>
  <si>
    <t>4. CRONOGRAMA_ENTREGAS</t>
  </si>
  <si>
    <t>Programação de entregas por dia da semana, fornecedor, quantidade prevista versus quantidade recebida e controle de saldos.</t>
  </si>
  <si>
    <t>5. IMPRESSÃO_ETIQUETAS</t>
  </si>
  <si>
    <t>Área formatada pronta para imprimir etiquetas de prateleira, caixas e paletes com código de barras, lote e validade.</t>
  </si>
  <si>
    <t>6. CONTROLE_VALIDADES</t>
  </si>
  <si>
    <t>Rastreabilidade de lotes com cálculo automático de dias restantes para o vencimento e alerta de risco por cores.</t>
  </si>
  <si>
    <t>7. INSTRUÇÕES_USO</t>
  </si>
  <si>
    <t>Manual passo a passo com explicações de fórmulas (PROCV, SOMASE, CONT.SE), atalhos e boas práticas de almoxarifado.</t>
  </si>
  <si>
    <t>CADASTRO GERAL DE FORNECEDORES E PRODUTORES (ALMOXARIFADO)</t>
  </si>
  <si>
    <t>Base de dados oficial para vinculação às entradas, notas fiscais e cronogramas de entrega.</t>
  </si>
  <si>
    <t>ID FORNECEDOR</t>
  </si>
  <si>
    <t>RAZÃO SOCIAL / NOME</t>
  </si>
  <si>
    <t>NOME FANTASIA / PROPRIEDADE</t>
  </si>
  <si>
    <t>CNPJ / CPF</t>
  </si>
  <si>
    <t>TIPO FORNECEDOR</t>
  </si>
  <si>
    <t>RAMO / CATEGORIA</t>
  </si>
  <si>
    <t>TELEFONE / WHATSAPP</t>
  </si>
  <si>
    <t>E-MAIL</t>
  </si>
  <si>
    <t>CIDADE / UF</t>
  </si>
  <si>
    <t>CONTRATO / ATA RP</t>
  </si>
  <si>
    <t>VIGÊNCIA ATÉ</t>
  </si>
  <si>
    <t>DADOS BANCÁRIOS / PIX</t>
  </si>
  <si>
    <t>DIA HABITUAL DE ENTREGA</t>
  </si>
  <si>
    <t>STATUS</t>
  </si>
  <si>
    <t>OBSERVAÇÕES</t>
  </si>
  <si>
    <t>FORN-001</t>
  </si>
  <si>
    <t>COOPERATIVA AGRICOLA FAMILIAR VALE VERDE</t>
  </si>
  <si>
    <t>COOP VALE VERDE</t>
  </si>
  <si>
    <t>12.345.678/0001-90</t>
  </si>
  <si>
    <t>PPAIS / Familiar</t>
  </si>
  <si>
    <t>Hortifrúti &amp; Legumes</t>
  </si>
  <si>
    <t>(14) 99876-1234</t>
  </si>
  <si>
    <t>contato@valeverde.coop.br</t>
  </si>
  <si>
    <t>Marília/SP</t>
  </si>
  <si>
    <t>ATA-RP 012/2026</t>
  </si>
  <si>
    <t>31/12/2026</t>
  </si>
  <si>
    <t>Banco do Brasil Ag 0123 CC 45678-9</t>
  </si>
  <si>
    <t>Terça e Quinta</t>
  </si>
  <si>
    <t>Ativo</t>
  </si>
  <si>
    <t>Entrega no período matutino até as 10h</t>
  </si>
  <si>
    <t>FORN-002</t>
  </si>
  <si>
    <t>FRIGORIFICO CENTRAL PAULISTA LTDA</t>
  </si>
  <si>
    <t>FRIGO CENTRAL</t>
  </si>
  <si>
    <t>23.456.789/0001-01</t>
  </si>
  <si>
    <t>Convencional</t>
  </si>
  <si>
    <t>Carnes &amp; Proteínas</t>
  </si>
  <si>
    <t>(14) 3456-7890</t>
  </si>
  <si>
    <t>vendas@frigocentral.com.br</t>
  </si>
  <si>
    <t>Bauru/SP</t>
  </si>
  <si>
    <t>CONTRATO 045/2025</t>
  </si>
  <si>
    <t>30/06/2026</t>
  </si>
  <si>
    <t>Bradesco Ag 4567 CC 12345-6</t>
  </si>
  <si>
    <t>Segunda e Quarta</t>
  </si>
  <si>
    <t>Caminhão refrigerado monitorado</t>
  </si>
  <si>
    <t>FORN-003</t>
  </si>
  <si>
    <t>DISTRIBUIDORA DE ALIMENTOS BOA MESA EIRELI</t>
  </si>
  <si>
    <t>BOA MESA ALIMENTOS</t>
  </si>
  <si>
    <t>34.567.890/0001-12</t>
  </si>
  <si>
    <t>Atacadista</t>
  </si>
  <si>
    <t>Estocáveis &amp; Secos</t>
  </si>
  <si>
    <t>(11) 3222-4455</t>
  </si>
  <si>
    <t>comercial@boamesa.com.br</t>
  </si>
  <si>
    <t>São Paulo/SP</t>
  </si>
  <si>
    <t>ATA-RP 008/2026</t>
  </si>
  <si>
    <t>Itaú Ag 7890 CC 98765-4</t>
  </si>
  <si>
    <t>Sexta-feira</t>
  </si>
  <si>
    <t>Entrega quinzenal de itens secos</t>
  </si>
  <si>
    <t>FORN-004</t>
  </si>
  <si>
    <t>PANIFICADORA E CONFEITARIA ESPERANCA LTDA</t>
  </si>
  <si>
    <t>PANIF. ESPERANÇA</t>
  </si>
  <si>
    <t>45.678.901/0001-23</t>
  </si>
  <si>
    <t>Panificação &amp; Pães</t>
  </si>
  <si>
    <t>(14) 98765-4321</t>
  </si>
  <si>
    <t>panificadora@esperanca.com</t>
  </si>
  <si>
    <t>Álvaro de Carvalho/SP</t>
  </si>
  <si>
    <t>CONTRATO 018/2026</t>
  </si>
  <si>
    <t>Caixa Ag 1234 CC 54321-0</t>
  </si>
  <si>
    <t>Diário (Seg a Sex)</t>
  </si>
  <si>
    <t>Entrega diária às 06h30</t>
  </si>
  <si>
    <t>FORN-005</t>
  </si>
  <si>
    <t>LATICINIOS COLINA DO SOL INDUSTRIA LTDA</t>
  </si>
  <si>
    <t>COLINA DO SOL</t>
  </si>
  <si>
    <t>56.789.012/0001-34</t>
  </si>
  <si>
    <t>Laticínios &amp; Derivados</t>
  </si>
  <si>
    <t>(16) 3344-5566</t>
  </si>
  <si>
    <t>pedidos@colinadosol.ind.br</t>
  </si>
  <si>
    <t>Araraquara/SP</t>
  </si>
  <si>
    <t>ATA-RP 021/2026</t>
  </si>
  <si>
    <t>31/10/2026</t>
  </si>
  <si>
    <t>Santander Ag 3210 CC 65432-1</t>
  </si>
  <si>
    <t>Quarta-feira</t>
  </si>
  <si>
    <t>Leite pasteurizado e queijos</t>
  </si>
  <si>
    <t>FORN-006</t>
  </si>
  <si>
    <t>PRODUTOR JOAO BATISTA DA SILVA</t>
  </si>
  <si>
    <t>SITIO SAO JOSE</t>
  </si>
  <si>
    <t>123.456.789-00</t>
  </si>
  <si>
    <t>PPL / Familiar</t>
  </si>
  <si>
    <t>Hortaliças &amp; Frutas</t>
  </si>
  <si>
    <t>(14) 99123-4567</t>
  </si>
  <si>
    <t>joao.sitiosaojose@email.com</t>
  </si>
  <si>
    <t>Garça/SP</t>
  </si>
  <si>
    <t>CHAMADA PÚBLICA 002/26</t>
  </si>
  <si>
    <t>Banco do Brasil Ag 0890 CC 22114-5</t>
  </si>
  <si>
    <t>Terça-feira</t>
  </si>
  <si>
    <t>Alface, couve, cenoura e mandioca</t>
  </si>
  <si>
    <t>FORN-007</t>
  </si>
  <si>
    <t>QUIMICA LIMPA FACIL PRODUTOS DE HIGIENE</t>
  </si>
  <si>
    <t>LIMPA FACIL</t>
  </si>
  <si>
    <t>67.890.123/0001-45</t>
  </si>
  <si>
    <t>Limpeza &amp; Descartáveis</t>
  </si>
  <si>
    <t>(11) 4004-9988</t>
  </si>
  <si>
    <t>sac@limpafacil.com.br</t>
  </si>
  <si>
    <t>Campinas/SP</t>
  </si>
  <si>
    <t>ATA-RP 005/2026</t>
  </si>
  <si>
    <t>Banco do Brasil Ag 4321 CC 88776-6</t>
  </si>
  <si>
    <t>Última quinta do mês</t>
  </si>
  <si>
    <t>Detergentes, água sanitária e sacos</t>
  </si>
  <si>
    <t>FORN-008</t>
  </si>
  <si>
    <t>M. S. EMBALAGENS E DESCARTAVEIS ME</t>
  </si>
  <si>
    <t>MS EMBALAGENS</t>
  </si>
  <si>
    <t>78.901.234/0001-56</t>
  </si>
  <si>
    <t>Descartáveis &amp; EPI</t>
  </si>
  <si>
    <t>(14) 3412-8899</t>
  </si>
  <si>
    <t>contato@msembalagens.com.br</t>
  </si>
  <si>
    <t>CONTRATO 031/2025</t>
  </si>
  <si>
    <t>15/08/2026</t>
  </si>
  <si>
    <t>Bradesco Ag 0099 CC 11223-4</t>
  </si>
  <si>
    <t>Quinta-feira</t>
  </si>
  <si>
    <t>Luvas, toucas e potes marmita</t>
  </si>
  <si>
    <t>CATÁLOGO DE ITENS E CONTROLE DE ESTOQUE AUTOMATIZADO</t>
  </si>
  <si>
    <t>Saldos calculados dinamicamente via SOMASE a partir dos registros da aba MOVIMENTAÇÕES.</t>
  </si>
  <si>
    <t>CÓD. ITEM</t>
  </si>
  <si>
    <t>CÓD. BARRAS / EAN</t>
  </si>
  <si>
    <t>DESCRIÇÃO DO ITEM</t>
  </si>
  <si>
    <t>CATEGORIA</t>
  </si>
  <si>
    <t>UNID.</t>
  </si>
  <si>
    <t>LOCALIZAÇÃO / PRATELEIRA</t>
  </si>
  <si>
    <t>ESTOQUE MÍNIMO</t>
  </si>
  <si>
    <t>ESTOQUE MÁXIMO</t>
  </si>
  <si>
    <t>PREÇO UNIT. (R$)</t>
  </si>
  <si>
    <t>TOTAL ENTRADAS</t>
  </si>
  <si>
    <t>TOTAL SAÍDAS</t>
  </si>
  <si>
    <t>SALDO ATUAL</t>
  </si>
  <si>
    <t>VALOR EM ESTOQUE (R$)</t>
  </si>
  <si>
    <t>STATUS DO ESTOQUE</t>
  </si>
  <si>
    <t>FORNECEDOR PADRÃO</t>
  </si>
  <si>
    <t>IT-001</t>
  </si>
  <si>
    <t>7891000100101</t>
  </si>
  <si>
    <t>ARROZ BRANCO TIPO 1 - PCT 5KG</t>
  </si>
  <si>
    <t>PCT</t>
  </si>
  <si>
    <t>GALPÃO A - CORREDOR 1 - PALETE 01</t>
  </si>
  <si>
    <t>IT-002</t>
  </si>
  <si>
    <t>7891000100202</t>
  </si>
  <si>
    <t>FEIJAO CARIOCA TIPO 1 - PCT 1KG</t>
  </si>
  <si>
    <t>GALPÃO A - CORREDOR 1 - PALETE 02</t>
  </si>
  <si>
    <t>DISTRIBUIDORA BOA MESA</t>
  </si>
  <si>
    <t>IT-003</t>
  </si>
  <si>
    <t>7891000100303</t>
  </si>
  <si>
    <t>OLEO DE SOJA REFINADO 900ML</t>
  </si>
  <si>
    <t>UN</t>
  </si>
  <si>
    <t>GALPÃO A - PRATELEIRA 03</t>
  </si>
  <si>
    <t>IT-004</t>
  </si>
  <si>
    <t>7891000100404</t>
  </si>
  <si>
    <t>ACUCAR CRISTAL - PCT 5KG</t>
  </si>
  <si>
    <t>GALPÃO A - CORREDOR 2 - PALETE 01</t>
  </si>
  <si>
    <t>IT-005</t>
  </si>
  <si>
    <t>7891000100505</t>
  </si>
  <si>
    <t>CAFE TORRADO E MOIDO - PCT 500G</t>
  </si>
  <si>
    <t>GALPÃO A - PRATELEIRA 04</t>
  </si>
  <si>
    <t>IT-006</t>
  </si>
  <si>
    <t>7892000200102</t>
  </si>
  <si>
    <t>CARNE BOVINA ACEM RESFRIADO</t>
  </si>
  <si>
    <t>KG</t>
  </si>
  <si>
    <t>CÂMARA FRIA 01 - CARNES</t>
  </si>
  <si>
    <t>FRIGORIFICO CENTRAL PAULISTA</t>
  </si>
  <si>
    <t>IT-007</t>
  </si>
  <si>
    <t>7892000200203</t>
  </si>
  <si>
    <t>PEITO DE FRANGO CONGELADO</t>
  </si>
  <si>
    <t>CÂMARA FRIA 02 - AVES</t>
  </si>
  <si>
    <t>IT-008</t>
  </si>
  <si>
    <t>7892000200304</t>
  </si>
  <si>
    <t>SALSICHA RESFRIADA</t>
  </si>
  <si>
    <t>IT-009</t>
  </si>
  <si>
    <t>7893000300103</t>
  </si>
  <si>
    <t>ALFACE CRESPA HIGIENIZADA</t>
  </si>
  <si>
    <t>CÂMARA DE VERDURAS 03</t>
  </si>
  <si>
    <t>SITIO SAO JOSE - JOAO SILVA</t>
  </si>
  <si>
    <t>IT-010</t>
  </si>
  <si>
    <t>7893000300204</t>
  </si>
  <si>
    <t>TOMATE LONGA VIDA</t>
  </si>
  <si>
    <t>IT-011</t>
  </si>
  <si>
    <t>7893000300305</t>
  </si>
  <si>
    <t>CENOURA COMUM EXTRA</t>
  </si>
  <si>
    <t>IT-012</t>
  </si>
  <si>
    <t>7893000300406</t>
  </si>
  <si>
    <t>BATATA INGLESA LAVADA</t>
  </si>
  <si>
    <t>GALPÃO B - DEPOSITO SECO</t>
  </si>
  <si>
    <t>IT-013</t>
  </si>
  <si>
    <t>7894000400104</t>
  </si>
  <si>
    <t>PAO FRANCES 50G CONGELADO/FRESCO</t>
  </si>
  <si>
    <t>ÁREA DE PREPARO / PANIFICAÇÃO</t>
  </si>
  <si>
    <t>PANIFICADORA ESPERANCA</t>
  </si>
  <si>
    <t>IT-014</t>
  </si>
  <si>
    <t>7895000500105</t>
  </si>
  <si>
    <t>LEITE INTEGRAL UHT 1L</t>
  </si>
  <si>
    <t>LT</t>
  </si>
  <si>
    <t>GALPÃO A - PRATELEIRA 02</t>
  </si>
  <si>
    <t>LATICINIOS COLINA DO SOL</t>
  </si>
  <si>
    <t>IT-015</t>
  </si>
  <si>
    <t>7897000700107</t>
  </si>
  <si>
    <t>DETERGENTE NEUTRO 5L CONCENTRADO</t>
  </si>
  <si>
    <t>GL</t>
  </si>
  <si>
    <t>ALMOXARIFADO DE LIMPEZA</t>
  </si>
  <si>
    <t>QUIMICA LIMPA FACIL</t>
  </si>
  <si>
    <t>IT-016</t>
  </si>
  <si>
    <t>7897000700208</t>
  </si>
  <si>
    <t>AGUA SANITARIA 5L (2.5% CLORO)</t>
  </si>
  <si>
    <t>IT-017</t>
  </si>
  <si>
    <t>7898000800108</t>
  </si>
  <si>
    <t>MARMITA DESCARTAVEL ALUMÍNIO 3 DIV</t>
  </si>
  <si>
    <t>CX</t>
  </si>
  <si>
    <t>GALPÃO B - PRATELEIRA 05</t>
  </si>
  <si>
    <t>IT-018</t>
  </si>
  <si>
    <t>7898000800209</t>
  </si>
  <si>
    <t>LUVA NITRILICA AZUL TAM G - CX 100</t>
  </si>
  <si>
    <t>ARMARIO DE EPI 01</t>
  </si>
  <si>
    <t>TOTAL GERAL</t>
  </si>
  <si>
    <t/>
  </si>
  <si>
    <t>LIVRO REGISTRO DE MOVIMENTAÇÕES DE ALMOXARIFADO (ENTRADAS E SAÍDAS)</t>
  </si>
  <si>
    <t>Registro operacional contínuo. Fórmulas automáticas de descrição e unidade via PROCV. Sem necessidade de anexo PDF de notas fiscais.</t>
  </si>
  <si>
    <t>ID MOV.</t>
  </si>
  <si>
    <t>DATA MOV.</t>
  </si>
  <si>
    <t>TIPO MOVIMENTO</t>
  </si>
  <si>
    <t>Nº NOTA FISCAL / REQ.</t>
  </si>
  <si>
    <t>FORNECEDOR / DESTINO</t>
  </si>
  <si>
    <t>Nº DO LOTE</t>
  </si>
  <si>
    <t>DATA DE VALIDADE</t>
  </si>
  <si>
    <t>QTD ENTRADA</t>
  </si>
  <si>
    <t>QTD SAÍDA</t>
  </si>
  <si>
    <t>VALOR TOTAL (R$)</t>
  </si>
  <si>
    <t>RESPONSÁVEL / CONFERENTE</t>
  </si>
  <si>
    <t>OBSERVAÇÕES DO RECEBIMENTO</t>
  </si>
  <si>
    <t>MOV-0001</t>
  </si>
  <si>
    <t>01/09/2026</t>
  </si>
  <si>
    <t>ENTRADA</t>
  </si>
  <si>
    <t>NF 10452</t>
  </si>
  <si>
    <t>LOTE-AR26-09</t>
  </si>
  <si>
    <t>01/03/2027</t>
  </si>
  <si>
    <t>Silva - Almoxarife</t>
  </si>
  <si>
    <t>Recebido em perfeito estado, sacos limpos e lacrados</t>
  </si>
  <si>
    <t>MOV-0002</t>
  </si>
  <si>
    <t>LOTE-FE26-08</t>
  </si>
  <si>
    <t>15/02/2027</t>
  </si>
  <si>
    <t>Embalagens a vácuo íntegras</t>
  </si>
  <si>
    <t>MOV-0003</t>
  </si>
  <si>
    <t>02/09/2026</t>
  </si>
  <si>
    <t>NF 88721</t>
  </si>
  <si>
    <t>LOTE-CAR260902</t>
  </si>
  <si>
    <t>12/09/2026</t>
  </si>
  <si>
    <t>Fabiano - Nutricionista</t>
  </si>
  <si>
    <t>Caminhão com temp. a 2.5ºC. SIF verificado</t>
  </si>
  <si>
    <t>MOV-0004</t>
  </si>
  <si>
    <t>LOTE-AVE260901</t>
  </si>
  <si>
    <t>30/11/2026</t>
  </si>
  <si>
    <t>Congelado a -14ºC. Embalagem primária intacta</t>
  </si>
  <si>
    <t>MOV-0005</t>
  </si>
  <si>
    <t>03/09/2026</t>
  </si>
  <si>
    <t>NF 3314</t>
  </si>
  <si>
    <t>LOTE-ALF260903</t>
  </si>
  <si>
    <t>08/09/2026</t>
  </si>
  <si>
    <t>Moutinho - Almoxarifado</t>
  </si>
  <si>
    <t>Hortaliças frescas recém-colhidas</t>
  </si>
  <si>
    <t>MOV-0006</t>
  </si>
  <si>
    <t>NF 10488</t>
  </si>
  <si>
    <t>LOTE-TOM260903</t>
  </si>
  <si>
    <t>15/09/2026</t>
  </si>
  <si>
    <t>Grau de maturação uniforme</t>
  </si>
  <si>
    <t>MOV-0007</t>
  </si>
  <si>
    <t>04/09/2026</t>
  </si>
  <si>
    <t>NF 55210</t>
  </si>
  <si>
    <t>LOTE-LEI260830</t>
  </si>
  <si>
    <t>30/12/2026</t>
  </si>
  <si>
    <t>Caixas com 12 unidades</t>
  </si>
  <si>
    <t>MOV-0008</t>
  </si>
  <si>
    <t>05/09/2026</t>
  </si>
  <si>
    <t>NF 9912</t>
  </si>
  <si>
    <t>LOTE-DET2608</t>
  </si>
  <si>
    <t>01/08/2028</t>
  </si>
  <si>
    <t>Costa - Segurança</t>
  </si>
  <si>
    <t>Galões 5L lacrados com ficha FISPQ</t>
  </si>
  <si>
    <t>MOV-0009</t>
  </si>
  <si>
    <t>NF 7741</t>
  </si>
  <si>
    <t>LOTE-MARM2608</t>
  </si>
  <si>
    <t>31/12/2030</t>
  </si>
  <si>
    <t>Caixas de 100 unidades cada</t>
  </si>
  <si>
    <t>MOV-0010</t>
  </si>
  <si>
    <t>SAÍDA</t>
  </si>
  <si>
    <t>REQ-012/26</t>
  </si>
  <si>
    <t>Cozinha Central - Almoço</t>
  </si>
  <si>
    <t>Dona Maria - Cozinheira</t>
  </si>
  <si>
    <t>Requisição diária de preparo do almoço</t>
  </si>
  <si>
    <t>MOV-0011</t>
  </si>
  <si>
    <t>Preparo do feijão diário</t>
  </si>
  <si>
    <t>MOV-0012</t>
  </si>
  <si>
    <t>REQ-013/26</t>
  </si>
  <si>
    <t>Carne cozida com legumes</t>
  </si>
  <si>
    <t>MOV-0013</t>
  </si>
  <si>
    <t>REQ-014/26</t>
  </si>
  <si>
    <t>Cozinha Central - Saladas</t>
  </si>
  <si>
    <t>Salada do almoço e jantar</t>
  </si>
  <si>
    <t>MOV-0014</t>
  </si>
  <si>
    <t>09/09/2026</t>
  </si>
  <si>
    <t>REQ-015/26</t>
  </si>
  <si>
    <t>Cozinha Central - Café Manhã</t>
  </si>
  <si>
    <t>Café da manhã dos funcionários e internos</t>
  </si>
  <si>
    <t>MOV-0015</t>
  </si>
  <si>
    <t>REQ-016/26</t>
  </si>
  <si>
    <t>Setor de Higienização e Limpeza</t>
  </si>
  <si>
    <t>Zeladoria Geral</t>
  </si>
  <si>
    <t>Limpeza dos refeitórios e corredores</t>
  </si>
  <si>
    <t>MOV-0016</t>
  </si>
  <si>
    <t>10/09/2026</t>
  </si>
  <si>
    <t>REQ-017/26</t>
  </si>
  <si>
    <t>Setor de Montagem de Marmitas</t>
  </si>
  <si>
    <t>Equipe de Montagem</t>
  </si>
  <si>
    <t>Fornecimento para montagem diária</t>
  </si>
  <si>
    <t>CRONOGRAMA DE ENTREGAS E RECEBIMENTO DE GÊNEROS (ALMOXARIFADO)</t>
  </si>
  <si>
    <t>Planejamento de chegadas diárias e semanais para evitar sobrecarga de recebimento e garantir rastreabilidade.</t>
  </si>
  <si>
    <t>ID AGD.</t>
  </si>
  <si>
    <t>DATA PREVISTA</t>
  </si>
  <si>
    <t>DIA SEMANA</t>
  </si>
  <si>
    <t>TURNO / HORÁRIO</t>
  </si>
  <si>
    <t>FORNECEDOR</t>
  </si>
  <si>
    <t>QTD PREVISTA</t>
  </si>
  <si>
    <t>QTD RECEBIDA</t>
  </si>
  <si>
    <t>SALDO A RECEBER</t>
  </si>
  <si>
    <t>STATUS DA ENTREGA</t>
  </si>
  <si>
    <t>Nº NF RECEBIDA</t>
  </si>
  <si>
    <t>CONFERENTE RESPONSÁVEL</t>
  </si>
  <si>
    <t>OBSERVAÇÕES DA CARGA</t>
  </si>
  <si>
    <t>AGD-001</t>
  </si>
  <si>
    <t>Manhã (07h30 - 09h00)</t>
  </si>
  <si>
    <t>Entregue Total</t>
  </si>
  <si>
    <t>NF 10520</t>
  </si>
  <si>
    <t>Carga conferida e descarregada sem avarias</t>
  </si>
  <si>
    <t>AGD-002</t>
  </si>
  <si>
    <t>Manhã (09h00 - 10h30)</t>
  </si>
  <si>
    <t>NF 3328</t>
  </si>
  <si>
    <t>Verduras colhidas pela manhã</t>
  </si>
  <si>
    <t>AGD-003</t>
  </si>
  <si>
    <t>16/09/2026</t>
  </si>
  <si>
    <t>Manhã (08h00 - 10h00)</t>
  </si>
  <si>
    <t>NF 88910</t>
  </si>
  <si>
    <t>Temperatura do caminhão aferida em 3ºC</t>
  </si>
  <si>
    <t>AGD-004</t>
  </si>
  <si>
    <t>Tarde (13h30 - 15h00)</t>
  </si>
  <si>
    <t>NF 55420</t>
  </si>
  <si>
    <t>Leite com validade superior a 90 dias</t>
  </si>
  <si>
    <t>AGD-005</t>
  </si>
  <si>
    <t>21/09/2026</t>
  </si>
  <si>
    <t>Segunda-feira</t>
  </si>
  <si>
    <t>Manhã (07h00 - 08h30)</t>
  </si>
  <si>
    <t>NF 1205</t>
  </si>
  <si>
    <t>Dona Maria - Cozinha</t>
  </si>
  <si>
    <t>Pães entregues aquecidos e frescos</t>
  </si>
  <si>
    <t>AGD-006</t>
  </si>
  <si>
    <t>22/09/2026</t>
  </si>
  <si>
    <t>Manhã (08h30 - 10h00)</t>
  </si>
  <si>
    <t>Agendada</t>
  </si>
  <si>
    <t>Aguardando</t>
  </si>
  <si>
    <t>Caminhão com placa prevista ABC-1234</t>
  </si>
  <si>
    <t>AGD-007</t>
  </si>
  <si>
    <t>23/09/2026</t>
  </si>
  <si>
    <t>Câmara fria 02 higienizada e pronta</t>
  </si>
  <si>
    <t>AGD-008</t>
  </si>
  <si>
    <t>24/09/2026</t>
  </si>
  <si>
    <t>Tarde (14h00 - 16h00)</t>
  </si>
  <si>
    <t>Descarregamento exclusivo no depósito externo</t>
  </si>
  <si>
    <t>AGD-009</t>
  </si>
  <si>
    <t>25/09/2026</t>
  </si>
  <si>
    <t>Manhã (09h00 - 11h00)</t>
  </si>
  <si>
    <t>Remessa programada de óleo de soja</t>
  </si>
  <si>
    <t>🏷️ CENTRAL DE IMPRESSÃO DE ETIQUETAS DO ALMOXARIFADO</t>
  </si>
  <si>
    <t>Como Usar: Digite o Código do Item na célula de controle abaixo para carregar automaticamente ou utilize os modelos pré-configurados prontos para impressão (Ctrl + P).</t>
  </si>
  <si>
    <t>SELECIONE O CÓDIGO DO ITEM:</t>
  </si>
  <si>
    <t>DESCRIÇÃO:</t>
  </si>
  <si>
    <t>ALMOXARIFADO CENTRAL • CONTROLE DE QUALIDADE</t>
  </si>
  <si>
    <t>CÓD: IT-001</t>
  </si>
  <si>
    <t>UNID: PCT 5KG</t>
  </si>
  <si>
    <t>CÓD: IT-002</t>
  </si>
  <si>
    <t>UNID: PCT 1KG</t>
  </si>
  <si>
    <t>LOTE: LOTE-AR26-09</t>
  </si>
  <si>
    <t>ENTRADA: 01/09/2026</t>
  </si>
  <si>
    <t>LOTE: LOTE-FE26-08</t>
  </si>
  <si>
    <t>VALIDADE: 01/03/2027</t>
  </si>
  <si>
    <t>VALIDADE: 15/02/2027</t>
  </si>
  <si>
    <t>|||| ||||| |||| |||||||| ||||||| 7891000100101</t>
  </si>
  <si>
    <t>|||| ||||| |||| |||||||| ||||||| 7891000100202</t>
  </si>
  <si>
    <t>FORN: COOP VALE VERDE | CONF: Silva</t>
  </si>
  <si>
    <t>CÓD: IT-006</t>
  </si>
  <si>
    <t>UNID: KG</t>
  </si>
  <si>
    <t>CÓD: IT-007</t>
  </si>
  <si>
    <t>LOTE: LOTE-CAR260902</t>
  </si>
  <si>
    <t>ENTRADA: 02/09/2026</t>
  </si>
  <si>
    <t>LOTE: LOTE-AVE260901</t>
  </si>
  <si>
    <t>VALIDADE: 12/09/2026</t>
  </si>
  <si>
    <t>VALIDADE: 30/11/2026</t>
  </si>
  <si>
    <t>|||| ||||| |||| |||||||| ||||||| 7892000200102</t>
  </si>
  <si>
    <t>|||| ||||| |||| |||||||| ||||||| 7892000200203</t>
  </si>
  <si>
    <t>FORN: FRIGO CENTRAL | CONF: Fabiano</t>
  </si>
  <si>
    <t>CÓD: IT-014</t>
  </si>
  <si>
    <t>UNID: LT</t>
  </si>
  <si>
    <t>CÓD: IT-015</t>
  </si>
  <si>
    <t>UNID: GL 5L</t>
  </si>
  <si>
    <t>LOTE: LOTE-LEI260830</t>
  </si>
  <si>
    <t>ENTRADA: 04/09/2026</t>
  </si>
  <si>
    <t>LOTE: LOTE-DET2608</t>
  </si>
  <si>
    <t>ENTRADA: 05/09/2026</t>
  </si>
  <si>
    <t>VALIDADE: 30/12/2026</t>
  </si>
  <si>
    <t>VALIDADE: 01/08/2028</t>
  </si>
  <si>
    <t>|||| ||||| |||| |||||||| ||||||| 7895000500105</t>
  </si>
  <si>
    <t>|||| ||||| |||| |||||||| ||||||| 7897000700107</t>
  </si>
  <si>
    <t>FORN: COLINA DO SOL | CONF: Silva</t>
  </si>
  <si>
    <t>FORN: LIMPA FACIL | CONF: Costa</t>
  </si>
  <si>
    <t>PAINEL DE CONTROLE DE VALIDADES E RASTREABILIDADE DE LOTES</t>
  </si>
  <si>
    <t>Cálculo automático de dias para vencer baseado na data atual. Alertas automáticos para evitar perdas e desperdícios.</t>
  </si>
  <si>
    <t>LOCAL DE ARMAZENAGEM</t>
  </si>
  <si>
    <t>DATA ENTRADA</t>
  </si>
  <si>
    <t>DATA VALIDADE</t>
  </si>
  <si>
    <t>QTD DO LOTE</t>
  </si>
  <si>
    <t>DIAS RESTANTES</t>
  </si>
  <si>
    <t>CLASSIFICAÇÃO DE RISCO</t>
  </si>
  <si>
    <t>AÇÃO RECOMENDADA</t>
  </si>
  <si>
    <t>28/09/2026</t>
  </si>
  <si>
    <t>Consumo imediato na salada do almoço</t>
  </si>
  <si>
    <t>05/10/2026</t>
  </si>
  <si>
    <t>Distribuir prioritariamente nos próximos 7 dias</t>
  </si>
  <si>
    <t>CÂMARA FRIA 01</t>
  </si>
  <si>
    <t>10/10/2026</t>
  </si>
  <si>
    <t>Utilizar no cardápio da semana corrente</t>
  </si>
  <si>
    <t>CÂMARA FRIA 02</t>
  </si>
  <si>
    <t>Estoque seguro congelado. Seguir rotação PEPS</t>
  </si>
  <si>
    <t>GALPÃO A - PRAT 02</t>
  </si>
  <si>
    <t>Consumo programado conforme cardápio matutino</t>
  </si>
  <si>
    <t>GALPÃO A - PALETE 02</t>
  </si>
  <si>
    <t>Gênero seco estocado adequadamente em paletes</t>
  </si>
  <si>
    <t>GALPÃO A - PALETE 01</t>
  </si>
  <si>
    <t>Gênero seco com amplo prazo de conservação</t>
  </si>
  <si>
    <t>ALMOXARIFADO LIMPEZA</t>
  </si>
  <si>
    <t>Material de limpeza e saneantes</t>
  </si>
  <si>
    <t>📖 MANUAL DE OPERAÇÃO E GUIA DE FUNCIONAMENTO DO ALMOXARIFADO</t>
  </si>
  <si>
    <t>1. OBJETIVO DA PLANILHA</t>
  </si>
  <si>
    <t>Esta planilha foi desenvolvida sob medida para gerenciar todas as operações essenciais do almoxarifado de forma independente no Excel, LibreOffice ou Google Planilhas. Contém fórmulas automáticas para evitar digitação duplicada e simplificar o dia a dia.</t>
  </si>
  <si>
    <t>2. CADASTRO DE FORNECEDORES</t>
  </si>
  <si>
    <t>Aba "FORNECEDORES": Cadastre todos os produtores da agricultura familiar (PPAIS/PPL), atacadistas e distribuidores convencionais com seus respectivos dados bancários, telefones e termos contratuais.</t>
  </si>
  <si>
    <t>3. CADASTRO DE ITENS</t>
  </si>
  <si>
    <t>Aba "CADASTRO_ITENS": Insira o código único do item (ex: IT-001), descrição e ponto de estoque mínimo. Não altere as colunas "Total Entradas", "Total Saídas", "Saldo Atual" e "Status", pois são calculadas automaticamente com a fórmula SOMASE.</t>
  </si>
  <si>
    <t>4. LANÇAMENTO DE MOVIMENTAÇÕES</t>
  </si>
  <si>
    <t>Aba "MOVIMENTAÇÕES": Cada vez que uma mercadoria entrar ou sair, crie uma linha indicando o Tipo (ENTRADA ou SAÍDA) e o Código do Item. A descrição e a unidade de medida são preenchidas automaticamente via PROCV. O número da Nota Fiscal é registrado em campo textual limpo, sem necessidade de carregar anexos em PDF.</t>
  </si>
  <si>
    <t>5. CRONOGRAMA DE ENTREGAS</t>
  </si>
  <si>
    <t>Aba "CRONOGRAMA_ENTREGAS": Utilize esta aba para planejar os dias e horários de chegada de fornecedores. Ao receber a mercadoria, informe a Quantidade Recebida para apurar o saldo restante e atualizar o status.</t>
  </si>
  <si>
    <t>6. IMPRESSÃO DE ETIQUETAS</t>
  </si>
  <si>
    <t>Aba "IMPRESSÃO_ETIQUETAS": Aba configurada para impressão direta em papel A4 comum ou formulário adesivo (Pressione Ctrl + P). Os blocos já contêm layout pronto de rastreabilidade (Item, Lote, Entrada, Validade e Código de Barras).</t>
  </si>
  <si>
    <t>7. CONTROLE DE VALIDADES &amp; PEPS</t>
  </si>
  <si>
    <t>Aba "CONTROLE_VALIDADES": Registre os lotes recebidos para monitorar o prazo de validade em dias com alertas visuais. Pratique sempre a regra PEPS (Primeiro que Entra, Primeiro que Sai) para evitar desperdícios.</t>
  </si>
  <si>
    <t>8. SEM ANEXO DE PDF DE NF</t>
  </si>
  <si>
    <t>Conforme solicitado, o sistema não exige nem contém botões para upload ou anexo de arquivos PDF de notas fiscais, mantendo a planilha leve, rápida e compatível com qualquer computador ou servidor.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</si>
</sst>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31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FFFFFF"/>
      <sz val="11"/>
      <name val="Segoe UI"/>
    </font>
    <font>
      <b/>
      <color rgb="1E3A8A"/>
      <sz val="18"/>
      <name val="Segoe UI"/>
    </font>
    <font>
      <b/>
      <color rgb="0F766E"/>
      <sz val="18"/>
      <name val="Segoe UI"/>
    </font>
    <font>
      <b/>
      <color rgb="1E3A8A"/>
      <sz val="16"/>
      <name val="Segoe UI"/>
    </font>
    <font>
      <b/>
      <color rgb="D97706"/>
      <sz val="18"/>
      <name val="Segoe UI"/>
    </font>
    <font>
      <b/>
      <color rgb="DC2626"/>
      <sz val="18"/>
      <name val="Segoe UI"/>
    </font>
    <font>
      <b/>
      <color rgb="0284C7"/>
      <sz val="18"/>
      <name val="Segoe UI"/>
    </font>
    <font>
      <b/>
      <color rgb="1E3A8A"/>
      <sz val="10"/>
      <name val="Segoe UI"/>
    </font>
    <font>
      <color rgb="0F172A"/>
      <sz val="10"/>
      <name val="Segoe UI"/>
    </font>
    <font>
      <b/>
      <color rgb="FFFFFF"/>
      <sz val="14"/>
      <name val="Segoe UI"/>
    </font>
    <font>
      <i/>
      <color rgb="475569"/>
      <sz val="9"/>
      <name val="Segoe UI"/>
    </font>
    <font>
      <sz val="10"/>
      <name val="Segoe UI"/>
    </font>
    <font>
      <b/>
      <sz val="10"/>
      <name val="Segoe UI"/>
    </font>
    <font>
      <b/>
      <color rgb="FFFFFF"/>
      <sz val="10"/>
      <name val="Segoe UI"/>
    </font>
    <font>
      <b/>
      <color rgb="15803D"/>
      <sz val="10"/>
      <name val="Segoe UI"/>
    </font>
    <font>
      <b/>
      <color rgb="B91C1C"/>
      <sz val="10"/>
      <name val="Segoe UI"/>
    </font>
    <font>
      <b/>
      <color rgb="D97706"/>
      <sz val="10"/>
      <name val="Segoe UI"/>
    </font>
    <font>
      <b/>
      <color rgb="4338CA"/>
      <sz val="10"/>
      <name val="Segoe UI"/>
    </font>
    <font>
      <b/>
      <color rgb="FFFFFF"/>
      <sz val="12"/>
      <name val="Segoe UI"/>
    </font>
    <font>
      <b/>
      <color rgb="475569"/>
      <sz val="10"/>
      <name val="Segoe UI"/>
    </font>
    <font>
      <b/>
      <color rgb="1E3A8A"/>
      <sz val="11"/>
      <name val="Segoe UI"/>
    </font>
    <font>
      <b/>
      <color rgb="FFFFFF"/>
      <sz val="8"/>
      <name val="Segoe UI"/>
    </font>
    <font>
      <b/>
      <color rgb="0F172A"/>
      <sz val="11"/>
      <name val="Segoe UI"/>
    </font>
    <font>
      <b/>
      <sz val="9"/>
      <name val="Segoe UI"/>
    </font>
    <font>
      <sz val="9"/>
      <name val="Segoe UI"/>
    </font>
    <font>
      <b/>
      <color rgb="DC2626"/>
      <sz val="12"/>
      <name val="Segoe UI"/>
    </font>
    <font>
      <b/>
      <color rgb="1E293B"/>
      <sz val="9"/>
      <name val="Courier New"/>
    </font>
    <font>
      <i/>
      <color rgb="475569"/>
      <sz val="8"/>
      <name val="Segoe UI"/>
    </font>
  </fonts>
  <fills count="22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0284C7"/>
      </patternFill>
    </fill>
    <fill>
      <patternFill patternType="solid">
        <fgColor rgb="EFF6FF"/>
      </patternFill>
    </fill>
    <fill>
      <patternFill patternType="solid">
        <fgColor rgb="0F766E"/>
      </patternFill>
    </fill>
    <fill>
      <patternFill patternType="solid">
        <fgColor rgb="F0FDF4"/>
      </patternFill>
    </fill>
    <fill>
      <patternFill patternType="solid">
        <fgColor rgb="D97706"/>
      </patternFill>
    </fill>
    <fill>
      <patternFill patternType="solid">
        <fgColor rgb="FFFBEB"/>
      </patternFill>
    </fill>
    <fill>
      <patternFill patternType="solid">
        <fgColor rgb="DC2626"/>
      </patternFill>
    </fill>
    <fill>
      <patternFill patternType="solid">
        <fgColor rgb="FEF2F2"/>
      </patternFill>
    </fill>
    <fill>
      <patternFill patternType="solid">
        <fgColor rgb="F0F9FF"/>
      </patternFill>
    </fill>
    <fill>
      <patternFill patternType="solid">
        <fgColor rgb="334155"/>
      </patternFill>
    </fill>
    <fill>
      <patternFill patternType="solid">
        <fgColor auto="1"/>
      </patternFill>
    </fill>
    <fill>
      <patternFill patternType="solid">
        <fgColor rgb="F8FAFC"/>
      </patternFill>
    </fill>
    <fill>
      <patternFill patternType="solid">
        <fgColor rgb="4338CA"/>
      </patternFill>
    </fill>
    <fill>
      <patternFill patternType="solid">
        <fgColor rgb="EEF2FF"/>
      </patternFill>
    </fill>
    <fill>
      <patternFill patternType="solid">
        <fgColor rgb="1E1B4B"/>
      </patternFill>
    </fill>
    <fill>
      <patternFill patternType="solid">
        <fgColor rgb="E0E7FF"/>
      </patternFill>
    </fill>
    <fill>
      <patternFill patternType="solid">
        <fgColor rgb="1E293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medium">
        <color rgb="1E293B"/>
      </left>
      <right style="medium">
        <color rgb="1E293B"/>
      </right>
      <top style="medium">
        <color rgb="1E293B"/>
      </top>
      <bottom style="medium">
        <color rgb="1E293B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 indent="1"/>
    </xf>
    <xf numFmtId="0" fontId="14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right" vertical="center"/>
    </xf>
    <xf numFmtId="164" fontId="14" fillId="15" borderId="1" xfId="0" applyNumberFormat="1" applyFont="1" applyFill="1" applyBorder="1" applyAlignment="1">
      <alignment horizontal="right" vertical="center"/>
    </xf>
    <xf numFmtId="0" fontId="15" fillId="15" borderId="1" xfId="0" applyFont="1" applyFill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right" vertical="center"/>
    </xf>
    <xf numFmtId="164" fontId="16" fillId="6" borderId="1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164" fontId="15" fillId="15" borderId="1" xfId="0" applyNumberFormat="1" applyFont="1" applyFill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1" fillId="18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3" fillId="19" borderId="1" xfId="0" applyFont="1" applyFill="1" applyBorder="1" applyAlignment="1">
      <alignment horizontal="left" vertical="center" indent="1"/>
    </xf>
    <xf numFmtId="0" fontId="24" fillId="20" borderId="2" xfId="0" applyFont="1" applyFill="1" applyBorder="1" applyAlignment="1">
      <alignment horizontal="center" vertical="center"/>
    </xf>
    <xf numFmtId="0" fontId="25" fillId="15" borderId="2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11" borderId="2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23" fillId="14" borderId="1" xfId="0" applyFont="1" applyFill="1" applyBorder="1" applyAlignment="1">
      <alignment horizontal="left" vertical="top"/>
    </xf>
    <xf numFmtId="0" fontId="11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B2:I1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18" customWidth="1"/>
    <col min="4" max="4" width="5" customWidth="1"/>
    <col min="5" max="5" width="28" customWidth="1"/>
    <col min="6" max="6" width="18" customWidth="1"/>
    <col min="7" max="7" width="5" customWidth="1"/>
    <col min="8" max="8" width="32" customWidth="1"/>
    <col min="9" max="9" width="20" customWidth="1"/>
  </cols>
  <sheetData>
    <row r="2" ht="42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24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5" ht="36" customHeight="1" spans="2:9" x14ac:dyDescent="0.25">
      <c r="B5" s="3" t="s">
        <v>2</v>
      </c>
      <c r="C5" s="4">
        <f>COUNTIF(FORNECEDORES!N4:N100, "Ativo")</f>
      </c>
      <c r="E5" s="5" t="s">
        <v>3</v>
      </c>
      <c r="F5" s="6">
        <f>COUNTA(CADASTRO_ITENS!A4:A100)</f>
      </c>
      <c r="H5" s="7" t="s">
        <v>4</v>
      </c>
      <c r="I5" s="8">
        <f>SUM(CADASTRO_ITENS!M4:M100)</f>
      </c>
    </row>
    <row r="7" ht="36" customHeight="1" spans="2:9" x14ac:dyDescent="0.25">
      <c r="B7" s="9" t="s">
        <v>5</v>
      </c>
      <c r="C7" s="10">
        <f>COUNTIF(CADASTRO_ITENS!N4:N100, "*BAIXO*")</f>
      </c>
      <c r="E7" s="11" t="s">
        <v>6</v>
      </c>
      <c r="F7" s="12">
        <f>COUNTIF(CONTROLE_VALIDADES!J4:J100, "*CRÍTICO*") + COUNTIF(CONTROLE_VALIDADES!J4:J100, "*VENCIDO*")</f>
      </c>
      <c r="H7" s="3" t="s">
        <v>7</v>
      </c>
      <c r="I7" s="13">
        <f>COUNTIF(CRONOGRAMA_ENTREGAS!K4:K100, "*Agendada*")</f>
      </c>
    </row>
    <row r="9" ht="28" customHeight="1" spans="2:9" x14ac:dyDescent="0.25">
      <c r="B9" s="14" t="s">
        <v>8</v>
      </c>
      <c r="C9"/>
      <c r="D9"/>
      <c r="E9"/>
      <c r="F9"/>
      <c r="G9"/>
      <c r="H9"/>
      <c r="I9"/>
    </row>
    <row r="10" ht="24" customHeight="1" spans="2:9" x14ac:dyDescent="0.25">
      <c r="B10" s="15" t="s">
        <v>9</v>
      </c>
      <c r="C10" s="16" t="s">
        <v>10</v>
      </c>
      <c r="D10"/>
      <c r="E10"/>
      <c r="F10"/>
      <c r="G10"/>
      <c r="H10"/>
      <c r="I10"/>
    </row>
    <row r="11" ht="24" customHeight="1" spans="2:9" x14ac:dyDescent="0.25">
      <c r="B11" s="15" t="s">
        <v>11</v>
      </c>
      <c r="C11" s="16" t="s">
        <v>12</v>
      </c>
      <c r="D11"/>
      <c r="E11"/>
      <c r="F11"/>
      <c r="G11"/>
      <c r="H11"/>
      <c r="I11"/>
    </row>
    <row r="12" ht="24" customHeight="1" spans="2:9" x14ac:dyDescent="0.25">
      <c r="B12" s="15" t="s">
        <v>13</v>
      </c>
      <c r="C12" s="16" t="s">
        <v>14</v>
      </c>
      <c r="D12"/>
      <c r="E12"/>
      <c r="F12"/>
      <c r="G12"/>
      <c r="H12"/>
      <c r="I12"/>
    </row>
    <row r="13" ht="24" customHeight="1" spans="2:9" x14ac:dyDescent="0.25">
      <c r="B13" s="15" t="s">
        <v>15</v>
      </c>
      <c r="C13" s="16" t="s">
        <v>16</v>
      </c>
      <c r="D13"/>
      <c r="E13"/>
      <c r="F13"/>
      <c r="G13"/>
      <c r="H13"/>
      <c r="I13"/>
    </row>
    <row r="14" ht="24" customHeight="1" spans="2:9" x14ac:dyDescent="0.25">
      <c r="B14" s="15" t="s">
        <v>17</v>
      </c>
      <c r="C14" s="16" t="s">
        <v>18</v>
      </c>
      <c r="D14"/>
      <c r="E14"/>
      <c r="F14"/>
      <c r="G14"/>
      <c r="H14"/>
      <c r="I14"/>
    </row>
    <row r="15" ht="24" customHeight="1" spans="2:9" x14ac:dyDescent="0.25">
      <c r="B15" s="15" t="s">
        <v>19</v>
      </c>
      <c r="C15" s="16" t="s">
        <v>20</v>
      </c>
      <c r="D15"/>
      <c r="E15"/>
      <c r="F15"/>
      <c r="G15"/>
      <c r="H15"/>
      <c r="I15"/>
    </row>
    <row r="16" ht="24" customHeight="1" spans="2:9" x14ac:dyDescent="0.25">
      <c r="B16" s="15" t="s">
        <v>21</v>
      </c>
      <c r="C16" s="16" t="s">
        <v>22</v>
      </c>
      <c r="D16"/>
      <c r="E16"/>
      <c r="F16"/>
      <c r="G16"/>
      <c r="H16"/>
      <c r="I16"/>
    </row>
  </sheetData>
  <mergeCells count="10">
    <mergeCell ref="B2:I2"/>
    <mergeCell ref="B3:I3"/>
    <mergeCell ref="B9:I9"/>
    <mergeCell ref="C10:I10"/>
    <mergeCell ref="C11:I11"/>
    <mergeCell ref="C12:I12"/>
    <mergeCell ref="C13:I13"/>
    <mergeCell ref="C14:I14"/>
    <mergeCell ref="C15:I15"/>
    <mergeCell ref="C16:I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O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28" customWidth="1"/>
    <col min="4" max="4" width="20" customWidth="1"/>
    <col min="5" max="5" width="22" customWidth="1"/>
    <col min="6" max="6" width="24" customWidth="1"/>
    <col min="7" max="7" width="20" customWidth="1"/>
    <col min="8" max="8" width="28" customWidth="1"/>
    <col min="9" max="9" width="20" customWidth="1"/>
    <col min="10" max="10" width="22" customWidth="1"/>
    <col min="11" max="11" width="16" customWidth="1"/>
    <col min="12" max="12" width="30" customWidth="1"/>
    <col min="13" max="13" width="22" customWidth="1"/>
    <col min="14" max="14" width="14" customWidth="1"/>
    <col min="15" max="15" width="32" customWidth="1"/>
  </cols>
  <sheetData>
    <row r="1" ht="34" customHeight="1" spans="1:15" x14ac:dyDescent="0.25">
      <c r="A1" s="17" t="s">
        <v>23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20" customHeight="1" spans="1:15" x14ac:dyDescent="0.25">
      <c r="A2" s="18" t="s">
        <v>24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ht="28" customHeight="1" spans="1:15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</row>
    <row r="4" ht="22" customHeight="1" spans="1:15" x14ac:dyDescent="0.25">
      <c r="A4" s="19" t="s">
        <v>40</v>
      </c>
      <c r="B4" s="20" t="s">
        <v>41</v>
      </c>
      <c r="C4" s="20" t="s">
        <v>42</v>
      </c>
      <c r="D4" s="19" t="s">
        <v>43</v>
      </c>
      <c r="E4" s="20" t="s">
        <v>44</v>
      </c>
      <c r="F4" s="20" t="s">
        <v>45</v>
      </c>
      <c r="G4" s="20" t="s">
        <v>46</v>
      </c>
      <c r="H4" s="20" t="s">
        <v>47</v>
      </c>
      <c r="I4" s="20" t="s">
        <v>48</v>
      </c>
      <c r="J4" s="20" t="s">
        <v>49</v>
      </c>
      <c r="K4" s="19" t="s">
        <v>50</v>
      </c>
      <c r="L4" s="20" t="s">
        <v>51</v>
      </c>
      <c r="M4" s="20" t="s">
        <v>52</v>
      </c>
      <c r="N4" s="19" t="s">
        <v>53</v>
      </c>
      <c r="O4" s="20" t="s">
        <v>54</v>
      </c>
    </row>
    <row r="5" ht="22" customHeight="1" spans="1:15" x14ac:dyDescent="0.25">
      <c r="A5" s="21" t="s">
        <v>55</v>
      </c>
      <c r="B5" s="22" t="s">
        <v>56</v>
      </c>
      <c r="C5" s="22" t="s">
        <v>57</v>
      </c>
      <c r="D5" s="21" t="s">
        <v>58</v>
      </c>
      <c r="E5" s="22" t="s">
        <v>59</v>
      </c>
      <c r="F5" s="22" t="s">
        <v>60</v>
      </c>
      <c r="G5" s="22" t="s">
        <v>61</v>
      </c>
      <c r="H5" s="22" t="s">
        <v>62</v>
      </c>
      <c r="I5" s="22" t="s">
        <v>63</v>
      </c>
      <c r="J5" s="22" t="s">
        <v>64</v>
      </c>
      <c r="K5" s="21" t="s">
        <v>65</v>
      </c>
      <c r="L5" s="22" t="s">
        <v>66</v>
      </c>
      <c r="M5" s="22" t="s">
        <v>67</v>
      </c>
      <c r="N5" s="21" t="s">
        <v>53</v>
      </c>
      <c r="O5" s="22" t="s">
        <v>68</v>
      </c>
    </row>
    <row r="6" ht="22" customHeight="1" spans="1:15" x14ac:dyDescent="0.25">
      <c r="A6" s="19" t="s">
        <v>69</v>
      </c>
      <c r="B6" s="20" t="s">
        <v>70</v>
      </c>
      <c r="C6" s="20" t="s">
        <v>71</v>
      </c>
      <c r="D6" s="19" t="s">
        <v>72</v>
      </c>
      <c r="E6" s="20" t="s">
        <v>73</v>
      </c>
      <c r="F6" s="20" t="s">
        <v>74</v>
      </c>
      <c r="G6" s="20" t="s">
        <v>75</v>
      </c>
      <c r="H6" s="20" t="s">
        <v>76</v>
      </c>
      <c r="I6" s="20" t="s">
        <v>77</v>
      </c>
      <c r="J6" s="20" t="s">
        <v>78</v>
      </c>
      <c r="K6" s="19" t="s">
        <v>50</v>
      </c>
      <c r="L6" s="20" t="s">
        <v>79</v>
      </c>
      <c r="M6" s="20" t="s">
        <v>80</v>
      </c>
      <c r="N6" s="19" t="s">
        <v>53</v>
      </c>
      <c r="O6" s="20" t="s">
        <v>81</v>
      </c>
    </row>
    <row r="7" ht="22" customHeight="1" spans="1:15" x14ac:dyDescent="0.25">
      <c r="A7" s="21" t="s">
        <v>82</v>
      </c>
      <c r="B7" s="22" t="s">
        <v>83</v>
      </c>
      <c r="C7" s="22" t="s">
        <v>84</v>
      </c>
      <c r="D7" s="21" t="s">
        <v>85</v>
      </c>
      <c r="E7" s="22" t="s">
        <v>59</v>
      </c>
      <c r="F7" s="22" t="s">
        <v>86</v>
      </c>
      <c r="G7" s="22" t="s">
        <v>87</v>
      </c>
      <c r="H7" s="22" t="s">
        <v>88</v>
      </c>
      <c r="I7" s="22" t="s">
        <v>89</v>
      </c>
      <c r="J7" s="22" t="s">
        <v>90</v>
      </c>
      <c r="K7" s="21" t="s">
        <v>50</v>
      </c>
      <c r="L7" s="22" t="s">
        <v>91</v>
      </c>
      <c r="M7" s="22" t="s">
        <v>92</v>
      </c>
      <c r="N7" s="21" t="s">
        <v>53</v>
      </c>
      <c r="O7" s="22" t="s">
        <v>93</v>
      </c>
    </row>
    <row r="8" ht="22" customHeight="1" spans="1:15" x14ac:dyDescent="0.25">
      <c r="A8" s="19" t="s">
        <v>94</v>
      </c>
      <c r="B8" s="20" t="s">
        <v>95</v>
      </c>
      <c r="C8" s="20" t="s">
        <v>96</v>
      </c>
      <c r="D8" s="19" t="s">
        <v>97</v>
      </c>
      <c r="E8" s="20" t="s">
        <v>59</v>
      </c>
      <c r="F8" s="20" t="s">
        <v>98</v>
      </c>
      <c r="G8" s="20" t="s">
        <v>99</v>
      </c>
      <c r="H8" s="20" t="s">
        <v>100</v>
      </c>
      <c r="I8" s="20" t="s">
        <v>101</v>
      </c>
      <c r="J8" s="20" t="s">
        <v>102</v>
      </c>
      <c r="K8" s="19" t="s">
        <v>103</v>
      </c>
      <c r="L8" s="20" t="s">
        <v>104</v>
      </c>
      <c r="M8" s="20" t="s">
        <v>105</v>
      </c>
      <c r="N8" s="19" t="s">
        <v>53</v>
      </c>
      <c r="O8" s="20" t="s">
        <v>106</v>
      </c>
    </row>
    <row r="9" ht="22" customHeight="1" spans="1:15" x14ac:dyDescent="0.25">
      <c r="A9" s="21" t="s">
        <v>107</v>
      </c>
      <c r="B9" s="22" t="s">
        <v>108</v>
      </c>
      <c r="C9" s="22" t="s">
        <v>109</v>
      </c>
      <c r="D9" s="21" t="s">
        <v>110</v>
      </c>
      <c r="E9" s="22" t="s">
        <v>111</v>
      </c>
      <c r="F9" s="22" t="s">
        <v>112</v>
      </c>
      <c r="G9" s="22" t="s">
        <v>113</v>
      </c>
      <c r="H9" s="22" t="s">
        <v>114</v>
      </c>
      <c r="I9" s="22" t="s">
        <v>115</v>
      </c>
      <c r="J9" s="22" t="s">
        <v>116</v>
      </c>
      <c r="K9" s="21" t="s">
        <v>50</v>
      </c>
      <c r="L9" s="22" t="s">
        <v>117</v>
      </c>
      <c r="M9" s="22" t="s">
        <v>118</v>
      </c>
      <c r="N9" s="21" t="s">
        <v>53</v>
      </c>
      <c r="O9" s="22" t="s">
        <v>119</v>
      </c>
    </row>
    <row r="10" ht="22" customHeight="1" spans="1:15" x14ac:dyDescent="0.25">
      <c r="A10" s="19" t="s">
        <v>120</v>
      </c>
      <c r="B10" s="20" t="s">
        <v>121</v>
      </c>
      <c r="C10" s="20" t="s">
        <v>122</v>
      </c>
      <c r="D10" s="19" t="s">
        <v>123</v>
      </c>
      <c r="E10" s="20" t="s">
        <v>59</v>
      </c>
      <c r="F10" s="20" t="s">
        <v>124</v>
      </c>
      <c r="G10" s="20" t="s">
        <v>125</v>
      </c>
      <c r="H10" s="20" t="s">
        <v>126</v>
      </c>
      <c r="I10" s="20" t="s">
        <v>127</v>
      </c>
      <c r="J10" s="20" t="s">
        <v>128</v>
      </c>
      <c r="K10" s="19" t="s">
        <v>50</v>
      </c>
      <c r="L10" s="20" t="s">
        <v>129</v>
      </c>
      <c r="M10" s="20" t="s">
        <v>130</v>
      </c>
      <c r="N10" s="19" t="s">
        <v>53</v>
      </c>
      <c r="O10" s="20" t="s">
        <v>131</v>
      </c>
    </row>
    <row r="11" ht="22" customHeight="1" spans="1:15" x14ac:dyDescent="0.25">
      <c r="A11" s="21" t="s">
        <v>132</v>
      </c>
      <c r="B11" s="22" t="s">
        <v>133</v>
      </c>
      <c r="C11" s="22" t="s">
        <v>134</v>
      </c>
      <c r="D11" s="21" t="s">
        <v>135</v>
      </c>
      <c r="E11" s="22" t="s">
        <v>59</v>
      </c>
      <c r="F11" s="22" t="s">
        <v>136</v>
      </c>
      <c r="G11" s="22" t="s">
        <v>137</v>
      </c>
      <c r="H11" s="22" t="s">
        <v>138</v>
      </c>
      <c r="I11" s="22" t="s">
        <v>48</v>
      </c>
      <c r="J11" s="22" t="s">
        <v>139</v>
      </c>
      <c r="K11" s="21" t="s">
        <v>140</v>
      </c>
      <c r="L11" s="22" t="s">
        <v>141</v>
      </c>
      <c r="M11" s="22" t="s">
        <v>142</v>
      </c>
      <c r="N11" s="21" t="s">
        <v>53</v>
      </c>
      <c r="O11" s="22" t="s">
        <v>143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F766E"/>
  </sheetPr>
  <dimension ref="A1:O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4" customWidth="1"/>
    <col min="4" max="4" width="22" customWidth="1"/>
    <col min="5" max="5" width="10" customWidth="1"/>
    <col min="6" max="6" width="24" customWidth="1"/>
    <col min="7" max="12" width="16" customWidth="1"/>
    <col min="13" max="13" width="22" customWidth="1"/>
    <col min="14" max="14" width="24" customWidth="1"/>
    <col min="15" max="15" width="30" customWidth="1"/>
  </cols>
  <sheetData>
    <row r="1" ht="34" customHeight="1" spans="1:15" x14ac:dyDescent="0.25">
      <c r="A1" s="23" t="s">
        <v>144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20" customHeight="1" spans="1:15" x14ac:dyDescent="0.25">
      <c r="A2" s="18" t="s">
        <v>145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ht="28" customHeight="1" spans="1:15" x14ac:dyDescent="0.25">
      <c r="A3" s="5" t="s">
        <v>146</v>
      </c>
      <c r="B3" s="5" t="s">
        <v>147</v>
      </c>
      <c r="C3" s="5" t="s">
        <v>148</v>
      </c>
      <c r="D3" s="5" t="s">
        <v>149</v>
      </c>
      <c r="E3" s="5" t="s">
        <v>150</v>
      </c>
      <c r="F3" s="5" t="s">
        <v>151</v>
      </c>
      <c r="G3" s="5" t="s">
        <v>152</v>
      </c>
      <c r="H3" s="5" t="s">
        <v>153</v>
      </c>
      <c r="I3" s="5" t="s">
        <v>154</v>
      </c>
      <c r="J3" s="5" t="s">
        <v>155</v>
      </c>
      <c r="K3" s="5" t="s">
        <v>156</v>
      </c>
      <c r="L3" s="5" t="s">
        <v>157</v>
      </c>
      <c r="M3" s="5" t="s">
        <v>158</v>
      </c>
      <c r="N3" s="5" t="s">
        <v>159</v>
      </c>
      <c r="O3" s="5" t="s">
        <v>160</v>
      </c>
    </row>
    <row r="4" ht="22" customHeight="1" spans="1:15" x14ac:dyDescent="0.25">
      <c r="A4" s="24" t="s">
        <v>161</v>
      </c>
      <c r="B4" s="19" t="s">
        <v>162</v>
      </c>
      <c r="C4" s="25" t="s">
        <v>163</v>
      </c>
      <c r="D4" s="20" t="s">
        <v>74</v>
      </c>
      <c r="E4" s="19" t="s">
        <v>164</v>
      </c>
      <c r="F4" s="20" t="s">
        <v>165</v>
      </c>
      <c r="G4" s="26">
        <v>50</v>
      </c>
      <c r="H4" s="26">
        <v>300</v>
      </c>
      <c r="I4" s="27">
        <v>24.5</v>
      </c>
      <c r="J4" s="26">
        <f>SUMIF(MOVIMENTAÇÕES!D:D, A4, MOVIMENTAÇÕES!K:K)</f>
      </c>
      <c r="K4" s="26">
        <f>SUMIF(MOVIMENTAÇÕES!D:D, A4, MOVIMENTAÇÕES!L:L)</f>
      </c>
      <c r="L4" s="28">
        <f>J4-K4</f>
      </c>
      <c r="M4" s="27">
        <f>L4*I4</f>
      </c>
      <c r="N4" s="24">
        <f>IF(L4&lt;=0, "🚨 ZERADO", IF(L4&lt;=G4, "⚠️ BAIXO (COMPRAR)", "✅ NORMAL"))</f>
      </c>
      <c r="O4" s="20" t="s">
        <v>42</v>
      </c>
    </row>
    <row r="5" ht="22" customHeight="1" spans="1:15" x14ac:dyDescent="0.25">
      <c r="A5" s="29" t="s">
        <v>166</v>
      </c>
      <c r="B5" s="21" t="s">
        <v>167</v>
      </c>
      <c r="C5" s="30" t="s">
        <v>168</v>
      </c>
      <c r="D5" s="22" t="s">
        <v>74</v>
      </c>
      <c r="E5" s="21" t="s">
        <v>164</v>
      </c>
      <c r="F5" s="22" t="s">
        <v>169</v>
      </c>
      <c r="G5" s="31">
        <v>40</v>
      </c>
      <c r="H5" s="31">
        <v>250</v>
      </c>
      <c r="I5" s="32">
        <v>7.8</v>
      </c>
      <c r="J5" s="31">
        <f>SUMIF(MOVIMENTAÇÕES!D:D, A5, MOVIMENTAÇÕES!K:K)</f>
      </c>
      <c r="K5" s="31">
        <f>SUMIF(MOVIMENTAÇÕES!D:D, A5, MOVIMENTAÇÕES!L:L)</f>
      </c>
      <c r="L5" s="33">
        <f>J5-K5</f>
      </c>
      <c r="M5" s="32">
        <f>L5*I5</f>
      </c>
      <c r="N5" s="29">
        <f>IF(L5&lt;=0, "🚨 ZERADO", IF(L5&lt;=G5, "⚠️ BAIXO (COMPRAR)", "✅ NORMAL"))</f>
      </c>
      <c r="O5" s="22" t="s">
        <v>170</v>
      </c>
    </row>
    <row r="6" ht="22" customHeight="1" spans="1:15" x14ac:dyDescent="0.25">
      <c r="A6" s="24" t="s">
        <v>171</v>
      </c>
      <c r="B6" s="19" t="s">
        <v>172</v>
      </c>
      <c r="C6" s="25" t="s">
        <v>173</v>
      </c>
      <c r="D6" s="20" t="s">
        <v>74</v>
      </c>
      <c r="E6" s="19" t="s">
        <v>174</v>
      </c>
      <c r="F6" s="20" t="s">
        <v>175</v>
      </c>
      <c r="G6" s="26">
        <v>60</v>
      </c>
      <c r="H6" s="26">
        <v>400</v>
      </c>
      <c r="I6" s="27">
        <v>5.9</v>
      </c>
      <c r="J6" s="26">
        <f>SUMIF(MOVIMENTAÇÕES!D:D, A6, MOVIMENTAÇÕES!K:K)</f>
      </c>
      <c r="K6" s="26">
        <f>SUMIF(MOVIMENTAÇÕES!D:D, A6, MOVIMENTAÇÕES!L:L)</f>
      </c>
      <c r="L6" s="28">
        <f>J6-K6</f>
      </c>
      <c r="M6" s="27">
        <f>L6*I6</f>
      </c>
      <c r="N6" s="24">
        <f>IF(L6&lt;=0, "🚨 ZERADO", IF(L6&lt;=G6, "⚠️ BAIXO (COMPRAR)", "✅ NORMAL"))</f>
      </c>
      <c r="O6" s="20" t="s">
        <v>170</v>
      </c>
    </row>
    <row r="7" ht="22" customHeight="1" spans="1:15" x14ac:dyDescent="0.25">
      <c r="A7" s="29" t="s">
        <v>176</v>
      </c>
      <c r="B7" s="21" t="s">
        <v>177</v>
      </c>
      <c r="C7" s="30" t="s">
        <v>178</v>
      </c>
      <c r="D7" s="22" t="s">
        <v>74</v>
      </c>
      <c r="E7" s="21" t="s">
        <v>164</v>
      </c>
      <c r="F7" s="22" t="s">
        <v>179</v>
      </c>
      <c r="G7" s="31">
        <v>30</v>
      </c>
      <c r="H7" s="31">
        <v>200</v>
      </c>
      <c r="I7" s="32">
        <v>16.2</v>
      </c>
      <c r="J7" s="31">
        <f>SUMIF(MOVIMENTAÇÕES!D:D, A7, MOVIMENTAÇÕES!K:K)</f>
      </c>
      <c r="K7" s="31">
        <f>SUMIF(MOVIMENTAÇÕES!D:D, A7, MOVIMENTAÇÕES!L:L)</f>
      </c>
      <c r="L7" s="33">
        <f>J7-K7</f>
      </c>
      <c r="M7" s="32">
        <f>L7*I7</f>
      </c>
      <c r="N7" s="29">
        <f>IF(L7&lt;=0, "🚨 ZERADO", IF(L7&lt;=G7, "⚠️ BAIXO (COMPRAR)", "✅ NORMAL"))</f>
      </c>
      <c r="O7" s="22" t="s">
        <v>170</v>
      </c>
    </row>
    <row r="8" ht="22" customHeight="1" spans="1:15" x14ac:dyDescent="0.25">
      <c r="A8" s="24" t="s">
        <v>180</v>
      </c>
      <c r="B8" s="19" t="s">
        <v>181</v>
      </c>
      <c r="C8" s="25" t="s">
        <v>182</v>
      </c>
      <c r="D8" s="20" t="s">
        <v>74</v>
      </c>
      <c r="E8" s="19" t="s">
        <v>164</v>
      </c>
      <c r="F8" s="20" t="s">
        <v>183</v>
      </c>
      <c r="G8" s="26">
        <v>40</v>
      </c>
      <c r="H8" s="26">
        <v>180</v>
      </c>
      <c r="I8" s="27">
        <v>18.5</v>
      </c>
      <c r="J8" s="26">
        <f>SUMIF(MOVIMENTAÇÕES!D:D, A8, MOVIMENTAÇÕES!K:K)</f>
      </c>
      <c r="K8" s="26">
        <f>SUMIF(MOVIMENTAÇÕES!D:D, A8, MOVIMENTAÇÕES!L:L)</f>
      </c>
      <c r="L8" s="28">
        <f>J8-K8</f>
      </c>
      <c r="M8" s="27">
        <f>L8*I8</f>
      </c>
      <c r="N8" s="24">
        <f>IF(L8&lt;=0, "🚨 ZERADO", IF(L8&lt;=G8, "⚠️ BAIXO (COMPRAR)", "✅ NORMAL"))</f>
      </c>
      <c r="O8" s="20" t="s">
        <v>170</v>
      </c>
    </row>
    <row r="9" ht="22" customHeight="1" spans="1:15" x14ac:dyDescent="0.25">
      <c r="A9" s="29" t="s">
        <v>184</v>
      </c>
      <c r="B9" s="21" t="s">
        <v>185</v>
      </c>
      <c r="C9" s="30" t="s">
        <v>186</v>
      </c>
      <c r="D9" s="22" t="s">
        <v>60</v>
      </c>
      <c r="E9" s="21" t="s">
        <v>187</v>
      </c>
      <c r="F9" s="22" t="s">
        <v>188</v>
      </c>
      <c r="G9" s="31">
        <v>80</v>
      </c>
      <c r="H9" s="31">
        <v>500</v>
      </c>
      <c r="I9" s="32">
        <v>31.9</v>
      </c>
      <c r="J9" s="31">
        <f>SUMIF(MOVIMENTAÇÕES!D:D, A9, MOVIMENTAÇÕES!K:K)</f>
      </c>
      <c r="K9" s="31">
        <f>SUMIF(MOVIMENTAÇÕES!D:D, A9, MOVIMENTAÇÕES!L:L)</f>
      </c>
      <c r="L9" s="33">
        <f>J9-K9</f>
      </c>
      <c r="M9" s="32">
        <f>L9*I9</f>
      </c>
      <c r="N9" s="29">
        <f>IF(L9&lt;=0, "🚨 ZERADO", IF(L9&lt;=G9, "⚠️ BAIXO (COMPRAR)", "✅ NORMAL"))</f>
      </c>
      <c r="O9" s="22" t="s">
        <v>189</v>
      </c>
    </row>
    <row r="10" ht="22" customHeight="1" spans="1:15" x14ac:dyDescent="0.25">
      <c r="A10" s="24" t="s">
        <v>190</v>
      </c>
      <c r="B10" s="19" t="s">
        <v>191</v>
      </c>
      <c r="C10" s="25" t="s">
        <v>192</v>
      </c>
      <c r="D10" s="20" t="s">
        <v>60</v>
      </c>
      <c r="E10" s="19" t="s">
        <v>187</v>
      </c>
      <c r="F10" s="20" t="s">
        <v>193</v>
      </c>
      <c r="G10" s="26">
        <v>100</v>
      </c>
      <c r="H10" s="26">
        <v>600</v>
      </c>
      <c r="I10" s="27">
        <v>14.8</v>
      </c>
      <c r="J10" s="26">
        <f>SUMIF(MOVIMENTAÇÕES!D:D, A10, MOVIMENTAÇÕES!K:K)</f>
      </c>
      <c r="K10" s="26">
        <f>SUMIF(MOVIMENTAÇÕES!D:D, A10, MOVIMENTAÇÕES!L:L)</f>
      </c>
      <c r="L10" s="28">
        <f>J10-K10</f>
      </c>
      <c r="M10" s="27">
        <f>L10*I10</f>
      </c>
      <c r="N10" s="24">
        <f>IF(L10&lt;=0, "🚨 ZERADO", IF(L10&lt;=G10, "⚠️ BAIXO (COMPRAR)", "✅ NORMAL"))</f>
      </c>
      <c r="O10" s="20" t="s">
        <v>189</v>
      </c>
    </row>
    <row r="11" ht="22" customHeight="1" spans="1:15" x14ac:dyDescent="0.25">
      <c r="A11" s="29" t="s">
        <v>194</v>
      </c>
      <c r="B11" s="21" t="s">
        <v>195</v>
      </c>
      <c r="C11" s="30" t="s">
        <v>196</v>
      </c>
      <c r="D11" s="22" t="s">
        <v>60</v>
      </c>
      <c r="E11" s="21" t="s">
        <v>187</v>
      </c>
      <c r="F11" s="22" t="s">
        <v>188</v>
      </c>
      <c r="G11" s="31">
        <v>30</v>
      </c>
      <c r="H11" s="31">
        <v>200</v>
      </c>
      <c r="I11" s="32">
        <v>11.5</v>
      </c>
      <c r="J11" s="31">
        <f>SUMIF(MOVIMENTAÇÕES!D:D, A11, MOVIMENTAÇÕES!K:K)</f>
      </c>
      <c r="K11" s="31">
        <f>SUMIF(MOVIMENTAÇÕES!D:D, A11, MOVIMENTAÇÕES!L:L)</f>
      </c>
      <c r="L11" s="33">
        <f>J11-K11</f>
      </c>
      <c r="M11" s="32">
        <f>L11*I11</f>
      </c>
      <c r="N11" s="29">
        <f>IF(L11&lt;=0, "🚨 ZERADO", IF(L11&lt;=G11, "⚠️ BAIXO (COMPRAR)", "✅ NORMAL"))</f>
      </c>
      <c r="O11" s="22" t="s">
        <v>189</v>
      </c>
    </row>
    <row r="12" ht="22" customHeight="1" spans="1:15" x14ac:dyDescent="0.25">
      <c r="A12" s="24" t="s">
        <v>197</v>
      </c>
      <c r="B12" s="19" t="s">
        <v>198</v>
      </c>
      <c r="C12" s="25" t="s">
        <v>199</v>
      </c>
      <c r="D12" s="20" t="s">
        <v>45</v>
      </c>
      <c r="E12" s="19" t="s">
        <v>187</v>
      </c>
      <c r="F12" s="20" t="s">
        <v>200</v>
      </c>
      <c r="G12" s="26">
        <v>20</v>
      </c>
      <c r="H12" s="26">
        <v>80</v>
      </c>
      <c r="I12" s="27">
        <v>6.5</v>
      </c>
      <c r="J12" s="26">
        <f>SUMIF(MOVIMENTAÇÕES!D:D, A12, MOVIMENTAÇÕES!K:K)</f>
      </c>
      <c r="K12" s="26">
        <f>SUMIF(MOVIMENTAÇÕES!D:D, A12, MOVIMENTAÇÕES!L:L)</f>
      </c>
      <c r="L12" s="28">
        <f>J12-K12</f>
      </c>
      <c r="M12" s="27">
        <f>L12*I12</f>
      </c>
      <c r="N12" s="24">
        <f>IF(L12&lt;=0, "🚨 ZERADO", IF(L12&lt;=G12, "⚠️ BAIXO (COMPRAR)", "✅ NORMAL"))</f>
      </c>
      <c r="O12" s="20" t="s">
        <v>201</v>
      </c>
    </row>
    <row r="13" ht="22" customHeight="1" spans="1:15" x14ac:dyDescent="0.25">
      <c r="A13" s="29" t="s">
        <v>202</v>
      </c>
      <c r="B13" s="21" t="s">
        <v>203</v>
      </c>
      <c r="C13" s="30" t="s">
        <v>204</v>
      </c>
      <c r="D13" s="22" t="s">
        <v>45</v>
      </c>
      <c r="E13" s="21" t="s">
        <v>187</v>
      </c>
      <c r="F13" s="22" t="s">
        <v>200</v>
      </c>
      <c r="G13" s="31">
        <v>40</v>
      </c>
      <c r="H13" s="31">
        <v>150</v>
      </c>
      <c r="I13" s="32">
        <v>7.2</v>
      </c>
      <c r="J13" s="31">
        <f>SUMIF(MOVIMENTAÇÕES!D:D, A13, MOVIMENTAÇÕES!K:K)</f>
      </c>
      <c r="K13" s="31">
        <f>SUMIF(MOVIMENTAÇÕES!D:D, A13, MOVIMENTAÇÕES!L:L)</f>
      </c>
      <c r="L13" s="33">
        <f>J13-K13</f>
      </c>
      <c r="M13" s="32">
        <f>L13*I13</f>
      </c>
      <c r="N13" s="29">
        <f>IF(L13&lt;=0, "🚨 ZERADO", IF(L13&lt;=G13, "⚠️ BAIXO (COMPRAR)", "✅ NORMAL"))</f>
      </c>
      <c r="O13" s="22" t="s">
        <v>42</v>
      </c>
    </row>
    <row r="14" ht="22" customHeight="1" spans="1:15" x14ac:dyDescent="0.25">
      <c r="A14" s="24" t="s">
        <v>205</v>
      </c>
      <c r="B14" s="19" t="s">
        <v>206</v>
      </c>
      <c r="C14" s="25" t="s">
        <v>207</v>
      </c>
      <c r="D14" s="20" t="s">
        <v>45</v>
      </c>
      <c r="E14" s="19" t="s">
        <v>187</v>
      </c>
      <c r="F14" s="20" t="s">
        <v>200</v>
      </c>
      <c r="G14" s="26">
        <v>30</v>
      </c>
      <c r="H14" s="26">
        <v>120</v>
      </c>
      <c r="I14" s="27">
        <v>4.9</v>
      </c>
      <c r="J14" s="26">
        <f>SUMIF(MOVIMENTAÇÕES!D:D, A14, MOVIMENTAÇÕES!K:K)</f>
      </c>
      <c r="K14" s="26">
        <f>SUMIF(MOVIMENTAÇÕES!D:D, A14, MOVIMENTAÇÕES!L:L)</f>
      </c>
      <c r="L14" s="28">
        <f>J14-K14</f>
      </c>
      <c r="M14" s="27">
        <f>L14*I14</f>
      </c>
      <c r="N14" s="24">
        <f>IF(L14&lt;=0, "🚨 ZERADO", IF(L14&lt;=G14, "⚠️ BAIXO (COMPRAR)", "✅ NORMAL"))</f>
      </c>
      <c r="O14" s="20" t="s">
        <v>42</v>
      </c>
    </row>
    <row r="15" ht="22" customHeight="1" spans="1:15" x14ac:dyDescent="0.25">
      <c r="A15" s="29" t="s">
        <v>208</v>
      </c>
      <c r="B15" s="21" t="s">
        <v>209</v>
      </c>
      <c r="C15" s="30" t="s">
        <v>210</v>
      </c>
      <c r="D15" s="22" t="s">
        <v>45</v>
      </c>
      <c r="E15" s="21" t="s">
        <v>187</v>
      </c>
      <c r="F15" s="22" t="s">
        <v>211</v>
      </c>
      <c r="G15" s="31">
        <v>50</v>
      </c>
      <c r="H15" s="31">
        <v>250</v>
      </c>
      <c r="I15" s="32">
        <v>5.4</v>
      </c>
      <c r="J15" s="31">
        <f>SUMIF(MOVIMENTAÇÕES!D:D, A15, MOVIMENTAÇÕES!K:K)</f>
      </c>
      <c r="K15" s="31">
        <f>SUMIF(MOVIMENTAÇÕES!D:D, A15, MOVIMENTAÇÕES!L:L)</f>
      </c>
      <c r="L15" s="33">
        <f>J15-K15</f>
      </c>
      <c r="M15" s="32">
        <f>L15*I15</f>
      </c>
      <c r="N15" s="29">
        <f>IF(L15&lt;=0, "🚨 ZERADO", IF(L15&lt;=G15, "⚠️ BAIXO (COMPRAR)", "✅ NORMAL"))</f>
      </c>
      <c r="O15" s="22" t="s">
        <v>42</v>
      </c>
    </row>
    <row r="16" ht="22" customHeight="1" spans="1:15" x14ac:dyDescent="0.25">
      <c r="A16" s="24" t="s">
        <v>212</v>
      </c>
      <c r="B16" s="19" t="s">
        <v>213</v>
      </c>
      <c r="C16" s="25" t="s">
        <v>214</v>
      </c>
      <c r="D16" s="20" t="s">
        <v>86</v>
      </c>
      <c r="E16" s="19" t="s">
        <v>187</v>
      </c>
      <c r="F16" s="20" t="s">
        <v>215</v>
      </c>
      <c r="G16" s="26">
        <v>30</v>
      </c>
      <c r="H16" s="26">
        <v>150</v>
      </c>
      <c r="I16" s="27">
        <v>12</v>
      </c>
      <c r="J16" s="26">
        <f>SUMIF(MOVIMENTAÇÕES!D:D, A16, MOVIMENTAÇÕES!K:K)</f>
      </c>
      <c r="K16" s="26">
        <f>SUMIF(MOVIMENTAÇÕES!D:D, A16, MOVIMENTAÇÕES!L:L)</f>
      </c>
      <c r="L16" s="28">
        <f>J16-K16</f>
      </c>
      <c r="M16" s="27">
        <f>L16*I16</f>
      </c>
      <c r="N16" s="24">
        <f>IF(L16&lt;=0, "🚨 ZERADO", IF(L16&lt;=G16, "⚠️ BAIXO (COMPRAR)", "✅ NORMAL"))</f>
      </c>
      <c r="O16" s="20" t="s">
        <v>216</v>
      </c>
    </row>
    <row r="17" ht="22" customHeight="1" spans="1:15" x14ac:dyDescent="0.25">
      <c r="A17" s="29" t="s">
        <v>217</v>
      </c>
      <c r="B17" s="21" t="s">
        <v>218</v>
      </c>
      <c r="C17" s="30" t="s">
        <v>219</v>
      </c>
      <c r="D17" s="22" t="s">
        <v>98</v>
      </c>
      <c r="E17" s="21" t="s">
        <v>220</v>
      </c>
      <c r="F17" s="22" t="s">
        <v>221</v>
      </c>
      <c r="G17" s="31">
        <v>80</v>
      </c>
      <c r="H17" s="31">
        <v>500</v>
      </c>
      <c r="I17" s="32">
        <v>4.85</v>
      </c>
      <c r="J17" s="31">
        <f>SUMIF(MOVIMENTAÇÕES!D:D, A17, MOVIMENTAÇÕES!K:K)</f>
      </c>
      <c r="K17" s="31">
        <f>SUMIF(MOVIMENTAÇÕES!D:D, A17, MOVIMENTAÇÕES!L:L)</f>
      </c>
      <c r="L17" s="33">
        <f>J17-K17</f>
      </c>
      <c r="M17" s="32">
        <f>L17*I17</f>
      </c>
      <c r="N17" s="29">
        <f>IF(L17&lt;=0, "🚨 ZERADO", IF(L17&lt;=G17, "⚠️ BAIXO (COMPRAR)", "✅ NORMAL"))</f>
      </c>
      <c r="O17" s="22" t="s">
        <v>222</v>
      </c>
    </row>
    <row r="18" ht="22" customHeight="1" spans="1:15" x14ac:dyDescent="0.25">
      <c r="A18" s="24" t="s">
        <v>223</v>
      </c>
      <c r="B18" s="19" t="s">
        <v>224</v>
      </c>
      <c r="C18" s="25" t="s">
        <v>225</v>
      </c>
      <c r="D18" s="20" t="s">
        <v>124</v>
      </c>
      <c r="E18" s="19" t="s">
        <v>226</v>
      </c>
      <c r="F18" s="20" t="s">
        <v>227</v>
      </c>
      <c r="G18" s="26">
        <v>15</v>
      </c>
      <c r="H18" s="26">
        <v>60</v>
      </c>
      <c r="I18" s="27">
        <v>21</v>
      </c>
      <c r="J18" s="26">
        <f>SUMIF(MOVIMENTAÇÕES!D:D, A18, MOVIMENTAÇÕES!K:K)</f>
      </c>
      <c r="K18" s="26">
        <f>SUMIF(MOVIMENTAÇÕES!D:D, A18, MOVIMENTAÇÕES!L:L)</f>
      </c>
      <c r="L18" s="28">
        <f>J18-K18</f>
      </c>
      <c r="M18" s="27">
        <f>L18*I18</f>
      </c>
      <c r="N18" s="24">
        <f>IF(L18&lt;=0, "🚨 ZERADO", IF(L18&lt;=G18, "⚠️ BAIXO (COMPRAR)", "✅ NORMAL"))</f>
      </c>
      <c r="O18" s="20" t="s">
        <v>228</v>
      </c>
    </row>
    <row r="19" ht="22" customHeight="1" spans="1:15" x14ac:dyDescent="0.25">
      <c r="A19" s="29" t="s">
        <v>229</v>
      </c>
      <c r="B19" s="21" t="s">
        <v>230</v>
      </c>
      <c r="C19" s="30" t="s">
        <v>231</v>
      </c>
      <c r="D19" s="22" t="s">
        <v>124</v>
      </c>
      <c r="E19" s="21" t="s">
        <v>226</v>
      </c>
      <c r="F19" s="22" t="s">
        <v>227</v>
      </c>
      <c r="G19" s="31">
        <v>20</v>
      </c>
      <c r="H19" s="31">
        <v>80</v>
      </c>
      <c r="I19" s="32">
        <v>14.5</v>
      </c>
      <c r="J19" s="31">
        <f>SUMIF(MOVIMENTAÇÕES!D:D, A19, MOVIMENTAÇÕES!K:K)</f>
      </c>
      <c r="K19" s="31">
        <f>SUMIF(MOVIMENTAÇÕES!D:D, A19, MOVIMENTAÇÕES!L:L)</f>
      </c>
      <c r="L19" s="33">
        <f>J19-K19</f>
      </c>
      <c r="M19" s="32">
        <f>L19*I19</f>
      </c>
      <c r="N19" s="29">
        <f>IF(L19&lt;=0, "🚨 ZERADO", IF(L19&lt;=G19, "⚠️ BAIXO (COMPRAR)", "✅ NORMAL"))</f>
      </c>
      <c r="O19" s="22" t="s">
        <v>228</v>
      </c>
    </row>
    <row r="20" ht="22" customHeight="1" spans="1:15" x14ac:dyDescent="0.25">
      <c r="A20" s="24" t="s">
        <v>232</v>
      </c>
      <c r="B20" s="19" t="s">
        <v>233</v>
      </c>
      <c r="C20" s="25" t="s">
        <v>234</v>
      </c>
      <c r="D20" s="20" t="s">
        <v>136</v>
      </c>
      <c r="E20" s="19" t="s">
        <v>235</v>
      </c>
      <c r="F20" s="20" t="s">
        <v>236</v>
      </c>
      <c r="G20" s="26">
        <v>25</v>
      </c>
      <c r="H20" s="26">
        <v>120</v>
      </c>
      <c r="I20" s="27">
        <v>68</v>
      </c>
      <c r="J20" s="26">
        <f>SUMIF(MOVIMENTAÇÕES!D:D, A20, MOVIMENTAÇÕES!K:K)</f>
      </c>
      <c r="K20" s="26">
        <f>SUMIF(MOVIMENTAÇÕES!D:D, A20, MOVIMENTAÇÕES!L:L)</f>
      </c>
      <c r="L20" s="28">
        <f>J20-K20</f>
      </c>
      <c r="M20" s="27">
        <f>L20*I20</f>
      </c>
      <c r="N20" s="24">
        <f>IF(L20&lt;=0, "🚨 ZERADO", IF(L20&lt;=G20, "⚠️ BAIXO (COMPRAR)", "✅ NORMAL"))</f>
      </c>
      <c r="O20" s="20" t="s">
        <v>134</v>
      </c>
    </row>
    <row r="21" ht="22" customHeight="1" spans="1:15" x14ac:dyDescent="0.25">
      <c r="A21" s="29" t="s">
        <v>237</v>
      </c>
      <c r="B21" s="21" t="s">
        <v>238</v>
      </c>
      <c r="C21" s="30" t="s">
        <v>239</v>
      </c>
      <c r="D21" s="22" t="s">
        <v>136</v>
      </c>
      <c r="E21" s="21" t="s">
        <v>235</v>
      </c>
      <c r="F21" s="22" t="s">
        <v>240</v>
      </c>
      <c r="G21" s="31">
        <v>10</v>
      </c>
      <c r="H21" s="31">
        <v>50</v>
      </c>
      <c r="I21" s="32">
        <v>34</v>
      </c>
      <c r="J21" s="31">
        <f>SUMIF(MOVIMENTAÇÕES!D:D, A21, MOVIMENTAÇÕES!K:K)</f>
      </c>
      <c r="K21" s="31">
        <f>SUMIF(MOVIMENTAÇÕES!D:D, A21, MOVIMENTAÇÕES!L:L)</f>
      </c>
      <c r="L21" s="33">
        <f>J21-K21</f>
      </c>
      <c r="M21" s="32">
        <f>L21*I21</f>
      </c>
      <c r="N21" s="29">
        <f>IF(L21&lt;=0, "🚨 ZERADO", IF(L21&lt;=G21, "⚠️ BAIXO (COMPRAR)", "✅ NORMAL"))</f>
      </c>
      <c r="O21" s="22" t="s">
        <v>134</v>
      </c>
    </row>
    <row r="22" ht="26" customHeight="1" spans="1:15" x14ac:dyDescent="0.25">
      <c r="A22" s="34" t="s">
        <v>241</v>
      </c>
      <c r="B22" s="34" t="s">
        <v>242</v>
      </c>
      <c r="C22" s="34" t="s">
        <v>242</v>
      </c>
      <c r="D22" s="34" t="s">
        <v>242</v>
      </c>
      <c r="E22" s="34" t="s">
        <v>242</v>
      </c>
      <c r="F22" s="34" t="s">
        <v>242</v>
      </c>
      <c r="G22" s="34" t="s">
        <v>242</v>
      </c>
      <c r="H22" s="34" t="s">
        <v>242</v>
      </c>
      <c r="I22" s="34" t="s">
        <v>242</v>
      </c>
      <c r="J22" s="35">
        <f>SUM(J4:J21)</f>
      </c>
      <c r="K22" s="35">
        <f>SUM(K4:K21)</f>
      </c>
      <c r="L22" s="35">
        <f>SUM(L4:L21)</f>
      </c>
      <c r="M22" s="36">
        <f>SUM(M4:M21)</f>
      </c>
      <c r="N22" s="34" t="s">
        <v>242</v>
      </c>
      <c r="O22" s="34" t="s">
        <v>242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P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34" customWidth="1"/>
    <col min="6" max="6" width="10" customWidth="1"/>
    <col min="7" max="7" width="22" customWidth="1"/>
    <col min="8" max="8" width="32" customWidth="1"/>
    <col min="9" max="10" width="18" customWidth="1"/>
    <col min="11" max="13" width="16" customWidth="1"/>
    <col min="14" max="14" width="18" customWidth="1"/>
    <col min="15" max="15" width="26" customWidth="1"/>
    <col min="16" max="16" width="34" customWidth="1"/>
  </cols>
  <sheetData>
    <row r="1" ht="34" customHeight="1" spans="1:16" x14ac:dyDescent="0.25">
      <c r="A1" s="37" t="s">
        <v>243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ht="20" customHeight="1" spans="1:16" x14ac:dyDescent="0.25">
      <c r="A2" s="18" t="s">
        <v>244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ht="28" customHeight="1" spans="1:16" x14ac:dyDescent="0.25">
      <c r="A3" s="7" t="s">
        <v>245</v>
      </c>
      <c r="B3" s="7" t="s">
        <v>246</v>
      </c>
      <c r="C3" s="7" t="s">
        <v>247</v>
      </c>
      <c r="D3" s="7" t="s">
        <v>146</v>
      </c>
      <c r="E3" s="7" t="s">
        <v>148</v>
      </c>
      <c r="F3" s="7" t="s">
        <v>150</v>
      </c>
      <c r="G3" s="7" t="s">
        <v>248</v>
      </c>
      <c r="H3" s="7" t="s">
        <v>249</v>
      </c>
      <c r="I3" s="7" t="s">
        <v>250</v>
      </c>
      <c r="J3" s="7" t="s">
        <v>251</v>
      </c>
      <c r="K3" s="7" t="s">
        <v>252</v>
      </c>
      <c r="L3" s="7" t="s">
        <v>253</v>
      </c>
      <c r="M3" s="7" t="s">
        <v>154</v>
      </c>
      <c r="N3" s="7" t="s">
        <v>254</v>
      </c>
      <c r="O3" s="7" t="s">
        <v>255</v>
      </c>
      <c r="P3" s="7" t="s">
        <v>256</v>
      </c>
    </row>
    <row r="4" ht="22" customHeight="1" spans="1:16" x14ac:dyDescent="0.25">
      <c r="A4" s="24" t="s">
        <v>257</v>
      </c>
      <c r="B4" s="19" t="s">
        <v>258</v>
      </c>
      <c r="C4" s="38" t="s">
        <v>259</v>
      </c>
      <c r="D4" s="24" t="s">
        <v>161</v>
      </c>
      <c r="E4" s="20">
        <f>IFERROR(VLOOKUP(D4, CADASTRO_ITENS!A:C, 3, FALSE), "")</f>
      </c>
      <c r="F4" s="19">
        <f>IFERROR(VLOOKUP(D4, CADASTRO_ITENS!A:E, 5, FALSE), "")</f>
      </c>
      <c r="G4" s="19" t="s">
        <v>260</v>
      </c>
      <c r="H4" s="20" t="s">
        <v>42</v>
      </c>
      <c r="I4" s="19" t="s">
        <v>261</v>
      </c>
      <c r="J4" s="19" t="s">
        <v>262</v>
      </c>
      <c r="K4" s="26">
        <v>150</v>
      </c>
      <c r="L4" s="26">
        <v>0</v>
      </c>
      <c r="M4" s="27">
        <v>24.5</v>
      </c>
      <c r="N4" s="39">
        <f>M4*(K4+L4)</f>
      </c>
      <c r="O4" s="20" t="s">
        <v>263</v>
      </c>
      <c r="P4" s="20" t="s">
        <v>264</v>
      </c>
    </row>
    <row r="5" ht="22" customHeight="1" spans="1:16" x14ac:dyDescent="0.25">
      <c r="A5" s="29" t="s">
        <v>265</v>
      </c>
      <c r="B5" s="21" t="s">
        <v>258</v>
      </c>
      <c r="C5" s="40" t="s">
        <v>259</v>
      </c>
      <c r="D5" s="29" t="s">
        <v>166</v>
      </c>
      <c r="E5" s="22">
        <f>IFERROR(VLOOKUP(D5, CADASTRO_ITENS!A:C, 3, FALSE), "")</f>
      </c>
      <c r="F5" s="21">
        <f>IFERROR(VLOOKUP(D5, CADASTRO_ITENS!A:E, 5, FALSE), "")</f>
      </c>
      <c r="G5" s="21" t="s">
        <v>260</v>
      </c>
      <c r="H5" s="22" t="s">
        <v>42</v>
      </c>
      <c r="I5" s="21" t="s">
        <v>266</v>
      </c>
      <c r="J5" s="21" t="s">
        <v>267</v>
      </c>
      <c r="K5" s="31">
        <v>120</v>
      </c>
      <c r="L5" s="31">
        <v>0</v>
      </c>
      <c r="M5" s="32">
        <v>7.8</v>
      </c>
      <c r="N5" s="41">
        <f>M5*(K5+L5)</f>
      </c>
      <c r="O5" s="22" t="s">
        <v>263</v>
      </c>
      <c r="P5" s="22" t="s">
        <v>268</v>
      </c>
    </row>
    <row r="6" ht="22" customHeight="1" spans="1:16" x14ac:dyDescent="0.25">
      <c r="A6" s="24" t="s">
        <v>269</v>
      </c>
      <c r="B6" s="19" t="s">
        <v>270</v>
      </c>
      <c r="C6" s="38" t="s">
        <v>259</v>
      </c>
      <c r="D6" s="24" t="s">
        <v>184</v>
      </c>
      <c r="E6" s="20">
        <f>IFERROR(VLOOKUP(D6, CADASTRO_ITENS!A:C, 3, FALSE), "")</f>
      </c>
      <c r="F6" s="19">
        <f>IFERROR(VLOOKUP(D6, CADASTRO_ITENS!A:E, 5, FALSE), "")</f>
      </c>
      <c r="G6" s="19" t="s">
        <v>271</v>
      </c>
      <c r="H6" s="20" t="s">
        <v>189</v>
      </c>
      <c r="I6" s="19" t="s">
        <v>272</v>
      </c>
      <c r="J6" s="19" t="s">
        <v>273</v>
      </c>
      <c r="K6" s="26">
        <v>220</v>
      </c>
      <c r="L6" s="26">
        <v>0</v>
      </c>
      <c r="M6" s="27">
        <v>31.9</v>
      </c>
      <c r="N6" s="39">
        <f>M6*(K6+L6)</f>
      </c>
      <c r="O6" s="20" t="s">
        <v>274</v>
      </c>
      <c r="P6" s="20" t="s">
        <v>275</v>
      </c>
    </row>
    <row r="7" ht="22" customHeight="1" spans="1:16" x14ac:dyDescent="0.25">
      <c r="A7" s="29" t="s">
        <v>276</v>
      </c>
      <c r="B7" s="21" t="s">
        <v>270</v>
      </c>
      <c r="C7" s="40" t="s">
        <v>259</v>
      </c>
      <c r="D7" s="29" t="s">
        <v>190</v>
      </c>
      <c r="E7" s="22">
        <f>IFERROR(VLOOKUP(D7, CADASTRO_ITENS!A:C, 3, FALSE), "")</f>
      </c>
      <c r="F7" s="21">
        <f>IFERROR(VLOOKUP(D7, CADASTRO_ITENS!A:E, 5, FALSE), "")</f>
      </c>
      <c r="G7" s="21" t="s">
        <v>271</v>
      </c>
      <c r="H7" s="22" t="s">
        <v>189</v>
      </c>
      <c r="I7" s="21" t="s">
        <v>277</v>
      </c>
      <c r="J7" s="21" t="s">
        <v>278</v>
      </c>
      <c r="K7" s="31">
        <v>300</v>
      </c>
      <c r="L7" s="31">
        <v>0</v>
      </c>
      <c r="M7" s="32">
        <v>14.8</v>
      </c>
      <c r="N7" s="41">
        <f>M7*(K7+L7)</f>
      </c>
      <c r="O7" s="22" t="s">
        <v>274</v>
      </c>
      <c r="P7" s="22" t="s">
        <v>279</v>
      </c>
    </row>
    <row r="8" ht="22" customHeight="1" spans="1:16" x14ac:dyDescent="0.25">
      <c r="A8" s="24" t="s">
        <v>280</v>
      </c>
      <c r="B8" s="19" t="s">
        <v>281</v>
      </c>
      <c r="C8" s="38" t="s">
        <v>259</v>
      </c>
      <c r="D8" s="24" t="s">
        <v>197</v>
      </c>
      <c r="E8" s="20">
        <f>IFERROR(VLOOKUP(D8, CADASTRO_ITENS!A:C, 3, FALSE), "")</f>
      </c>
      <c r="F8" s="19">
        <f>IFERROR(VLOOKUP(D8, CADASTRO_ITENS!A:E, 5, FALSE), "")</f>
      </c>
      <c r="G8" s="19" t="s">
        <v>282</v>
      </c>
      <c r="H8" s="20" t="s">
        <v>201</v>
      </c>
      <c r="I8" s="19" t="s">
        <v>283</v>
      </c>
      <c r="J8" s="19" t="s">
        <v>284</v>
      </c>
      <c r="K8" s="26">
        <v>45</v>
      </c>
      <c r="L8" s="26">
        <v>0</v>
      </c>
      <c r="M8" s="27">
        <v>6.5</v>
      </c>
      <c r="N8" s="39">
        <f>M8*(K8+L8)</f>
      </c>
      <c r="O8" s="20" t="s">
        <v>285</v>
      </c>
      <c r="P8" s="20" t="s">
        <v>286</v>
      </c>
    </row>
    <row r="9" ht="22" customHeight="1" spans="1:16" x14ac:dyDescent="0.25">
      <c r="A9" s="29" t="s">
        <v>287</v>
      </c>
      <c r="B9" s="21" t="s">
        <v>281</v>
      </c>
      <c r="C9" s="40" t="s">
        <v>259</v>
      </c>
      <c r="D9" s="29" t="s">
        <v>202</v>
      </c>
      <c r="E9" s="22">
        <f>IFERROR(VLOOKUP(D9, CADASTRO_ITENS!A:C, 3, FALSE), "")</f>
      </c>
      <c r="F9" s="21">
        <f>IFERROR(VLOOKUP(D9, CADASTRO_ITENS!A:E, 5, FALSE), "")</f>
      </c>
      <c r="G9" s="21" t="s">
        <v>288</v>
      </c>
      <c r="H9" s="22" t="s">
        <v>42</v>
      </c>
      <c r="I9" s="21" t="s">
        <v>289</v>
      </c>
      <c r="J9" s="21" t="s">
        <v>290</v>
      </c>
      <c r="K9" s="31">
        <v>90</v>
      </c>
      <c r="L9" s="31">
        <v>0</v>
      </c>
      <c r="M9" s="32">
        <v>7.2</v>
      </c>
      <c r="N9" s="41">
        <f>M9*(K9+L9)</f>
      </c>
      <c r="O9" s="22" t="s">
        <v>285</v>
      </c>
      <c r="P9" s="22" t="s">
        <v>291</v>
      </c>
    </row>
    <row r="10" ht="22" customHeight="1" spans="1:16" x14ac:dyDescent="0.25">
      <c r="A10" s="24" t="s">
        <v>292</v>
      </c>
      <c r="B10" s="19" t="s">
        <v>293</v>
      </c>
      <c r="C10" s="38" t="s">
        <v>259</v>
      </c>
      <c r="D10" s="24" t="s">
        <v>217</v>
      </c>
      <c r="E10" s="20">
        <f>IFERROR(VLOOKUP(D10, CADASTRO_ITENS!A:C, 3, FALSE), "")</f>
      </c>
      <c r="F10" s="19">
        <f>IFERROR(VLOOKUP(D10, CADASTRO_ITENS!A:E, 5, FALSE), "")</f>
      </c>
      <c r="G10" s="19" t="s">
        <v>294</v>
      </c>
      <c r="H10" s="20" t="s">
        <v>222</v>
      </c>
      <c r="I10" s="19" t="s">
        <v>295</v>
      </c>
      <c r="J10" s="19" t="s">
        <v>296</v>
      </c>
      <c r="K10" s="26">
        <v>240</v>
      </c>
      <c r="L10" s="26">
        <v>0</v>
      </c>
      <c r="M10" s="27">
        <v>4.85</v>
      </c>
      <c r="N10" s="39">
        <f>M10*(K10+L10)</f>
      </c>
      <c r="O10" s="20" t="s">
        <v>263</v>
      </c>
      <c r="P10" s="20" t="s">
        <v>297</v>
      </c>
    </row>
    <row r="11" ht="22" customHeight="1" spans="1:16" x14ac:dyDescent="0.25">
      <c r="A11" s="29" t="s">
        <v>298</v>
      </c>
      <c r="B11" s="21" t="s">
        <v>299</v>
      </c>
      <c r="C11" s="40" t="s">
        <v>259</v>
      </c>
      <c r="D11" s="29" t="s">
        <v>223</v>
      </c>
      <c r="E11" s="22">
        <f>IFERROR(VLOOKUP(D11, CADASTRO_ITENS!A:C, 3, FALSE), "")</f>
      </c>
      <c r="F11" s="21">
        <f>IFERROR(VLOOKUP(D11, CADASTRO_ITENS!A:E, 5, FALSE), "")</f>
      </c>
      <c r="G11" s="21" t="s">
        <v>300</v>
      </c>
      <c r="H11" s="22" t="s">
        <v>228</v>
      </c>
      <c r="I11" s="21" t="s">
        <v>301</v>
      </c>
      <c r="J11" s="21" t="s">
        <v>302</v>
      </c>
      <c r="K11" s="31">
        <v>30</v>
      </c>
      <c r="L11" s="31">
        <v>0</v>
      </c>
      <c r="M11" s="32">
        <v>21</v>
      </c>
      <c r="N11" s="41">
        <f>M11*(K11+L11)</f>
      </c>
      <c r="O11" s="22" t="s">
        <v>303</v>
      </c>
      <c r="P11" s="22" t="s">
        <v>304</v>
      </c>
    </row>
    <row r="12" ht="22" customHeight="1" spans="1:16" x14ac:dyDescent="0.25">
      <c r="A12" s="24" t="s">
        <v>305</v>
      </c>
      <c r="B12" s="19" t="s">
        <v>299</v>
      </c>
      <c r="C12" s="38" t="s">
        <v>259</v>
      </c>
      <c r="D12" s="24" t="s">
        <v>232</v>
      </c>
      <c r="E12" s="20">
        <f>IFERROR(VLOOKUP(D12, CADASTRO_ITENS!A:C, 3, FALSE), "")</f>
      </c>
      <c r="F12" s="19">
        <f>IFERROR(VLOOKUP(D12, CADASTRO_ITENS!A:E, 5, FALSE), "")</f>
      </c>
      <c r="G12" s="19" t="s">
        <v>306</v>
      </c>
      <c r="H12" s="20" t="s">
        <v>134</v>
      </c>
      <c r="I12" s="19" t="s">
        <v>307</v>
      </c>
      <c r="J12" s="19" t="s">
        <v>308</v>
      </c>
      <c r="K12" s="26">
        <v>60</v>
      </c>
      <c r="L12" s="26">
        <v>0</v>
      </c>
      <c r="M12" s="27">
        <v>68</v>
      </c>
      <c r="N12" s="39">
        <f>M12*(K12+L12)</f>
      </c>
      <c r="O12" s="20" t="s">
        <v>303</v>
      </c>
      <c r="P12" s="20" t="s">
        <v>309</v>
      </c>
    </row>
    <row r="13" ht="22" customHeight="1" spans="1:16" x14ac:dyDescent="0.25">
      <c r="A13" s="29" t="s">
        <v>310</v>
      </c>
      <c r="B13" s="21" t="s">
        <v>284</v>
      </c>
      <c r="C13" s="42" t="s">
        <v>311</v>
      </c>
      <c r="D13" s="29" t="s">
        <v>161</v>
      </c>
      <c r="E13" s="22">
        <f>IFERROR(VLOOKUP(D13, CADASTRO_ITENS!A:C, 3, FALSE), "")</f>
      </c>
      <c r="F13" s="21">
        <f>IFERROR(VLOOKUP(D13, CADASTRO_ITENS!A:E, 5, FALSE), "")</f>
      </c>
      <c r="G13" s="21" t="s">
        <v>312</v>
      </c>
      <c r="H13" s="22" t="s">
        <v>313</v>
      </c>
      <c r="I13" s="21" t="s">
        <v>261</v>
      </c>
      <c r="J13" s="21" t="s">
        <v>262</v>
      </c>
      <c r="K13" s="31">
        <v>0</v>
      </c>
      <c r="L13" s="31">
        <v>25</v>
      </c>
      <c r="M13" s="32">
        <v>24.5</v>
      </c>
      <c r="N13" s="41">
        <f>M13*(K13+L13)</f>
      </c>
      <c r="O13" s="22" t="s">
        <v>314</v>
      </c>
      <c r="P13" s="22" t="s">
        <v>315</v>
      </c>
    </row>
    <row r="14" ht="22" customHeight="1" spans="1:16" x14ac:dyDescent="0.25">
      <c r="A14" s="24" t="s">
        <v>316</v>
      </c>
      <c r="B14" s="19" t="s">
        <v>284</v>
      </c>
      <c r="C14" s="43" t="s">
        <v>311</v>
      </c>
      <c r="D14" s="24" t="s">
        <v>166</v>
      </c>
      <c r="E14" s="20">
        <f>IFERROR(VLOOKUP(D14, CADASTRO_ITENS!A:C, 3, FALSE), "")</f>
      </c>
      <c r="F14" s="19">
        <f>IFERROR(VLOOKUP(D14, CADASTRO_ITENS!A:E, 5, FALSE), "")</f>
      </c>
      <c r="G14" s="19" t="s">
        <v>312</v>
      </c>
      <c r="H14" s="20" t="s">
        <v>313</v>
      </c>
      <c r="I14" s="19" t="s">
        <v>266</v>
      </c>
      <c r="J14" s="19" t="s">
        <v>267</v>
      </c>
      <c r="K14" s="26">
        <v>0</v>
      </c>
      <c r="L14" s="26">
        <v>20</v>
      </c>
      <c r="M14" s="27">
        <v>7.8</v>
      </c>
      <c r="N14" s="39">
        <f>M14*(K14+L14)</f>
      </c>
      <c r="O14" s="20" t="s">
        <v>314</v>
      </c>
      <c r="P14" s="20" t="s">
        <v>317</v>
      </c>
    </row>
    <row r="15" ht="22" customHeight="1" spans="1:16" x14ac:dyDescent="0.25">
      <c r="A15" s="29" t="s">
        <v>318</v>
      </c>
      <c r="B15" s="21" t="s">
        <v>284</v>
      </c>
      <c r="C15" s="42" t="s">
        <v>311</v>
      </c>
      <c r="D15" s="29" t="s">
        <v>184</v>
      </c>
      <c r="E15" s="22">
        <f>IFERROR(VLOOKUP(D15, CADASTRO_ITENS!A:C, 3, FALSE), "")</f>
      </c>
      <c r="F15" s="21">
        <f>IFERROR(VLOOKUP(D15, CADASTRO_ITENS!A:E, 5, FALSE), "")</f>
      </c>
      <c r="G15" s="21" t="s">
        <v>319</v>
      </c>
      <c r="H15" s="22" t="s">
        <v>313</v>
      </c>
      <c r="I15" s="21" t="s">
        <v>272</v>
      </c>
      <c r="J15" s="21" t="s">
        <v>273</v>
      </c>
      <c r="K15" s="31">
        <v>0</v>
      </c>
      <c r="L15" s="31">
        <v>60</v>
      </c>
      <c r="M15" s="32">
        <v>31.9</v>
      </c>
      <c r="N15" s="41">
        <f>M15*(K15+L15)</f>
      </c>
      <c r="O15" s="22" t="s">
        <v>274</v>
      </c>
      <c r="P15" s="22" t="s">
        <v>320</v>
      </c>
    </row>
    <row r="16" ht="22" customHeight="1" spans="1:16" x14ac:dyDescent="0.25">
      <c r="A16" s="24" t="s">
        <v>321</v>
      </c>
      <c r="B16" s="19" t="s">
        <v>284</v>
      </c>
      <c r="C16" s="43" t="s">
        <v>311</v>
      </c>
      <c r="D16" s="24" t="s">
        <v>197</v>
      </c>
      <c r="E16" s="20">
        <f>IFERROR(VLOOKUP(D16, CADASTRO_ITENS!A:C, 3, FALSE), "")</f>
      </c>
      <c r="F16" s="19">
        <f>IFERROR(VLOOKUP(D16, CADASTRO_ITENS!A:E, 5, FALSE), "")</f>
      </c>
      <c r="G16" s="19" t="s">
        <v>322</v>
      </c>
      <c r="H16" s="20" t="s">
        <v>323</v>
      </c>
      <c r="I16" s="19" t="s">
        <v>283</v>
      </c>
      <c r="J16" s="19" t="s">
        <v>284</v>
      </c>
      <c r="K16" s="26">
        <v>0</v>
      </c>
      <c r="L16" s="26">
        <v>15</v>
      </c>
      <c r="M16" s="27">
        <v>6.5</v>
      </c>
      <c r="N16" s="39">
        <f>M16*(K16+L16)</f>
      </c>
      <c r="O16" s="20" t="s">
        <v>314</v>
      </c>
      <c r="P16" s="20" t="s">
        <v>324</v>
      </c>
    </row>
    <row r="17" ht="22" customHeight="1" spans="1:16" x14ac:dyDescent="0.25">
      <c r="A17" s="29" t="s">
        <v>325</v>
      </c>
      <c r="B17" s="21" t="s">
        <v>326</v>
      </c>
      <c r="C17" s="42" t="s">
        <v>311</v>
      </c>
      <c r="D17" s="29" t="s">
        <v>217</v>
      </c>
      <c r="E17" s="22">
        <f>IFERROR(VLOOKUP(D17, CADASTRO_ITENS!A:C, 3, FALSE), "")</f>
      </c>
      <c r="F17" s="21">
        <f>IFERROR(VLOOKUP(D17, CADASTRO_ITENS!A:E, 5, FALSE), "")</f>
      </c>
      <c r="G17" s="21" t="s">
        <v>327</v>
      </c>
      <c r="H17" s="22" t="s">
        <v>328</v>
      </c>
      <c r="I17" s="21" t="s">
        <v>295</v>
      </c>
      <c r="J17" s="21" t="s">
        <v>296</v>
      </c>
      <c r="K17" s="31">
        <v>0</v>
      </c>
      <c r="L17" s="31">
        <v>40</v>
      </c>
      <c r="M17" s="32">
        <v>4.85</v>
      </c>
      <c r="N17" s="41">
        <f>M17*(K17+L17)</f>
      </c>
      <c r="O17" s="22" t="s">
        <v>314</v>
      </c>
      <c r="P17" s="22" t="s">
        <v>329</v>
      </c>
    </row>
    <row r="18" ht="22" customHeight="1" spans="1:16" x14ac:dyDescent="0.25">
      <c r="A18" s="24" t="s">
        <v>330</v>
      </c>
      <c r="B18" s="19" t="s">
        <v>326</v>
      </c>
      <c r="C18" s="43" t="s">
        <v>311</v>
      </c>
      <c r="D18" s="24" t="s">
        <v>223</v>
      </c>
      <c r="E18" s="20">
        <f>IFERROR(VLOOKUP(D18, CADASTRO_ITENS!A:C, 3, FALSE), "")</f>
      </c>
      <c r="F18" s="19">
        <f>IFERROR(VLOOKUP(D18, CADASTRO_ITENS!A:E, 5, FALSE), "")</f>
      </c>
      <c r="G18" s="19" t="s">
        <v>331</v>
      </c>
      <c r="H18" s="20" t="s">
        <v>332</v>
      </c>
      <c r="I18" s="19" t="s">
        <v>301</v>
      </c>
      <c r="J18" s="19" t="s">
        <v>302</v>
      </c>
      <c r="K18" s="26">
        <v>0</v>
      </c>
      <c r="L18" s="26">
        <v>5</v>
      </c>
      <c r="M18" s="27">
        <v>21</v>
      </c>
      <c r="N18" s="39">
        <f>M18*(K18+L18)</f>
      </c>
      <c r="O18" s="20" t="s">
        <v>333</v>
      </c>
      <c r="P18" s="20" t="s">
        <v>334</v>
      </c>
    </row>
    <row r="19" ht="22" customHeight="1" spans="1:16" x14ac:dyDescent="0.25">
      <c r="A19" s="29" t="s">
        <v>335</v>
      </c>
      <c r="B19" s="21" t="s">
        <v>336</v>
      </c>
      <c r="C19" s="42" t="s">
        <v>311</v>
      </c>
      <c r="D19" s="29" t="s">
        <v>232</v>
      </c>
      <c r="E19" s="22">
        <f>IFERROR(VLOOKUP(D19, CADASTRO_ITENS!A:C, 3, FALSE), "")</f>
      </c>
      <c r="F19" s="21">
        <f>IFERROR(VLOOKUP(D19, CADASTRO_ITENS!A:E, 5, FALSE), "")</f>
      </c>
      <c r="G19" s="21" t="s">
        <v>337</v>
      </c>
      <c r="H19" s="22" t="s">
        <v>338</v>
      </c>
      <c r="I19" s="21" t="s">
        <v>307</v>
      </c>
      <c r="J19" s="21" t="s">
        <v>308</v>
      </c>
      <c r="K19" s="31">
        <v>0</v>
      </c>
      <c r="L19" s="31">
        <v>10</v>
      </c>
      <c r="M19" s="32">
        <v>68</v>
      </c>
      <c r="N19" s="41">
        <f>M19*(K19+L19)</f>
      </c>
      <c r="O19" s="22" t="s">
        <v>339</v>
      </c>
      <c r="P19" s="22" t="s">
        <v>340</v>
      </c>
    </row>
    <row r="20" ht="26" customHeight="1" spans="1:16" x14ac:dyDescent="0.25">
      <c r="A20" s="44" t="s">
        <v>241</v>
      </c>
      <c r="B20" s="44" t="s">
        <v>242</v>
      </c>
      <c r="C20" s="44" t="s">
        <v>242</v>
      </c>
      <c r="D20" s="44" t="s">
        <v>242</v>
      </c>
      <c r="E20" s="44" t="s">
        <v>242</v>
      </c>
      <c r="F20" s="44" t="s">
        <v>242</v>
      </c>
      <c r="G20" s="44" t="s">
        <v>242</v>
      </c>
      <c r="H20" s="44" t="s">
        <v>242</v>
      </c>
      <c r="I20" s="44" t="s">
        <v>242</v>
      </c>
      <c r="J20" s="44" t="s">
        <v>242</v>
      </c>
      <c r="K20" s="45">
        <f>SUM(K4:K19)</f>
      </c>
      <c r="L20" s="45">
        <f>SUM(L4:L19)</f>
      </c>
      <c r="M20" s="45" t="s">
        <v>242</v>
      </c>
      <c r="N20" s="46">
        <f>SUM(N4:N19)</f>
      </c>
      <c r="O20" s="44" t="s">
        <v>242</v>
      </c>
      <c r="P20" s="44" t="s">
        <v>242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</sheetPr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20" customWidth="1"/>
    <col min="5" max="5" width="32" customWidth="1"/>
    <col min="6" max="6" width="14" customWidth="1"/>
    <col min="7" max="7" width="34" customWidth="1"/>
    <col min="8" max="9" width="16" customWidth="1"/>
    <col min="10" max="10" width="18" customWidth="1"/>
    <col min="11" max="11" width="22" customWidth="1"/>
    <col min="12" max="12" width="20" customWidth="1"/>
    <col min="13" max="13" width="26" customWidth="1"/>
    <col min="14" max="14" width="34" customWidth="1"/>
  </cols>
  <sheetData>
    <row r="1" ht="34" customHeight="1" spans="1:14" x14ac:dyDescent="0.25">
      <c r="A1" s="47" t="s">
        <v>341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20" customHeight="1" spans="1:14" x14ac:dyDescent="0.25">
      <c r="A2" s="18" t="s">
        <v>342</v>
      </c>
      <c r="B2"/>
      <c r="C2"/>
      <c r="D2"/>
      <c r="E2"/>
      <c r="F2"/>
      <c r="G2"/>
      <c r="H2"/>
      <c r="I2"/>
      <c r="J2"/>
      <c r="K2"/>
      <c r="L2"/>
      <c r="M2"/>
      <c r="N2"/>
    </row>
    <row r="3" ht="28" customHeight="1" spans="1:14" x14ac:dyDescent="0.25">
      <c r="A3" s="9" t="s">
        <v>343</v>
      </c>
      <c r="B3" s="9" t="s">
        <v>344</v>
      </c>
      <c r="C3" s="9" t="s">
        <v>345</v>
      </c>
      <c r="D3" s="9" t="s">
        <v>346</v>
      </c>
      <c r="E3" s="9" t="s">
        <v>347</v>
      </c>
      <c r="F3" s="9" t="s">
        <v>146</v>
      </c>
      <c r="G3" s="9" t="s">
        <v>148</v>
      </c>
      <c r="H3" s="9" t="s">
        <v>348</v>
      </c>
      <c r="I3" s="9" t="s">
        <v>349</v>
      </c>
      <c r="J3" s="9" t="s">
        <v>350</v>
      </c>
      <c r="K3" s="9" t="s">
        <v>351</v>
      </c>
      <c r="L3" s="9" t="s">
        <v>352</v>
      </c>
      <c r="M3" s="9" t="s">
        <v>353</v>
      </c>
      <c r="N3" s="9" t="s">
        <v>354</v>
      </c>
    </row>
    <row r="4" ht="22" customHeight="1" spans="1:14" x14ac:dyDescent="0.25">
      <c r="A4" s="24" t="s">
        <v>355</v>
      </c>
      <c r="B4" s="19" t="s">
        <v>290</v>
      </c>
      <c r="C4" s="19" t="s">
        <v>118</v>
      </c>
      <c r="D4" s="20" t="s">
        <v>356</v>
      </c>
      <c r="E4" s="20" t="s">
        <v>42</v>
      </c>
      <c r="F4" s="24" t="s">
        <v>161</v>
      </c>
      <c r="G4" s="20">
        <f>IFERROR(VLOOKUP(F4, CADASTRO_ITENS!A:C, 3, FALSE), "")</f>
      </c>
      <c r="H4" s="26">
        <v>100</v>
      </c>
      <c r="I4" s="26">
        <v>100</v>
      </c>
      <c r="J4" s="28">
        <f>H4-I4</f>
      </c>
      <c r="K4" s="38" t="s">
        <v>357</v>
      </c>
      <c r="L4" s="19" t="s">
        <v>358</v>
      </c>
      <c r="M4" s="20" t="s">
        <v>263</v>
      </c>
      <c r="N4" s="20" t="s">
        <v>359</v>
      </c>
    </row>
    <row r="5" ht="22" customHeight="1" spans="1:14" x14ac:dyDescent="0.25">
      <c r="A5" s="29" t="s">
        <v>360</v>
      </c>
      <c r="B5" s="21" t="s">
        <v>290</v>
      </c>
      <c r="C5" s="21" t="s">
        <v>118</v>
      </c>
      <c r="D5" s="22" t="s">
        <v>361</v>
      </c>
      <c r="E5" s="22" t="s">
        <v>201</v>
      </c>
      <c r="F5" s="29" t="s">
        <v>197</v>
      </c>
      <c r="G5" s="22">
        <f>IFERROR(VLOOKUP(F5, CADASTRO_ITENS!A:C, 3, FALSE), "")</f>
      </c>
      <c r="H5" s="31">
        <v>30</v>
      </c>
      <c r="I5" s="31">
        <v>30</v>
      </c>
      <c r="J5" s="33">
        <f>H5-I5</f>
      </c>
      <c r="K5" s="40" t="s">
        <v>357</v>
      </c>
      <c r="L5" s="21" t="s">
        <v>362</v>
      </c>
      <c r="M5" s="22" t="s">
        <v>285</v>
      </c>
      <c r="N5" s="22" t="s">
        <v>363</v>
      </c>
    </row>
    <row r="6" ht="22" customHeight="1" spans="1:14" x14ac:dyDescent="0.25">
      <c r="A6" s="24" t="s">
        <v>364</v>
      </c>
      <c r="B6" s="19" t="s">
        <v>365</v>
      </c>
      <c r="C6" s="19" t="s">
        <v>105</v>
      </c>
      <c r="D6" s="20" t="s">
        <v>366</v>
      </c>
      <c r="E6" s="20" t="s">
        <v>189</v>
      </c>
      <c r="F6" s="24" t="s">
        <v>184</v>
      </c>
      <c r="G6" s="20">
        <f>IFERROR(VLOOKUP(F6, CADASTRO_ITENS!A:C, 3, FALSE), "")</f>
      </c>
      <c r="H6" s="26">
        <v>150</v>
      </c>
      <c r="I6" s="26">
        <v>150</v>
      </c>
      <c r="J6" s="28">
        <f>H6-I6</f>
      </c>
      <c r="K6" s="38" t="s">
        <v>357</v>
      </c>
      <c r="L6" s="19" t="s">
        <v>367</v>
      </c>
      <c r="M6" s="20" t="s">
        <v>274</v>
      </c>
      <c r="N6" s="20" t="s">
        <v>368</v>
      </c>
    </row>
    <row r="7" ht="22" customHeight="1" spans="1:14" x14ac:dyDescent="0.25">
      <c r="A7" s="29" t="s">
        <v>369</v>
      </c>
      <c r="B7" s="21" t="s">
        <v>365</v>
      </c>
      <c r="C7" s="21" t="s">
        <v>105</v>
      </c>
      <c r="D7" s="22" t="s">
        <v>370</v>
      </c>
      <c r="E7" s="22" t="s">
        <v>222</v>
      </c>
      <c r="F7" s="29" t="s">
        <v>217</v>
      </c>
      <c r="G7" s="22">
        <f>IFERROR(VLOOKUP(F7, CADASTRO_ITENS!A:C, 3, FALSE), "")</f>
      </c>
      <c r="H7" s="31">
        <v>180</v>
      </c>
      <c r="I7" s="31">
        <v>180</v>
      </c>
      <c r="J7" s="33">
        <f>H7-I7</f>
      </c>
      <c r="K7" s="40" t="s">
        <v>357</v>
      </c>
      <c r="L7" s="21" t="s">
        <v>371</v>
      </c>
      <c r="M7" s="22" t="s">
        <v>263</v>
      </c>
      <c r="N7" s="22" t="s">
        <v>372</v>
      </c>
    </row>
    <row r="8" ht="22" customHeight="1" spans="1:14" x14ac:dyDescent="0.25">
      <c r="A8" s="24" t="s">
        <v>373</v>
      </c>
      <c r="B8" s="19" t="s">
        <v>374</v>
      </c>
      <c r="C8" s="19" t="s">
        <v>375</v>
      </c>
      <c r="D8" s="20" t="s">
        <v>376</v>
      </c>
      <c r="E8" s="20" t="s">
        <v>216</v>
      </c>
      <c r="F8" s="24" t="s">
        <v>212</v>
      </c>
      <c r="G8" s="20">
        <f>IFERROR(VLOOKUP(F8, CADASTRO_ITENS!A:C, 3, FALSE), "")</f>
      </c>
      <c r="H8" s="26">
        <v>40</v>
      </c>
      <c r="I8" s="26">
        <v>40</v>
      </c>
      <c r="J8" s="28">
        <f>H8-I8</f>
      </c>
      <c r="K8" s="38" t="s">
        <v>357</v>
      </c>
      <c r="L8" s="19" t="s">
        <v>377</v>
      </c>
      <c r="M8" s="20" t="s">
        <v>378</v>
      </c>
      <c r="N8" s="20" t="s">
        <v>379</v>
      </c>
    </row>
    <row r="9" ht="22" customHeight="1" spans="1:14" x14ac:dyDescent="0.25">
      <c r="A9" s="29" t="s">
        <v>380</v>
      </c>
      <c r="B9" s="21" t="s">
        <v>381</v>
      </c>
      <c r="C9" s="21" t="s">
        <v>118</v>
      </c>
      <c r="D9" s="22" t="s">
        <v>382</v>
      </c>
      <c r="E9" s="22" t="s">
        <v>42</v>
      </c>
      <c r="F9" s="29" t="s">
        <v>202</v>
      </c>
      <c r="G9" s="22">
        <f>IFERROR(VLOOKUP(F9, CADASTRO_ITENS!A:C, 3, FALSE), "")</f>
      </c>
      <c r="H9" s="31">
        <v>80</v>
      </c>
      <c r="I9" s="31">
        <v>0</v>
      </c>
      <c r="J9" s="33">
        <f>H9-I9</f>
      </c>
      <c r="K9" s="48" t="s">
        <v>383</v>
      </c>
      <c r="L9" s="21" t="s">
        <v>242</v>
      </c>
      <c r="M9" s="22" t="s">
        <v>384</v>
      </c>
      <c r="N9" s="22" t="s">
        <v>385</v>
      </c>
    </row>
    <row r="10" ht="22" customHeight="1" spans="1:14" x14ac:dyDescent="0.25">
      <c r="A10" s="24" t="s">
        <v>386</v>
      </c>
      <c r="B10" s="19" t="s">
        <v>387</v>
      </c>
      <c r="C10" s="19" t="s">
        <v>105</v>
      </c>
      <c r="D10" s="20" t="s">
        <v>366</v>
      </c>
      <c r="E10" s="20" t="s">
        <v>189</v>
      </c>
      <c r="F10" s="24" t="s">
        <v>190</v>
      </c>
      <c r="G10" s="20">
        <f>IFERROR(VLOOKUP(F10, CADASTRO_ITENS!A:C, 3, FALSE), "")</f>
      </c>
      <c r="H10" s="26">
        <v>200</v>
      </c>
      <c r="I10" s="26">
        <v>0</v>
      </c>
      <c r="J10" s="28">
        <f>H10-I10</f>
      </c>
      <c r="K10" s="49" t="s">
        <v>383</v>
      </c>
      <c r="L10" s="19" t="s">
        <v>242</v>
      </c>
      <c r="M10" s="20" t="s">
        <v>384</v>
      </c>
      <c r="N10" s="20" t="s">
        <v>388</v>
      </c>
    </row>
    <row r="11" ht="22" customHeight="1" spans="1:14" x14ac:dyDescent="0.25">
      <c r="A11" s="29" t="s">
        <v>389</v>
      </c>
      <c r="B11" s="21" t="s">
        <v>390</v>
      </c>
      <c r="C11" s="21" t="s">
        <v>142</v>
      </c>
      <c r="D11" s="22" t="s">
        <v>391</v>
      </c>
      <c r="E11" s="22" t="s">
        <v>228</v>
      </c>
      <c r="F11" s="29" t="s">
        <v>223</v>
      </c>
      <c r="G11" s="22">
        <f>IFERROR(VLOOKUP(F11, CADASTRO_ITENS!A:C, 3, FALSE), "")</f>
      </c>
      <c r="H11" s="31">
        <v>20</v>
      </c>
      <c r="I11" s="31">
        <v>0</v>
      </c>
      <c r="J11" s="33">
        <f>H11-I11</f>
      </c>
      <c r="K11" s="48" t="s">
        <v>383</v>
      </c>
      <c r="L11" s="21" t="s">
        <v>242</v>
      </c>
      <c r="M11" s="22" t="s">
        <v>384</v>
      </c>
      <c r="N11" s="22" t="s">
        <v>392</v>
      </c>
    </row>
    <row r="12" ht="22" customHeight="1" spans="1:14" x14ac:dyDescent="0.25">
      <c r="A12" s="24" t="s">
        <v>393</v>
      </c>
      <c r="B12" s="19" t="s">
        <v>394</v>
      </c>
      <c r="C12" s="19" t="s">
        <v>80</v>
      </c>
      <c r="D12" s="20" t="s">
        <v>395</v>
      </c>
      <c r="E12" s="20" t="s">
        <v>170</v>
      </c>
      <c r="F12" s="24" t="s">
        <v>171</v>
      </c>
      <c r="G12" s="20">
        <f>IFERROR(VLOOKUP(F12, CADASTRO_ITENS!A:C, 3, FALSE), "")</f>
      </c>
      <c r="H12" s="26">
        <v>120</v>
      </c>
      <c r="I12" s="26">
        <v>0</v>
      </c>
      <c r="J12" s="28">
        <f>H12-I12</f>
      </c>
      <c r="K12" s="49" t="s">
        <v>383</v>
      </c>
      <c r="L12" s="19" t="s">
        <v>242</v>
      </c>
      <c r="M12" s="20" t="s">
        <v>384</v>
      </c>
      <c r="N12" s="20" t="s">
        <v>396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338CA"/>
    <pageSetUpPr fitToPage="1"/>
  </sheetPr>
  <dimension ref="B2:J28"/>
  <sheetViews>
    <sheetView workbookViewId="0"/>
  </sheetViews>
  <sheetFormatPr defaultRowHeight="15" outlineLevelRow="0" outlineLevelCol="0" x14ac:dyDescent="55"/>
  <cols>
    <col min="1" max="1" width="4" customWidth="1"/>
    <col min="2" max="5" width="14" customWidth="1"/>
    <col min="6" max="6" width="3" customWidth="1"/>
    <col min="7" max="10" width="14" customWidth="1"/>
  </cols>
  <sheetData>
    <row r="2" ht="36" customHeight="1" spans="2:10" x14ac:dyDescent="0.25">
      <c r="B2" s="50" t="s">
        <v>397</v>
      </c>
      <c r="C2"/>
      <c r="D2"/>
      <c r="E2"/>
      <c r="F2"/>
      <c r="G2"/>
      <c r="H2"/>
      <c r="I2"/>
      <c r="J2"/>
    </row>
    <row r="3" ht="24" customHeight="1" spans="2:10" x14ac:dyDescent="0.25">
      <c r="B3" s="51" t="s">
        <v>398</v>
      </c>
      <c r="C3"/>
      <c r="D3"/>
      <c r="E3"/>
      <c r="F3"/>
      <c r="G3"/>
      <c r="H3"/>
      <c r="I3"/>
      <c r="J3"/>
    </row>
    <row r="4" ht="28" customHeight="1" spans="2:10" x14ac:dyDescent="0.25">
      <c r="B4" s="52" t="s">
        <v>399</v>
      </c>
      <c r="C4" s="53" t="s">
        <v>161</v>
      </c>
      <c r="D4"/>
      <c r="E4" s="54" t="s">
        <v>400</v>
      </c>
      <c r="F4" s="55">
        <f>IFERROR(VLOOKUP(C4, CADASTRO_ITENS!A:C, 3, FALSE), "ITEM NÃO ENCONTRADO")</f>
      </c>
      <c r="G4"/>
      <c r="H4"/>
      <c r="I4"/>
      <c r="J4"/>
    </row>
    <row r="6" ht="20" customHeight="1" spans="2:10" x14ac:dyDescent="0.25">
      <c r="B6" s="56" t="s">
        <v>401</v>
      </c>
      <c r="C6"/>
      <c r="D6"/>
      <c r="E6"/>
      <c r="G6" s="56" t="s">
        <v>401</v>
      </c>
      <c r="H6"/>
      <c r="I6"/>
      <c r="J6"/>
    </row>
    <row r="7" ht="30" customHeight="1" spans="2:10" x14ac:dyDescent="0.25">
      <c r="B7" s="57" t="s">
        <v>163</v>
      </c>
      <c r="C7"/>
      <c r="D7"/>
      <c r="E7"/>
      <c r="G7" s="57" t="s">
        <v>168</v>
      </c>
      <c r="H7"/>
      <c r="I7"/>
      <c r="J7"/>
    </row>
    <row r="8" ht="18" customHeight="1" spans="2:10" x14ac:dyDescent="0.25">
      <c r="B8" s="58" t="s">
        <v>402</v>
      </c>
      <c r="C8"/>
      <c r="D8" s="58" t="s">
        <v>403</v>
      </c>
      <c r="E8"/>
      <c r="G8" s="58" t="s">
        <v>404</v>
      </c>
      <c r="H8"/>
      <c r="I8" s="58" t="s">
        <v>405</v>
      </c>
      <c r="J8"/>
    </row>
    <row r="9" ht="18" customHeight="1" spans="2:10" x14ac:dyDescent="0.25">
      <c r="B9" s="58" t="s">
        <v>406</v>
      </c>
      <c r="C9"/>
      <c r="D9" s="59" t="s">
        <v>407</v>
      </c>
      <c r="E9"/>
      <c r="G9" s="58" t="s">
        <v>408</v>
      </c>
      <c r="H9"/>
      <c r="I9" s="59" t="s">
        <v>407</v>
      </c>
      <c r="J9"/>
    </row>
    <row r="10" ht="24" customHeight="1" spans="2:10" x14ac:dyDescent="0.25">
      <c r="B10" s="60" t="s">
        <v>409</v>
      </c>
      <c r="C10"/>
      <c r="D10"/>
      <c r="E10"/>
      <c r="G10" s="60" t="s">
        <v>410</v>
      </c>
      <c r="H10"/>
      <c r="I10"/>
      <c r="J10"/>
    </row>
    <row r="11" ht="20" customHeight="1" spans="2:10" x14ac:dyDescent="0.25">
      <c r="B11" s="61" t="s">
        <v>411</v>
      </c>
      <c r="C11"/>
      <c r="D11"/>
      <c r="E11"/>
      <c r="G11" s="61" t="s">
        <v>412</v>
      </c>
      <c r="H11"/>
      <c r="I11"/>
      <c r="J11"/>
    </row>
    <row r="12" ht="18" customHeight="1" spans="2:10" x14ac:dyDescent="0.25">
      <c r="B12" s="62" t="s">
        <v>413</v>
      </c>
      <c r="C12"/>
      <c r="D12"/>
      <c r="E12"/>
      <c r="G12" s="62" t="s">
        <v>413</v>
      </c>
      <c r="H12"/>
      <c r="I12"/>
      <c r="J12"/>
    </row>
    <row r="14" ht="20" customHeight="1" spans="2:10" x14ac:dyDescent="0.25">
      <c r="B14" s="56" t="s">
        <v>401</v>
      </c>
      <c r="C14"/>
      <c r="D14"/>
      <c r="E14"/>
      <c r="G14" s="56" t="s">
        <v>401</v>
      </c>
      <c r="H14"/>
      <c r="I14"/>
      <c r="J14"/>
    </row>
    <row r="15" ht="30" customHeight="1" spans="2:10" x14ac:dyDescent="0.25">
      <c r="B15" s="57" t="s">
        <v>186</v>
      </c>
      <c r="C15"/>
      <c r="D15"/>
      <c r="E15"/>
      <c r="G15" s="57" t="s">
        <v>192</v>
      </c>
      <c r="H15"/>
      <c r="I15"/>
      <c r="J15"/>
    </row>
    <row r="16" ht="18" customHeight="1" spans="2:10" x14ac:dyDescent="0.25">
      <c r="B16" s="58" t="s">
        <v>414</v>
      </c>
      <c r="C16"/>
      <c r="D16" s="58" t="s">
        <v>415</v>
      </c>
      <c r="E16"/>
      <c r="G16" s="58" t="s">
        <v>416</v>
      </c>
      <c r="H16"/>
      <c r="I16" s="58" t="s">
        <v>415</v>
      </c>
      <c r="J16"/>
    </row>
    <row r="17" ht="18" customHeight="1" spans="2:10" x14ac:dyDescent="0.25">
      <c r="B17" s="58" t="s">
        <v>417</v>
      </c>
      <c r="C17"/>
      <c r="D17" s="59" t="s">
        <v>418</v>
      </c>
      <c r="E17"/>
      <c r="G17" s="58" t="s">
        <v>419</v>
      </c>
      <c r="H17"/>
      <c r="I17" s="59" t="s">
        <v>418</v>
      </c>
      <c r="J17"/>
    </row>
    <row r="18" ht="24" customHeight="1" spans="2:10" x14ac:dyDescent="0.25">
      <c r="B18" s="60" t="s">
        <v>420</v>
      </c>
      <c r="C18"/>
      <c r="D18"/>
      <c r="E18"/>
      <c r="G18" s="60" t="s">
        <v>421</v>
      </c>
      <c r="H18"/>
      <c r="I18"/>
      <c r="J18"/>
    </row>
    <row r="19" ht="20" customHeight="1" spans="2:10" x14ac:dyDescent="0.25">
      <c r="B19" s="61" t="s">
        <v>422</v>
      </c>
      <c r="C19"/>
      <c r="D19"/>
      <c r="E19"/>
      <c r="G19" s="61" t="s">
        <v>423</v>
      </c>
      <c r="H19"/>
      <c r="I19"/>
      <c r="J19"/>
    </row>
    <row r="20" ht="18" customHeight="1" spans="2:10" x14ac:dyDescent="0.25">
      <c r="B20" s="62" t="s">
        <v>424</v>
      </c>
      <c r="C20"/>
      <c r="D20"/>
      <c r="E20"/>
      <c r="G20" s="62" t="s">
        <v>424</v>
      </c>
      <c r="H20"/>
      <c r="I20"/>
      <c r="J20"/>
    </row>
    <row r="22" ht="20" customHeight="1" spans="2:10" x14ac:dyDescent="0.25">
      <c r="B22" s="56" t="s">
        <v>401</v>
      </c>
      <c r="C22"/>
      <c r="D22"/>
      <c r="E22"/>
      <c r="G22" s="56" t="s">
        <v>401</v>
      </c>
      <c r="H22"/>
      <c r="I22"/>
      <c r="J22"/>
    </row>
    <row r="23" ht="30" customHeight="1" spans="2:10" x14ac:dyDescent="0.25">
      <c r="B23" s="57" t="s">
        <v>219</v>
      </c>
      <c r="C23"/>
      <c r="D23"/>
      <c r="E23"/>
      <c r="G23" s="57" t="s">
        <v>225</v>
      </c>
      <c r="H23"/>
      <c r="I23"/>
      <c r="J23"/>
    </row>
    <row r="24" ht="18" customHeight="1" spans="2:10" x14ac:dyDescent="0.25">
      <c r="B24" s="58" t="s">
        <v>425</v>
      </c>
      <c r="C24"/>
      <c r="D24" s="58" t="s">
        <v>426</v>
      </c>
      <c r="E24"/>
      <c r="G24" s="58" t="s">
        <v>427</v>
      </c>
      <c r="H24"/>
      <c r="I24" s="58" t="s">
        <v>428</v>
      </c>
      <c r="J24"/>
    </row>
    <row r="25" ht="18" customHeight="1" spans="2:10" x14ac:dyDescent="0.25">
      <c r="B25" s="58" t="s">
        <v>429</v>
      </c>
      <c r="C25"/>
      <c r="D25" s="59" t="s">
        <v>430</v>
      </c>
      <c r="E25"/>
      <c r="G25" s="58" t="s">
        <v>431</v>
      </c>
      <c r="H25"/>
      <c r="I25" s="59" t="s">
        <v>432</v>
      </c>
      <c r="J25"/>
    </row>
    <row r="26" ht="24" customHeight="1" spans="2:10" x14ac:dyDescent="0.25">
      <c r="B26" s="60" t="s">
        <v>433</v>
      </c>
      <c r="C26"/>
      <c r="D26"/>
      <c r="E26"/>
      <c r="G26" s="60" t="s">
        <v>434</v>
      </c>
      <c r="H26"/>
      <c r="I26"/>
      <c r="J26"/>
    </row>
    <row r="27" ht="20" customHeight="1" spans="2:10" x14ac:dyDescent="0.25">
      <c r="B27" s="61" t="s">
        <v>435</v>
      </c>
      <c r="C27"/>
      <c r="D27"/>
      <c r="E27"/>
      <c r="G27" s="61" t="s">
        <v>436</v>
      </c>
      <c r="H27"/>
      <c r="I27"/>
      <c r="J27"/>
    </row>
    <row r="28" ht="18" customHeight="1" spans="2:10" x14ac:dyDescent="0.25">
      <c r="B28" s="62" t="s">
        <v>437</v>
      </c>
      <c r="C28"/>
      <c r="D28"/>
      <c r="E28"/>
      <c r="G28" s="62" t="s">
        <v>438</v>
      </c>
      <c r="H28"/>
      <c r="I28"/>
      <c r="J28"/>
    </row>
  </sheetData>
  <mergeCells count="58">
    <mergeCell ref="B2:J2"/>
    <mergeCell ref="B3:J3"/>
    <mergeCell ref="C4:D4"/>
    <mergeCell ref="F4:J4"/>
    <mergeCell ref="B6:E6"/>
    <mergeCell ref="G6:J6"/>
    <mergeCell ref="B7:E7"/>
    <mergeCell ref="G7:J7"/>
    <mergeCell ref="B8:C8"/>
    <mergeCell ref="D8:E8"/>
    <mergeCell ref="G8:H8"/>
    <mergeCell ref="I8:J8"/>
    <mergeCell ref="B9:C9"/>
    <mergeCell ref="D9:E9"/>
    <mergeCell ref="G9:H9"/>
    <mergeCell ref="I9:J9"/>
    <mergeCell ref="B10:E10"/>
    <mergeCell ref="G10:J10"/>
    <mergeCell ref="B11:E11"/>
    <mergeCell ref="G11:J11"/>
    <mergeCell ref="B12:E12"/>
    <mergeCell ref="G12:J12"/>
    <mergeCell ref="B14:E14"/>
    <mergeCell ref="G14:J14"/>
    <mergeCell ref="B15:E15"/>
    <mergeCell ref="G15:J15"/>
    <mergeCell ref="B16:C16"/>
    <mergeCell ref="D16:E16"/>
    <mergeCell ref="G16:H16"/>
    <mergeCell ref="I16:J16"/>
    <mergeCell ref="B17:C17"/>
    <mergeCell ref="D17:E17"/>
    <mergeCell ref="G17:H17"/>
    <mergeCell ref="I17:J17"/>
    <mergeCell ref="B18:E18"/>
    <mergeCell ref="G18:J18"/>
    <mergeCell ref="B19:E19"/>
    <mergeCell ref="G19:J19"/>
    <mergeCell ref="B20:E20"/>
    <mergeCell ref="G20:J20"/>
    <mergeCell ref="B22:E22"/>
    <mergeCell ref="G22:J22"/>
    <mergeCell ref="B23:E23"/>
    <mergeCell ref="G23:J23"/>
    <mergeCell ref="B24:C24"/>
    <mergeCell ref="D24:E24"/>
    <mergeCell ref="G24:H24"/>
    <mergeCell ref="I24:J24"/>
    <mergeCell ref="B25:C25"/>
    <mergeCell ref="D25:E25"/>
    <mergeCell ref="G25:H25"/>
    <mergeCell ref="I25:J25"/>
    <mergeCell ref="B26:E26"/>
    <mergeCell ref="G26:J26"/>
    <mergeCell ref="B27:E27"/>
    <mergeCell ref="G27:J27"/>
    <mergeCell ref="B28:E28"/>
    <mergeCell ref="G28:J28"/>
  </mergeCells>
  <pageMargins left="0.3" right="0.3" top="0.4" bottom="0.4" header="0.1" footer="0.1"/>
  <pageSetup paperSize="9"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K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8" customWidth="1"/>
    <col min="4" max="4" width="30" customWidth="1"/>
    <col min="5" max="5" width="26" customWidth="1"/>
    <col min="6" max="9" width="16" customWidth="1"/>
    <col min="10" max="10" width="26" customWidth="1"/>
    <col min="11" max="11" width="32" customWidth="1"/>
  </cols>
  <sheetData>
    <row r="1" ht="34" customHeight="1" spans="1:11" x14ac:dyDescent="0.25">
      <c r="A1" s="63" t="s">
        <v>439</v>
      </c>
      <c r="B1"/>
      <c r="C1"/>
      <c r="D1"/>
      <c r="E1"/>
      <c r="F1"/>
      <c r="G1"/>
      <c r="H1"/>
      <c r="I1"/>
      <c r="J1"/>
      <c r="K1"/>
    </row>
    <row r="2" ht="20" customHeight="1" spans="1:11" x14ac:dyDescent="0.25">
      <c r="A2" s="18" t="s">
        <v>440</v>
      </c>
      <c r="B2"/>
      <c r="C2"/>
      <c r="D2"/>
      <c r="E2"/>
      <c r="F2"/>
      <c r="G2"/>
      <c r="H2"/>
      <c r="I2"/>
      <c r="J2"/>
      <c r="K2"/>
    </row>
    <row r="3" ht="28" customHeight="1" spans="1:11" x14ac:dyDescent="0.25">
      <c r="A3" s="11" t="s">
        <v>146</v>
      </c>
      <c r="B3" s="11" t="s">
        <v>148</v>
      </c>
      <c r="C3" s="11" t="s">
        <v>250</v>
      </c>
      <c r="D3" s="11" t="s">
        <v>347</v>
      </c>
      <c r="E3" s="11" t="s">
        <v>441</v>
      </c>
      <c r="F3" s="11" t="s">
        <v>442</v>
      </c>
      <c r="G3" s="11" t="s">
        <v>443</v>
      </c>
      <c r="H3" s="11" t="s">
        <v>444</v>
      </c>
      <c r="I3" s="11" t="s">
        <v>445</v>
      </c>
      <c r="J3" s="11" t="s">
        <v>446</v>
      </c>
      <c r="K3" s="11" t="s">
        <v>447</v>
      </c>
    </row>
    <row r="4" ht="22" customHeight="1" spans="1:11" x14ac:dyDescent="0.25">
      <c r="A4" s="24" t="s">
        <v>197</v>
      </c>
      <c r="B4" s="25">
        <f>IFERROR(VLOOKUP(A4, CADASTRO_ITENS!A:C, 3, FALSE), "")</f>
      </c>
      <c r="C4" s="24" t="s">
        <v>283</v>
      </c>
      <c r="D4" s="20" t="s">
        <v>109</v>
      </c>
      <c r="E4" s="20" t="s">
        <v>200</v>
      </c>
      <c r="F4" s="19" t="s">
        <v>281</v>
      </c>
      <c r="G4" s="24" t="s">
        <v>448</v>
      </c>
      <c r="H4" s="26">
        <v>30</v>
      </c>
      <c r="I4" s="24">
        <f>DATEVALUE(G4) - TODAY()</f>
      </c>
      <c r="J4" s="24">
        <f>IF(I4&lt;0, "⛔ VENCIDO", IF(I4&lt;=15, "🚨 CRÍTICO (≤15d)", IF(I4&lt;=30, "⚠️ ALERTA (≤30d)", IF(I4&lt;=60, "🟡 ATENÇÃO (≤60d)", "🟢 OK (REGULAR)"))))</f>
      </c>
      <c r="K4" s="20" t="s">
        <v>449</v>
      </c>
    </row>
    <row r="5" ht="22" customHeight="1" spans="1:11" x14ac:dyDescent="0.25">
      <c r="A5" s="29" t="s">
        <v>202</v>
      </c>
      <c r="B5" s="30">
        <f>IFERROR(VLOOKUP(A5, CADASTRO_ITENS!A:C, 3, FALSE), "")</f>
      </c>
      <c r="C5" s="29" t="s">
        <v>289</v>
      </c>
      <c r="D5" s="22" t="s">
        <v>42</v>
      </c>
      <c r="E5" s="22" t="s">
        <v>200</v>
      </c>
      <c r="F5" s="21" t="s">
        <v>281</v>
      </c>
      <c r="G5" s="29" t="s">
        <v>450</v>
      </c>
      <c r="H5" s="31">
        <v>90</v>
      </c>
      <c r="I5" s="29">
        <f>DATEVALUE(G5) - TODAY()</f>
      </c>
      <c r="J5" s="29">
        <f>IF(I5&lt;0, "⛔ VENCIDO", IF(I5&lt;=15, "🚨 CRÍTICO (≤15d)", IF(I5&lt;=30, "⚠️ ALERTA (≤30d)", IF(I5&lt;=60, "🟡 ATENÇÃO (≤60d)", "🟢 OK (REGULAR)"))))</f>
      </c>
      <c r="K5" s="22" t="s">
        <v>451</v>
      </c>
    </row>
    <row r="6" ht="22" customHeight="1" spans="1:11" x14ac:dyDescent="0.25">
      <c r="A6" s="24" t="s">
        <v>184</v>
      </c>
      <c r="B6" s="25">
        <f>IFERROR(VLOOKUP(A6, CADASTRO_ITENS!A:C, 3, FALSE), "")</f>
      </c>
      <c r="C6" s="24" t="s">
        <v>272</v>
      </c>
      <c r="D6" s="20" t="s">
        <v>57</v>
      </c>
      <c r="E6" s="20" t="s">
        <v>452</v>
      </c>
      <c r="F6" s="19" t="s">
        <v>270</v>
      </c>
      <c r="G6" s="24" t="s">
        <v>453</v>
      </c>
      <c r="H6" s="26">
        <v>160</v>
      </c>
      <c r="I6" s="24">
        <f>DATEVALUE(G6) - TODAY()</f>
      </c>
      <c r="J6" s="24">
        <f>IF(I6&lt;0, "⛔ VENCIDO", IF(I6&lt;=15, "🚨 CRÍTICO (≤15d)", IF(I6&lt;=30, "⚠️ ALERTA (≤30d)", IF(I6&lt;=60, "🟡 ATENÇÃO (≤60d)", "🟢 OK (REGULAR)"))))</f>
      </c>
      <c r="K6" s="20" t="s">
        <v>454</v>
      </c>
    </row>
    <row r="7" ht="22" customHeight="1" spans="1:11" x14ac:dyDescent="0.25">
      <c r="A7" s="29" t="s">
        <v>190</v>
      </c>
      <c r="B7" s="30">
        <f>IFERROR(VLOOKUP(A7, CADASTRO_ITENS!A:C, 3, FALSE), "")</f>
      </c>
      <c r="C7" s="29" t="s">
        <v>277</v>
      </c>
      <c r="D7" s="22" t="s">
        <v>57</v>
      </c>
      <c r="E7" s="22" t="s">
        <v>455</v>
      </c>
      <c r="F7" s="21" t="s">
        <v>270</v>
      </c>
      <c r="G7" s="29" t="s">
        <v>278</v>
      </c>
      <c r="H7" s="31">
        <v>300</v>
      </c>
      <c r="I7" s="29">
        <f>DATEVALUE(G7) - TODAY()</f>
      </c>
      <c r="J7" s="29">
        <f>IF(I7&lt;0, "⛔ VENCIDO", IF(I7&lt;=15, "🚨 CRÍTICO (≤15d)", IF(I7&lt;=30, "⚠️ ALERTA (≤30d)", IF(I7&lt;=60, "🟡 ATENÇÃO (≤60d)", "🟢 OK (REGULAR)"))))</f>
      </c>
      <c r="K7" s="22" t="s">
        <v>456</v>
      </c>
    </row>
    <row r="8" ht="22" customHeight="1" spans="1:11" x14ac:dyDescent="0.25">
      <c r="A8" s="24" t="s">
        <v>217</v>
      </c>
      <c r="B8" s="25">
        <f>IFERROR(VLOOKUP(A8, CADASTRO_ITENS!A:C, 3, FALSE), "")</f>
      </c>
      <c r="C8" s="24" t="s">
        <v>295</v>
      </c>
      <c r="D8" s="20" t="s">
        <v>96</v>
      </c>
      <c r="E8" s="20" t="s">
        <v>457</v>
      </c>
      <c r="F8" s="19" t="s">
        <v>293</v>
      </c>
      <c r="G8" s="24" t="s">
        <v>296</v>
      </c>
      <c r="H8" s="26">
        <v>200</v>
      </c>
      <c r="I8" s="24">
        <f>DATEVALUE(G8) - TODAY()</f>
      </c>
      <c r="J8" s="24">
        <f>IF(I8&lt;0, "⛔ VENCIDO", IF(I8&lt;=15, "🚨 CRÍTICO (≤15d)", IF(I8&lt;=30, "⚠️ ALERTA (≤30d)", IF(I8&lt;=60, "🟡 ATENÇÃO (≤60d)", "🟢 OK (REGULAR)"))))</f>
      </c>
      <c r="K8" s="20" t="s">
        <v>458</v>
      </c>
    </row>
    <row r="9" ht="22" customHeight="1" spans="1:11" x14ac:dyDescent="0.25">
      <c r="A9" s="29" t="s">
        <v>166</v>
      </c>
      <c r="B9" s="30">
        <f>IFERROR(VLOOKUP(A9, CADASTRO_ITENS!A:C, 3, FALSE), "")</f>
      </c>
      <c r="C9" s="29" t="s">
        <v>266</v>
      </c>
      <c r="D9" s="22" t="s">
        <v>42</v>
      </c>
      <c r="E9" s="22" t="s">
        <v>459</v>
      </c>
      <c r="F9" s="21" t="s">
        <v>258</v>
      </c>
      <c r="G9" s="29" t="s">
        <v>267</v>
      </c>
      <c r="H9" s="31">
        <v>100</v>
      </c>
      <c r="I9" s="29">
        <f>DATEVALUE(G9) - TODAY()</f>
      </c>
      <c r="J9" s="29">
        <f>IF(I9&lt;0, "⛔ VENCIDO", IF(I9&lt;=15, "🚨 CRÍTICO (≤15d)", IF(I9&lt;=30, "⚠️ ALERTA (≤30d)", IF(I9&lt;=60, "🟡 ATENÇÃO (≤60d)", "🟢 OK (REGULAR)"))))</f>
      </c>
      <c r="K9" s="22" t="s">
        <v>460</v>
      </c>
    </row>
    <row r="10" ht="22" customHeight="1" spans="1:11" x14ac:dyDescent="0.25">
      <c r="A10" s="24" t="s">
        <v>161</v>
      </c>
      <c r="B10" s="25">
        <f>IFERROR(VLOOKUP(A10, CADASTRO_ITENS!A:C, 3, FALSE), "")</f>
      </c>
      <c r="C10" s="24" t="s">
        <v>261</v>
      </c>
      <c r="D10" s="20" t="s">
        <v>42</v>
      </c>
      <c r="E10" s="20" t="s">
        <v>461</v>
      </c>
      <c r="F10" s="19" t="s">
        <v>258</v>
      </c>
      <c r="G10" s="24" t="s">
        <v>262</v>
      </c>
      <c r="H10" s="26">
        <v>125</v>
      </c>
      <c r="I10" s="24">
        <f>DATEVALUE(G10) - TODAY()</f>
      </c>
      <c r="J10" s="24">
        <f>IF(I10&lt;0, "⛔ VENCIDO", IF(I10&lt;=15, "🚨 CRÍTICO (≤15d)", IF(I10&lt;=30, "⚠️ ALERTA (≤30d)", IF(I10&lt;=60, "🟡 ATENÇÃO (≤60d)", "🟢 OK (REGULAR)"))))</f>
      </c>
      <c r="K10" s="20" t="s">
        <v>462</v>
      </c>
    </row>
    <row r="11" ht="22" customHeight="1" spans="1:11" x14ac:dyDescent="0.25">
      <c r="A11" s="29" t="s">
        <v>223</v>
      </c>
      <c r="B11" s="30">
        <f>IFERROR(VLOOKUP(A11, CADASTRO_ITENS!A:C, 3, FALSE), "")</f>
      </c>
      <c r="C11" s="29" t="s">
        <v>301</v>
      </c>
      <c r="D11" s="22" t="s">
        <v>228</v>
      </c>
      <c r="E11" s="22" t="s">
        <v>463</v>
      </c>
      <c r="F11" s="21" t="s">
        <v>299</v>
      </c>
      <c r="G11" s="29" t="s">
        <v>302</v>
      </c>
      <c r="H11" s="31">
        <v>25</v>
      </c>
      <c r="I11" s="29">
        <f>DATEVALUE(G11) - TODAY()</f>
      </c>
      <c r="J11" s="29">
        <f>IF(I11&lt;0, "⛔ VENCIDO", IF(I11&lt;=15, "🚨 CRÍTICO (≤15d)", IF(I11&lt;=30, "⚠️ ALERTA (≤30d)", IF(I11&lt;=60, "🟡 ATENÇÃO (≤60d)", "🟢 OK (REGULAR)"))))</f>
      </c>
      <c r="K11" s="22" t="s">
        <v>464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34155"/>
  </sheetPr>
  <dimension ref="B2:C1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75" customWidth="1"/>
  </cols>
  <sheetData>
    <row r="2" ht="36" customHeight="1" spans="2:3" x14ac:dyDescent="0.25">
      <c r="B2" s="64" t="s">
        <v>465</v>
      </c>
      <c r="C2"/>
    </row>
    <row r="4" ht="34" customHeight="1" spans="2:3" x14ac:dyDescent="0.25">
      <c r="B4" s="65" t="s">
        <v>466</v>
      </c>
      <c r="C4" s="66" t="s">
        <v>467</v>
      </c>
    </row>
    <row r="5" ht="34" customHeight="1" spans="2:3" x14ac:dyDescent="0.25">
      <c r="B5" s="65" t="s">
        <v>468</v>
      </c>
      <c r="C5" s="66" t="s">
        <v>469</v>
      </c>
    </row>
    <row r="6" ht="34" customHeight="1" spans="2:3" x14ac:dyDescent="0.25">
      <c r="B6" s="65" t="s">
        <v>470</v>
      </c>
      <c r="C6" s="66" t="s">
        <v>471</v>
      </c>
    </row>
    <row r="7" ht="34" customHeight="1" spans="2:3" x14ac:dyDescent="0.25">
      <c r="B7" s="65" t="s">
        <v>472</v>
      </c>
      <c r="C7" s="66" t="s">
        <v>473</v>
      </c>
    </row>
    <row r="8" ht="34" customHeight="1" spans="2:3" x14ac:dyDescent="0.25">
      <c r="B8" s="65" t="s">
        <v>474</v>
      </c>
      <c r="C8" s="66" t="s">
        <v>475</v>
      </c>
    </row>
    <row r="9" ht="34" customHeight="1" spans="2:3" x14ac:dyDescent="0.25">
      <c r="B9" s="65" t="s">
        <v>476</v>
      </c>
      <c r="C9" s="66" t="s">
        <v>477</v>
      </c>
    </row>
    <row r="10" ht="34" customHeight="1" spans="2:3" x14ac:dyDescent="0.25">
      <c r="B10" s="65" t="s">
        <v>478</v>
      </c>
      <c r="C10" s="66" t="s">
        <v>479</v>
      </c>
    </row>
    <row r="11" ht="34" customHeight="1" spans="2:3" x14ac:dyDescent="0.25">
      <c r="B11" s="65" t="s">
        <v>480</v>
      </c>
      <c r="C11" s="66" t="s">
        <v>481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Painel &amp; Indicadores</vt:lpstr>
      <vt:lpstr>FORNECEDORES</vt:lpstr>
      <vt:lpstr>CADASTRO_ITENS</vt:lpstr>
      <vt:lpstr>MOVIMENTAÇÕES</vt:lpstr>
      <vt:lpstr>CRONOGRAMA_ENTREGAS</vt:lpstr>
      <vt:lpstr>IMPRESSÃO_ETIQUETAS</vt:lpstr>
      <vt:lpstr>CONTROLE_VALIDADES</vt:lpstr>
      <vt:lpstr>INSTRUÇÕES_USO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Gestão de Almoxarifado</dc:creator>
  <dc:title/>
  <dc:subject/>
  <dc:description/>
  <cp:keywords/>
  <cp:category/>
  <cp:lastModifiedBy>Almoxarifado Central</cp:lastModifiedBy>
  <dcterms:created xsi:type="dcterms:W3CDTF">2026-09-24T22:39:24Z</dcterms:created>
  <dcterms:modified xsi:type="dcterms:W3CDTF">2026-09-24T22:39:24Z</dcterms:modified>
</cp:coreProperties>
</file>