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Painel &amp; Resumo" state="visible" r:id="rId4"/>
    <sheet sheetId="2" name="🚗 Ordens de Saída (Veículos)" state="visible" r:id="rId5"/>
    <sheet sheetId="3" name="📦 Entradas de Almoxarifado" state="visible" r:id="rId6"/>
    <sheet sheetId="4" name="📤 Saídas &amp; Baixas de Estoque" state="visible" r:id="rId7"/>
    <sheet sheetId="5" name="🏢 Cadastro de Fornecedores" state="visible" r:id="rId8"/>
    <sheet sheetId="6" name="🚐 Veículos &amp; Frotas" state="visible" r:id="rId9"/>
    <sheet sheetId="7" name="👮 Motoristas &amp; Condutores" state="visible" r:id="rId10"/>
  </sheets>
  <calcPr calcId="171027"/>
</workbook>
</file>

<file path=xl/sharedStrings.xml><?xml version="1.0" encoding="utf-8"?>
<sst xmlns="http://schemas.openxmlformats.org/spreadsheetml/2006/main" count="28157" uniqueCount="7051">
  <si>
    <t xml:space="preserve">   SISTEMA DE GESTÃO - PAINEL EXECUTIVO E BANCO DE DADOS COMPLETO</t>
  </si>
  <si>
    <t xml:space="preserve">   Consolidação oficial: Ordens de Saída de Veículos, Entradas/Saídas de Estoque, Fornecedores e Frotas</t>
  </si>
  <si>
    <t>INDICADOR / MÓDULO</t>
  </si>
  <si>
    <t>QUANTIDADE TOTAL REGISTRADA</t>
  </si>
  <si>
    <t>UNIDADE / DESCRIÇÃO</t>
  </si>
  <si>
    <t>STATUS OPERACIONAL</t>
  </si>
  <si>
    <t>Ordens de Saída de Veículos (Viagens)</t>
  </si>
  <si>
    <t>Ordens de Saída FCT emitidas</t>
  </si>
  <si>
    <t>CONCLUÍDO / AUDITADO</t>
  </si>
  <si>
    <t>Entradas de Almoxarifado / Estoque</t>
  </si>
  <si>
    <t>Lançamentos de mercadorias por NF</t>
  </si>
  <si>
    <t>ATIVO COM RASTREABILIDADE</t>
  </si>
  <si>
    <t>Fornecedores Cadastrados</t>
  </si>
  <si>
    <t>Contratos e produtores PPAIS/Alimentos</t>
  </si>
  <si>
    <t>BASE ATUALIZADA</t>
  </si>
  <si>
    <t>Veículos na Frota Operacional</t>
  </si>
  <si>
    <t>Viaturas próprias e locadas</t>
  </si>
  <si>
    <t>EM OPERAÇÃO</t>
  </si>
  <si>
    <t>Motoristas / Servidores Habilitados</t>
  </si>
  <si>
    <t>Condutores oficiais cadastrados</t>
  </si>
  <si>
    <t>REGULAR</t>
  </si>
  <si>
    <t>Saídas Temporárias (Custodiados)</t>
  </si>
  <si>
    <t>Registros de benefícios de saída</t>
  </si>
  <si>
    <t>HISTÓRICO ARQUIVADO</t>
  </si>
  <si>
    <t>INFORMAÇÕES E DIRETRIZES DE USO</t>
  </si>
  <si>
    <t>1. Aba "Ordens de Saída (Veículos)": Contém as 834 viagens oficiais com número de processo FCT, datas, horários de saída e retorno, viatura, condutor, destino e equipe acompanhante.</t>
  </si>
  <si>
    <t>2. Aba "Entradas de Almoxarifado": Contém 1.217 entradas com detalhamento de notas fiscais, lotes, validades e fórmulas automáticas de status de vencimento.</t>
  </si>
  <si>
    <t>3. Aba "Fornecedores": Cadastro corporativo com CNPJs/CPFs, processos SEI, valor total de contrato e dados de entrega.</t>
  </si>
  <si>
    <t>4. Aba "Veículos &amp; Frotas" e "Motoristas": Relação de viaturas e condutores autorizados.</t>
  </si>
  <si>
    <t>5. Todas as abas contam com auto-filtro ativado para facilitar consultas por data, placa, motorista, fornecedor ou item.</t>
  </si>
  <si>
    <t>ORDENS DE SAÍDA DE VEÍCULOS E TRANSPORTE - BANCO DE DADOS COMPLETO</t>
  </si>
  <si>
    <t>Total de 834 Ordens Registradas • Rastreamento Completo de FCT, Destino, Viatura e Condutores</t>
  </si>
  <si>
    <t>Nº FCT / Ordem</t>
  </si>
  <si>
    <t>Data Saída</t>
  </si>
  <si>
    <t>Hora Saída</t>
  </si>
  <si>
    <t>Data Retorno</t>
  </si>
  <si>
    <t>Hora Retorno</t>
  </si>
  <si>
    <t>Veículo / Viatura</t>
  </si>
  <si>
    <t>Placa</t>
  </si>
  <si>
    <t>Patrimônio / Tipo</t>
  </si>
  <si>
    <t>Motorista / Responsável</t>
  </si>
  <si>
    <t>Cargo do Servidor</t>
  </si>
  <si>
    <t>Destino da Missão</t>
  </si>
  <si>
    <t>Acompanhantes / Equipe</t>
  </si>
  <si>
    <t>Validado Por</t>
  </si>
  <si>
    <t>Cargo Validador</t>
  </si>
  <si>
    <t>Data/Hora Validação</t>
  </si>
  <si>
    <t>Observações</t>
  </si>
  <si>
    <t>303/2026</t>
  </si>
  <si>
    <t>2026-03-04</t>
  </si>
  <si>
    <t>14:00</t>
  </si>
  <si>
    <t>2026-03-10</t>
  </si>
  <si>
    <t>10:39</t>
  </si>
  <si>
    <t>CHEVROLET SPIN</t>
  </si>
  <si>
    <t>CUZ-5J98</t>
  </si>
  <si>
    <t>LOCADO</t>
  </si>
  <si>
    <t>DOUGLAS FERNANDO SEMENZIN GALDINO</t>
  </si>
  <si>
    <t>POLICIAL PENAL</t>
  </si>
  <si>
    <t>TAIUVA/SP</t>
  </si>
  <si>
    <t>WALTER RODRIGUES JUNIOR (RG: 34081302-7)</t>
  </si>
  <si>
    <t>JULIO CESAR NOGUEIRA</t>
  </si>
  <si>
    <t>CHEFE DO NÚCLEO DE INFRAESTRUTURA E LOGISTICA</t>
  </si>
  <si>
    <t>2026-03-19 12:05:29</t>
  </si>
  <si>
    <t/>
  </si>
  <si>
    <t>306</t>
  </si>
  <si>
    <t>2026-03-05</t>
  </si>
  <si>
    <t>09:40</t>
  </si>
  <si>
    <t>11:00</t>
  </si>
  <si>
    <t>FIAT DUCATO</t>
  </si>
  <si>
    <t>DJL-6J31</t>
  </si>
  <si>
    <t>EMPRESTADO</t>
  </si>
  <si>
    <t>VALDIR DA SILVA MORENO</t>
  </si>
  <si>
    <t>BEBEDOURO-SP</t>
  </si>
  <si>
    <t>-</t>
  </si>
  <si>
    <t>306/2026</t>
  </si>
  <si>
    <t>12:30</t>
  </si>
  <si>
    <t>BEBEDOURO-SP, TAIÚVA-SP</t>
  </si>
  <si>
    <t>307/2026</t>
  </si>
  <si>
    <t>10:30</t>
  </si>
  <si>
    <t>11:45</t>
  </si>
  <si>
    <t>JÚLIO CESAR NOGUEIRA</t>
  </si>
  <si>
    <t>TAIUVA-SP</t>
  </si>
  <si>
    <t>RICARDO SAMUEL SCARAMA (RG: 34.637.703-1)</t>
  </si>
  <si>
    <t>310/2026</t>
  </si>
  <si>
    <t>16:25</t>
  </si>
  <si>
    <t>IVECO</t>
  </si>
  <si>
    <t>DJL-7900</t>
  </si>
  <si>
    <t>1</t>
  </si>
  <si>
    <t>WALTER RODRIGUES JUNIOR</t>
  </si>
  <si>
    <t>TAIUVA E MONTE ALTO-SP</t>
  </si>
  <si>
    <t>2026-03-19 12:08:22</t>
  </si>
  <si>
    <t>312/2026</t>
  </si>
  <si>
    <t>2026-03-06</t>
  </si>
  <si>
    <t>06:00</t>
  </si>
  <si>
    <t>2026-03-09</t>
  </si>
  <si>
    <t>13:48</t>
  </si>
  <si>
    <t>ARARAQUARA-SP</t>
  </si>
  <si>
    <t>313/2026</t>
  </si>
  <si>
    <t>10:05</t>
  </si>
  <si>
    <t>11:52</t>
  </si>
  <si>
    <t>EVANDRO RODRIGUES FERREIRA</t>
  </si>
  <si>
    <t>MONTE ALTO/SP</t>
  </si>
  <si>
    <t>314/2026</t>
  </si>
  <si>
    <t>10:52</t>
  </si>
  <si>
    <t>11:33</t>
  </si>
  <si>
    <t>FSP-4J81</t>
  </si>
  <si>
    <t>JOSÉ FABIANO MOUTIN (RG: 26.528.522-7)</t>
  </si>
  <si>
    <t>315/2026</t>
  </si>
  <si>
    <t>13:25</t>
  </si>
  <si>
    <t>14:15</t>
  </si>
  <si>
    <t>317/2026</t>
  </si>
  <si>
    <t>14:45</t>
  </si>
  <si>
    <t>17:04</t>
  </si>
  <si>
    <t>JORGE LUIZ FERREIRA FILHO</t>
  </si>
  <si>
    <t>PONTAL-SP</t>
  </si>
  <si>
    <t>321/2026</t>
  </si>
  <si>
    <t>2026-03-07</t>
  </si>
  <si>
    <t>10:38</t>
  </si>
  <si>
    <t>JÚLIO CESAR PAGANIN</t>
  </si>
  <si>
    <t>TAIÚVA</t>
  </si>
  <si>
    <t>323/2026</t>
  </si>
  <si>
    <t>10:40</t>
  </si>
  <si>
    <t>REINALDO PONTES DA SILVEIRA</t>
  </si>
  <si>
    <t>HOSPITAL MUNICIPAL DE TAIÚVA</t>
  </si>
  <si>
    <t>DEMLSO RAMOS FERNANDES (RG: 40.285.440-8)</t>
  </si>
  <si>
    <t>324/2026</t>
  </si>
  <si>
    <t>10:42</t>
  </si>
  <si>
    <t>EULÍCIO GERVAZONI JUNIOR</t>
  </si>
  <si>
    <t>HC DE RIBEIRÃO PRETO</t>
  </si>
  <si>
    <t>327/2026</t>
  </si>
  <si>
    <t>2026-03-08</t>
  </si>
  <si>
    <t>FSP4J81</t>
  </si>
  <si>
    <t>BRUCE WILLIANS BERBEL</t>
  </si>
  <si>
    <t>RIBEIRÃO PRETO</t>
  </si>
  <si>
    <t>-OnHJ8QBVpRE5E_koXOP</t>
  </si>
  <si>
    <t>08:00</t>
  </si>
  <si>
    <t>10:15</t>
  </si>
  <si>
    <t>CHEVROLET S10</t>
  </si>
  <si>
    <t>DJL-7904</t>
  </si>
  <si>
    <t>2</t>
  </si>
  <si>
    <t>DANILO RIBEIRO COPPI</t>
  </si>
  <si>
    <t>330/2026</t>
  </si>
  <si>
    <t>09:25</t>
  </si>
  <si>
    <t>11:21</t>
  </si>
  <si>
    <t>331/2026</t>
  </si>
  <si>
    <t>14:10</t>
  </si>
  <si>
    <t>17:28</t>
  </si>
  <si>
    <t>RIBEIRÃO PRETO-SP</t>
  </si>
  <si>
    <t>332/2026</t>
  </si>
  <si>
    <t>14:04</t>
  </si>
  <si>
    <t>16:41</t>
  </si>
  <si>
    <t>MONTE ALTO-SP</t>
  </si>
  <si>
    <t>333/2026</t>
  </si>
  <si>
    <t>RAFAEL ANICETO DA SILVA</t>
  </si>
  <si>
    <t>OLIMPIA/SP</t>
  </si>
  <si>
    <t>ANTONIO CARLOS FARINELI; EDI CARLOS CARVALHO</t>
  </si>
  <si>
    <t>LEVAR POLICIAL PENAL EM OLIMPIA/SP</t>
  </si>
  <si>
    <t>334/2026</t>
  </si>
  <si>
    <t>05:40</t>
  </si>
  <si>
    <t>16:15</t>
  </si>
  <si>
    <t>THIAGO HENRIQUE MORENO</t>
  </si>
  <si>
    <t>ALFREDO GUILHERME LOPES (RG: 40.387.457-9)</t>
  </si>
  <si>
    <t>BAURU/SP</t>
  </si>
  <si>
    <t>335/2026</t>
  </si>
  <si>
    <t>07:00</t>
  </si>
  <si>
    <t>00:00</t>
  </si>
  <si>
    <t>GET-4133</t>
  </si>
  <si>
    <t>GALIA-SP/PRESIDENTE VENCESLAU-SP</t>
  </si>
  <si>
    <t>336/2026</t>
  </si>
  <si>
    <t>09:30</t>
  </si>
  <si>
    <t>12:36</t>
  </si>
  <si>
    <t>PONTAL</t>
  </si>
  <si>
    <t>RICARDO SAMUEL SCARAMAL (RG: 346377031)</t>
  </si>
  <si>
    <t>JORNADA NA PENITENCIÁRIA DE PONTAL</t>
  </si>
  <si>
    <t>337/2026</t>
  </si>
  <si>
    <t>10:26</t>
  </si>
  <si>
    <t>12:35</t>
  </si>
  <si>
    <t>DEVANIR SIDNEI NARDO (RG: 24.203.868-2)</t>
  </si>
  <si>
    <t>340/2026</t>
  </si>
  <si>
    <t>16:34</t>
  </si>
  <si>
    <t>2026-03-12</t>
  </si>
  <si>
    <t>AIRTON DA SILVA</t>
  </si>
  <si>
    <t>HOSPITAL DE COLINA SP</t>
  </si>
  <si>
    <t>341/2026</t>
  </si>
  <si>
    <t>2026-03-11</t>
  </si>
  <si>
    <t>07:31</t>
  </si>
  <si>
    <t>JOÃO CARLOS GERMANO</t>
  </si>
  <si>
    <t>HOSPITAL DE COLINA-SP</t>
  </si>
  <si>
    <t>VAGNER PERIERA DOS SANTOS (RG: 43.801.342-6)</t>
  </si>
  <si>
    <t>BAURU-SP</t>
  </si>
  <si>
    <t>ALFREDO GUILHERME LOPES (RG: 40.387457-9)</t>
  </si>
  <si>
    <t>343/2026</t>
  </si>
  <si>
    <t>13:54</t>
  </si>
  <si>
    <t>15:42</t>
  </si>
  <si>
    <t>344/2026</t>
  </si>
  <si>
    <t>COLINA/SP</t>
  </si>
  <si>
    <t>VAGNER PEREIRA DOS SANTOS (RG: 43.801.342-6)</t>
  </si>
  <si>
    <t>VAGNER P. DOS SANTOS RETORNA COM A VIATURA</t>
  </si>
  <si>
    <t>345/2026</t>
  </si>
  <si>
    <t>06:14</t>
  </si>
  <si>
    <t>07:56</t>
  </si>
  <si>
    <t>LEANDRO JOSÉ MOTTA MENDES</t>
  </si>
  <si>
    <t>HOSPITAL MUNICIPAL DE COLINA SP</t>
  </si>
  <si>
    <t>346/2026</t>
  </si>
  <si>
    <t>08:43</t>
  </si>
  <si>
    <t>13:47</t>
  </si>
  <si>
    <t>SERRA AZUL-SP</t>
  </si>
  <si>
    <t>347/2026</t>
  </si>
  <si>
    <t>07:09</t>
  </si>
  <si>
    <t>FERNANDO ROBERTO SALAZAR</t>
  </si>
  <si>
    <t>CEPRNORTE ARARAQUARA - SP</t>
  </si>
  <si>
    <t>349/2026</t>
  </si>
  <si>
    <t>14:25</t>
  </si>
  <si>
    <t>16:33</t>
  </si>
  <si>
    <t>350/26</t>
  </si>
  <si>
    <t>351/2026</t>
  </si>
  <si>
    <t>15:44</t>
  </si>
  <si>
    <t>JABOTICABAL-SP</t>
  </si>
  <si>
    <t>-OnYAImbAN4d6PK6HdOQ</t>
  </si>
  <si>
    <t>DOUGLAS GALDINO</t>
  </si>
  <si>
    <t>352/2026</t>
  </si>
  <si>
    <t>10:41</t>
  </si>
  <si>
    <t>2026-03-16</t>
  </si>
  <si>
    <t>TARCÍSIO ROSA JUNIOR</t>
  </si>
  <si>
    <t>HOSPITAL DE COLINA</t>
  </si>
  <si>
    <t>354/2026</t>
  </si>
  <si>
    <t>14:11</t>
  </si>
  <si>
    <t>HOSPITAL TAIUVA</t>
  </si>
  <si>
    <t>HENRIQUE RIBEIRO DE LIMA</t>
  </si>
  <si>
    <t>SAIDA EMERGENCIAL</t>
  </si>
  <si>
    <t>355/2026</t>
  </si>
  <si>
    <t>2026-03-13</t>
  </si>
  <si>
    <t>09:04</t>
  </si>
  <si>
    <t>BRUNO ZACARI SARDELARI</t>
  </si>
  <si>
    <t>HOSPITAL COLINA-SP</t>
  </si>
  <si>
    <t>VAGNER JOSÉ GALLENI</t>
  </si>
  <si>
    <t>RENDIÇÃO CUSTÓDIA</t>
  </si>
  <si>
    <t>357/2026</t>
  </si>
  <si>
    <t>17:36</t>
  </si>
  <si>
    <t>358/2026</t>
  </si>
  <si>
    <t>09:38</t>
  </si>
  <si>
    <t>10:10</t>
  </si>
  <si>
    <t>RICARDO SAMUEL SCARAMAL (RG: 34.637.703-1)</t>
  </si>
  <si>
    <t>359/2026</t>
  </si>
  <si>
    <t>10:25</t>
  </si>
  <si>
    <t>17:35</t>
  </si>
  <si>
    <t>FÁBIO SIQUEIRA GONÇALVES</t>
  </si>
  <si>
    <t>TAIUVA</t>
  </si>
  <si>
    <t>JOAO CARLOS GERMANO (RG: 23.'850.479-7)</t>
  </si>
  <si>
    <t>360/2026</t>
  </si>
  <si>
    <t>13:30</t>
  </si>
  <si>
    <t>15:48</t>
  </si>
  <si>
    <t>361/2026</t>
  </si>
  <si>
    <t>MONTE ALTO-SP/RIBEIRAO PRETO-SP</t>
  </si>
  <si>
    <t>363/2026</t>
  </si>
  <si>
    <t>HOSPITAL DE COLINA/SP</t>
  </si>
  <si>
    <t>VAGNER JOSÉ GALLENI (RG: 42.891.460-3)</t>
  </si>
  <si>
    <t>BUSCAR POLICIAL PENAL EM COLINA</t>
  </si>
  <si>
    <t>-OnczBoQ6vlbPI4XfZ9D</t>
  </si>
  <si>
    <t>DANILO DIRCEU DOS PASSOS</t>
  </si>
  <si>
    <t>TAIÚVA-SP</t>
  </si>
  <si>
    <t>365/2026</t>
  </si>
  <si>
    <t>2026-03-14</t>
  </si>
  <si>
    <t>07:28</t>
  </si>
  <si>
    <t>EDGAR FERRARI JÚNIOR (RG: 27.997.621-5)</t>
  </si>
  <si>
    <t>366/2026</t>
  </si>
  <si>
    <t>367/2026</t>
  </si>
  <si>
    <t>O POLICIAL PENAL EDGAR FERRARI RETORNARÁ COM A VTR PARA PEINTENCIÁRIA DE TAIÚVA.</t>
  </si>
  <si>
    <t>-OnkhXl1rHoks0F2i0ks</t>
  </si>
  <si>
    <t>2026-03-15</t>
  </si>
  <si>
    <t>CUZ5J98</t>
  </si>
  <si>
    <t>COLINA-SP</t>
  </si>
  <si>
    <t>369/2026</t>
  </si>
  <si>
    <t>12:33</t>
  </si>
  <si>
    <t>10:03</t>
  </si>
  <si>
    <t>JOSIAS LUIZ RIBEIRO</t>
  </si>
  <si>
    <t>VALDIR PEREIRA (RG: 30.752.209-X)</t>
  </si>
  <si>
    <t>-OnnGFjWmibl5hl5wquk</t>
  </si>
  <si>
    <t>´RAFAEL ANICETO DA SILVA</t>
  </si>
  <si>
    <t>BEBEDOURO</t>
  </si>
  <si>
    <t>ANTONIO CARLOS FARINELI (RG: 23.216.046-6)</t>
  </si>
  <si>
    <t>371/2026</t>
  </si>
  <si>
    <t>14:12</t>
  </si>
  <si>
    <t>HOSPITAL REGIONAL DE BEBEDOURO-SP</t>
  </si>
  <si>
    <t>O POLICIAL PENAL RAFAEL ANICETO RETORNARÁ COM A VTR PARA PENITENCIÁRIA DE TAIÚVA.</t>
  </si>
  <si>
    <t>-Onql51620WznWi46RoC</t>
  </si>
  <si>
    <t>372/2026</t>
  </si>
  <si>
    <t>14:13</t>
  </si>
  <si>
    <t>373/2026</t>
  </si>
  <si>
    <t>17:06</t>
  </si>
  <si>
    <t>1848</t>
  </si>
  <si>
    <t>06:19</t>
  </si>
  <si>
    <t>2026-03-18</t>
  </si>
  <si>
    <t>PSP-4J81</t>
  </si>
  <si>
    <t>HOSPITAL REGIONAL DE BEBEDOURO</t>
  </si>
  <si>
    <t>374/2026</t>
  </si>
  <si>
    <t>HENRIQUE RIBEIRO DE LIMA (RG: 26.692.5613)</t>
  </si>
  <si>
    <t>HOSPITAL BEBEDOURO-SP/COLINA-SP</t>
  </si>
  <si>
    <t>RENDIÇÃO</t>
  </si>
  <si>
    <t>-OnuxATShz6PhqAZz2a3</t>
  </si>
  <si>
    <t>2026-03-17</t>
  </si>
  <si>
    <t>EDGAR FERRARI JUNIOR</t>
  </si>
  <si>
    <t>COLINA SP</t>
  </si>
  <si>
    <t>377/2026</t>
  </si>
  <si>
    <t>06:18</t>
  </si>
  <si>
    <t>CARLOS FERNANDO DE AGUIAR (RG: 40.971.927-4)</t>
  </si>
  <si>
    <t>378/2026</t>
  </si>
  <si>
    <t>DANIEL FERREIRA DE OLIVEIRA</t>
  </si>
  <si>
    <t>-Oo-RKuQp_1rFTyAtD5Q</t>
  </si>
  <si>
    <t>07:22</t>
  </si>
  <si>
    <t>17:31</t>
  </si>
  <si>
    <t>ALFREDO GUILHERME LOPES (RG: 40.387.457-9); MARIA ELOISA PAULINO BRAZ (RG: 28.058.529-9)</t>
  </si>
  <si>
    <t>-Oo-U0vkublrEY9sMPTY</t>
  </si>
  <si>
    <t>09:59</t>
  </si>
  <si>
    <t>LUIZ FERNANDO NOGUEIRA GERMANO</t>
  </si>
  <si>
    <t>EVERTON VINICIUS SILVA (RG: 46.797.525-5)</t>
  </si>
  <si>
    <t>382/2026</t>
  </si>
  <si>
    <t>10:34</t>
  </si>
  <si>
    <t>383/2026</t>
  </si>
  <si>
    <t>14:16</t>
  </si>
  <si>
    <t>16:00</t>
  </si>
  <si>
    <t>MONTE ALTO -SP</t>
  </si>
  <si>
    <t>SERVIÇOS ADMINISTRATIVOS</t>
  </si>
  <si>
    <t>384/2026</t>
  </si>
  <si>
    <t>08:10</t>
  </si>
  <si>
    <t>2026-03-20</t>
  </si>
  <si>
    <t>08:11</t>
  </si>
  <si>
    <t>385/2026</t>
  </si>
  <si>
    <t>18:00</t>
  </si>
  <si>
    <t>19:30</t>
  </si>
  <si>
    <t>HOSPITAL COLINA</t>
  </si>
  <si>
    <t>EDVALDO PEREIRA LOPES</t>
  </si>
  <si>
    <t>RENDIÇÃO CUSTODIA</t>
  </si>
  <si>
    <t>386/2026</t>
  </si>
  <si>
    <t>2026-03-19</t>
  </si>
  <si>
    <t>06:03</t>
  </si>
  <si>
    <t>07:20</t>
  </si>
  <si>
    <t>RENDIÇÃO CUSTODIA HOSPITAL COLINA</t>
  </si>
  <si>
    <t>387/2026</t>
  </si>
  <si>
    <t>07:25</t>
  </si>
  <si>
    <t>09:15</t>
  </si>
  <si>
    <t>BEBEDOURO - SP</t>
  </si>
  <si>
    <t>JOAO CARLOS GERMANO (RG: 23.850.479-7)</t>
  </si>
  <si>
    <t>389/2026</t>
  </si>
  <si>
    <t>09:35</t>
  </si>
  <si>
    <t>15:02</t>
  </si>
  <si>
    <t>390/2026</t>
  </si>
  <si>
    <t>18:05</t>
  </si>
  <si>
    <t>RAFAEL ANINCETO DA SILVA</t>
  </si>
  <si>
    <t>HOSPITAL MUNICIPAL DE TAIUVA</t>
  </si>
  <si>
    <t>391/2026</t>
  </si>
  <si>
    <t>06:40</t>
  </si>
  <si>
    <t>PENITENCIÁRIA DE RIBEIRÃO PRETO - SP</t>
  </si>
  <si>
    <t>JOÃO CARLOS GERMANO (RG: 23.850.479-7)</t>
  </si>
  <si>
    <t>JOSE FABIANO MOUTIN</t>
  </si>
  <si>
    <t>CHEFE DE SEÇÃO DE FINANÇAS E SUPRIMENTOS</t>
  </si>
  <si>
    <t>2026-03-20 11:30:40</t>
  </si>
  <si>
    <t>CURSO</t>
  </si>
  <si>
    <t>392/2026</t>
  </si>
  <si>
    <t>15:30</t>
  </si>
  <si>
    <t>RICARDO SAMUEL SCARAMAL</t>
  </si>
  <si>
    <t>BEBEDOURO - CORREIO</t>
  </si>
  <si>
    <t>ADRIANO DE SOUZA GUIMARÃES (RG: 471426994)</t>
  </si>
  <si>
    <t>394/2026</t>
  </si>
  <si>
    <t>2026-03-24</t>
  </si>
  <si>
    <t>07:16</t>
  </si>
  <si>
    <t>395/2026</t>
  </si>
  <si>
    <t>2026-03-21</t>
  </si>
  <si>
    <t>05:58</t>
  </si>
  <si>
    <t>07:02</t>
  </si>
  <si>
    <t>RENDIÇÃO CUSTÓDIA COLINA</t>
  </si>
  <si>
    <t>397/2026</t>
  </si>
  <si>
    <t>06:26</t>
  </si>
  <si>
    <t>2026-03-23</t>
  </si>
  <si>
    <t>07:23</t>
  </si>
  <si>
    <t>EULÍCIO GERVAZONI JUNIOR (RG: 33.497.409-4)</t>
  </si>
  <si>
    <t>398/2026</t>
  </si>
  <si>
    <t>2026-03-22</t>
  </si>
  <si>
    <t>05:30</t>
  </si>
  <si>
    <t>399/2026</t>
  </si>
  <si>
    <t xml:space="preserve">HOSPITAL DE COLINA </t>
  </si>
  <si>
    <t>EDVALDO PEREIRA LOPES (RG: 33.8089.03-2)</t>
  </si>
  <si>
    <t>400/2026</t>
  </si>
  <si>
    <t>06:16</t>
  </si>
  <si>
    <t>13:01</t>
  </si>
  <si>
    <t>RAFAEL ALBERT MENEZES</t>
  </si>
  <si>
    <t xml:space="preserve">POLICIAL PENAL </t>
  </si>
  <si>
    <t>SÃO JOSÉ DO RIO PRETO-SP</t>
  </si>
  <si>
    <t>RAFAEL ALVES ROMANHOLI</t>
  </si>
  <si>
    <t>DIRETOR DE NÚCLEO DE ESCOLTA E VIGILÂNCIA PENITENCIÁRIA</t>
  </si>
  <si>
    <t>2026-03-30 11:27:05</t>
  </si>
  <si>
    <t>401/2026</t>
  </si>
  <si>
    <t>06:24</t>
  </si>
  <si>
    <t>07:26</t>
  </si>
  <si>
    <t>402/2026</t>
  </si>
  <si>
    <t>403/2026</t>
  </si>
  <si>
    <t>09:11</t>
  </si>
  <si>
    <t>EDUARDO DONADON VILLELA (RG: 41.328.688-5)</t>
  </si>
  <si>
    <t>07:17</t>
  </si>
  <si>
    <t>2026-03-25</t>
  </si>
  <si>
    <t>06:10</t>
  </si>
  <si>
    <t>404/2026</t>
  </si>
  <si>
    <t>19:15</t>
  </si>
  <si>
    <t>PENITENCIÁRIA DE RIBEIRÃO PRETO-SP</t>
  </si>
  <si>
    <t>JOÃO CARLOS GERMANO (RG: 21.723.835-X)</t>
  </si>
  <si>
    <t>405/2026</t>
  </si>
  <si>
    <t>CR DE MOCOCA</t>
  </si>
  <si>
    <t>10:54</t>
  </si>
  <si>
    <t>407/2026</t>
  </si>
  <si>
    <t>09:53</t>
  </si>
  <si>
    <t>408/2026</t>
  </si>
  <si>
    <t>2026-03-24 12:22:43</t>
  </si>
  <si>
    <t>TAIUVA - TROCAR MATERIAL</t>
  </si>
  <si>
    <t>410/2026</t>
  </si>
  <si>
    <t>08:19</t>
  </si>
  <si>
    <t>2026-03-26</t>
  </si>
  <si>
    <t>2026-03-25 20:52:27</t>
  </si>
  <si>
    <t>411/2026</t>
  </si>
  <si>
    <t>06:09</t>
  </si>
  <si>
    <t>07:18</t>
  </si>
  <si>
    <t>FABIO SIQUEIRA GONÇALVES</t>
  </si>
  <si>
    <t>RENDIÇÃO COLINA</t>
  </si>
  <si>
    <t>412/2026</t>
  </si>
  <si>
    <t>06:58</t>
  </si>
  <si>
    <t>BARRETOS/SP</t>
  </si>
  <si>
    <t>EDGAR FERRARI JUNIOR (RG: 27.997.621-5)</t>
  </si>
  <si>
    <t>DIRETOR DE CENTRO DE ESCOLTA E VIGILÂNCIA PENITENCIÁRIA</t>
  </si>
  <si>
    <t>2026-03-25 20:52:56</t>
  </si>
  <si>
    <t xml:space="preserve">      417/2026</t>
  </si>
  <si>
    <t>07:59</t>
  </si>
  <si>
    <t>MARCELO ANTÔNIO FERREIRA MARCOS</t>
  </si>
  <si>
    <t>JARDINÓPOLIS-SP</t>
  </si>
  <si>
    <t>FERNANDO ROBERTO SALAZAR (RG: 53.364.371-5)</t>
  </si>
  <si>
    <t>2026-03-27 11:47:22</t>
  </si>
  <si>
    <t xml:space="preserve">       /2026</t>
  </si>
  <si>
    <t>09:14</t>
  </si>
  <si>
    <t>FORD CARGO</t>
  </si>
  <si>
    <t>EEF-0298</t>
  </si>
  <si>
    <t>VTR</t>
  </si>
  <si>
    <t>SERRA AZUL-SP, IARAS/SP</t>
  </si>
  <si>
    <t>413/2026</t>
  </si>
  <si>
    <t>07:57</t>
  </si>
  <si>
    <t>08:23</t>
  </si>
  <si>
    <t xml:space="preserve">      415/2026</t>
  </si>
  <si>
    <t>09:45</t>
  </si>
  <si>
    <t>10:13</t>
  </si>
  <si>
    <t>414/2026</t>
  </si>
  <si>
    <t>10:31</t>
  </si>
  <si>
    <t>2026-03-25 12:54:07</t>
  </si>
  <si>
    <t>415/2026</t>
  </si>
  <si>
    <t>12:05</t>
  </si>
  <si>
    <t>14:02</t>
  </si>
  <si>
    <t>2026-03-25 14:23:18</t>
  </si>
  <si>
    <t>416/2026</t>
  </si>
  <si>
    <t>16:11</t>
  </si>
  <si>
    <t>17:25</t>
  </si>
  <si>
    <t>CPP DE GUARIBA/SP</t>
  </si>
  <si>
    <t>2026-03-25 20:53:09</t>
  </si>
  <si>
    <t>419/2026</t>
  </si>
  <si>
    <t>2026-03-25 20:49:28</t>
  </si>
  <si>
    <t>420/2026</t>
  </si>
  <si>
    <t>21:10</t>
  </si>
  <si>
    <t>SAO PAULO-SP</t>
  </si>
  <si>
    <t>TARCISIO ROSA JUNIOR (RG: 35513178-X)</t>
  </si>
  <si>
    <t>JUAN ANTONIO OLIVEIRA BEROZUN</t>
  </si>
  <si>
    <t>DIRETOR DE PORTARIA</t>
  </si>
  <si>
    <t>421/2026</t>
  </si>
  <si>
    <t>08:20</t>
  </si>
  <si>
    <t>17:38</t>
  </si>
  <si>
    <t>2026-03-26 09:58:37</t>
  </si>
  <si>
    <t>422/2026</t>
  </si>
  <si>
    <t>10:55</t>
  </si>
  <si>
    <t>14:37</t>
  </si>
  <si>
    <t>2026-03-26 12:25:40</t>
  </si>
  <si>
    <t>423/2026</t>
  </si>
  <si>
    <t>11:29</t>
  </si>
  <si>
    <t>14:36</t>
  </si>
  <si>
    <t>MONTE ALTO</t>
  </si>
  <si>
    <t>DANIEL IGOR</t>
  </si>
  <si>
    <t>424/2026</t>
  </si>
  <si>
    <t>16:46</t>
  </si>
  <si>
    <t>FS94J81</t>
  </si>
  <si>
    <t>JOSÉ FABIANO MOUTIN</t>
  </si>
  <si>
    <t>WALTER RODRIGUES JUNIOR (RG: 34.081.302-7); DOUGLAS F. S. GALDINO (RG: 32.518.574-8)</t>
  </si>
  <si>
    <t>2026-03-26 16:47:17</t>
  </si>
  <si>
    <t>REUNIÃO MONTE ALTO SP</t>
  </si>
  <si>
    <t>426/2026</t>
  </si>
  <si>
    <t>20:10</t>
  </si>
  <si>
    <t>RENDIÇÃO HOSPITAL</t>
  </si>
  <si>
    <t>427/2026</t>
  </si>
  <si>
    <t>2026-03-27</t>
  </si>
  <si>
    <t>06:05</t>
  </si>
  <si>
    <t>07:13</t>
  </si>
  <si>
    <t>2026-03-28 09:50:50</t>
  </si>
  <si>
    <t>RENDIÇÃO CUSTODIA COLINA</t>
  </si>
  <si>
    <t>428/2026</t>
  </si>
  <si>
    <t>07:37</t>
  </si>
  <si>
    <t>17:39</t>
  </si>
  <si>
    <t>HOSPITAL DO AMOR DE BARRETOS</t>
  </si>
  <si>
    <t>MANOEL SANTIAGO FERREIRA</t>
  </si>
  <si>
    <t>2026-04-01 17:34:12</t>
  </si>
  <si>
    <t>429/2026</t>
  </si>
  <si>
    <t>07:46</t>
  </si>
  <si>
    <t>2026-03-28</t>
  </si>
  <si>
    <t>10:33</t>
  </si>
  <si>
    <t>JUAN ANTÔNIO OLIVEIRA BEROZUN</t>
  </si>
  <si>
    <t xml:space="preserve">HOSPITAL DE TAIUVA </t>
  </si>
  <si>
    <t>430/2026</t>
  </si>
  <si>
    <t>15:38</t>
  </si>
  <si>
    <t>ARARAQUARA/ SÃO JOSÉ DO RIO PRETO-SP</t>
  </si>
  <si>
    <t>431/2026</t>
  </si>
  <si>
    <t>08:28</t>
  </si>
  <si>
    <t>CPP I DE BAURU E PI DE PIRAJUÍ</t>
  </si>
  <si>
    <t>LUCIANO DA SILVA AMARAL (RG: 45.439.549-8)</t>
  </si>
  <si>
    <t>2026-03-27 10:27:20</t>
  </si>
  <si>
    <t>432/2025</t>
  </si>
  <si>
    <t>09:54</t>
  </si>
  <si>
    <t>11:12</t>
  </si>
  <si>
    <t>433/2026</t>
  </si>
  <si>
    <t>11:19</t>
  </si>
  <si>
    <t>12:10</t>
  </si>
  <si>
    <t>434/2026</t>
  </si>
  <si>
    <t>11:37</t>
  </si>
  <si>
    <t>13:27</t>
  </si>
  <si>
    <t>THIAGO HENRIQUE MORENO (RG: 40.770.435-8); JORGE LUIZ FERREIRA FILHO (RG: 48.117.680-9)</t>
  </si>
  <si>
    <t>435/2026</t>
  </si>
  <si>
    <t>14:54</t>
  </si>
  <si>
    <t>DELEGACIA DE BEBEDOURO</t>
  </si>
  <si>
    <t>436/2026</t>
  </si>
  <si>
    <t>ANTÔNIO CARLOS FARINELI</t>
  </si>
  <si>
    <t>438/2026</t>
  </si>
  <si>
    <t>2026-03-30</t>
  </si>
  <si>
    <t>EEF-0C98</t>
  </si>
  <si>
    <t>SERRA AZUL-SP/ARACATUBA-SP</t>
  </si>
  <si>
    <t>LUCIANO DA SILVA AMARAL</t>
  </si>
  <si>
    <t>2026-03-28 11:08:16</t>
  </si>
  <si>
    <t>439/2026</t>
  </si>
  <si>
    <t>18:01</t>
  </si>
  <si>
    <t>BARRETOS SP</t>
  </si>
  <si>
    <t>TARCIO ROSA JUNIOR</t>
  </si>
  <si>
    <t>440/2026</t>
  </si>
  <si>
    <t>2026-03-29</t>
  </si>
  <si>
    <t>06:41</t>
  </si>
  <si>
    <t>HOSPITAL BARRETOS/COLINA</t>
  </si>
  <si>
    <t>CAMILA RUBINO TOSTA</t>
  </si>
  <si>
    <t>DIRETORA DE PORTARIA</t>
  </si>
  <si>
    <t>441/2026</t>
  </si>
  <si>
    <t>HOSPITAL SANTA CASA DE BARRETOS-SP</t>
  </si>
  <si>
    <t>2026-03-31 11:21:37</t>
  </si>
  <si>
    <t>PRESO ALTA</t>
  </si>
  <si>
    <t>442/2026</t>
  </si>
  <si>
    <t>20:30</t>
  </si>
  <si>
    <t>443/2026</t>
  </si>
  <si>
    <t>08:39</t>
  </si>
  <si>
    <t>2026-03-30 09:03:16</t>
  </si>
  <si>
    <t>444/2026</t>
  </si>
  <si>
    <t>10:12</t>
  </si>
  <si>
    <t>2026-03-30 11:57:57</t>
  </si>
  <si>
    <t>445/2026</t>
  </si>
  <si>
    <t>12:31</t>
  </si>
  <si>
    <t>15:57</t>
  </si>
  <si>
    <t>2026-03-30 14:02:56</t>
  </si>
  <si>
    <t>446/2026</t>
  </si>
  <si>
    <t>14:34</t>
  </si>
  <si>
    <t>BEBEDOURO E MONTE ALTO-SP</t>
  </si>
  <si>
    <t>2026-03-30 16:27:34</t>
  </si>
  <si>
    <t>447/2026</t>
  </si>
  <si>
    <t>14:30</t>
  </si>
  <si>
    <t>2026-04-01</t>
  </si>
  <si>
    <t>06:37</t>
  </si>
  <si>
    <t>SÃO PAULO</t>
  </si>
  <si>
    <t>MARCELO ANTÔNIO FERREIRA MARCOS (RG: 32.028.533-9)</t>
  </si>
  <si>
    <t>2026-03-30 17:03:32</t>
  </si>
  <si>
    <t>448/2026</t>
  </si>
  <si>
    <t>14:20</t>
  </si>
  <si>
    <t>2026-03-30 17:19:49</t>
  </si>
  <si>
    <t>449/2026</t>
  </si>
  <si>
    <t>19:12</t>
  </si>
  <si>
    <t>2026-03-31 11:21:26</t>
  </si>
  <si>
    <t>450/2026</t>
  </si>
  <si>
    <t>2026-03-31</t>
  </si>
  <si>
    <t>07:24</t>
  </si>
  <si>
    <t>2026-03-31 11:20:14</t>
  </si>
  <si>
    <t>2026</t>
  </si>
  <si>
    <t>09:18</t>
  </si>
  <si>
    <t>09:57</t>
  </si>
  <si>
    <t>CHEVROLET S10 GET-4133</t>
  </si>
  <si>
    <t>BRUNO ZACARI SARDDELARI</t>
  </si>
  <si>
    <t>451/2026</t>
  </si>
  <si>
    <t>12:32</t>
  </si>
  <si>
    <t>16:06</t>
  </si>
  <si>
    <t>BARRETOS-SP</t>
  </si>
  <si>
    <t>2026-03-31 13:02:40</t>
  </si>
  <si>
    <t>N/C</t>
  </si>
  <si>
    <t>12:49</t>
  </si>
  <si>
    <t>13:39</t>
  </si>
  <si>
    <t>TAIÚVA/SP</t>
  </si>
  <si>
    <t>RAFAEL ALVES ROMANHOLI (RG: 35.054.327-6)</t>
  </si>
  <si>
    <t>2026-03-31 15:09:16</t>
  </si>
  <si>
    <t>453/2026</t>
  </si>
  <si>
    <t>454/2026</t>
  </si>
  <si>
    <t>2026-03-31 20:52:17</t>
  </si>
  <si>
    <t>456/2026</t>
  </si>
  <si>
    <t>06:36</t>
  </si>
  <si>
    <t>19:40</t>
  </si>
  <si>
    <t>RIOLÂNDIA-SP</t>
  </si>
  <si>
    <t>JOÃO CARLOS GERMANO (RG: 23.850.479-7	)</t>
  </si>
  <si>
    <t>458/2026</t>
  </si>
  <si>
    <t>08:35</t>
  </si>
  <si>
    <t>09:20</t>
  </si>
  <si>
    <t>LOCADA</t>
  </si>
  <si>
    <t>LEVAR SANGUE LABORATORIO</t>
  </si>
  <si>
    <t>460/2026</t>
  </si>
  <si>
    <t>18:06</t>
  </si>
  <si>
    <t>18:30</t>
  </si>
  <si>
    <t>HOSPITAL TAIUVA-SP</t>
  </si>
  <si>
    <t>JOSÉ ALEXANDRE DA SILVA VALÊNCIO</t>
  </si>
  <si>
    <t>HOSPITAL CUSTODIA TAIUVA-SP</t>
  </si>
  <si>
    <t>461/2026</t>
  </si>
  <si>
    <t>18:09</t>
  </si>
  <si>
    <t>19:59</t>
  </si>
  <si>
    <t>462/2026</t>
  </si>
  <si>
    <t>2026-04-02</t>
  </si>
  <si>
    <t>06:11</t>
  </si>
  <si>
    <t>2026-04-02 09:03:55</t>
  </si>
  <si>
    <t>463/2026</t>
  </si>
  <si>
    <t>08:40</t>
  </si>
  <si>
    <t>DANIEL IGOR DOS SANTOS (RG: 43.053.277-5)</t>
  </si>
  <si>
    <t>465/2026</t>
  </si>
  <si>
    <t>2026-04-02 16:26:56</t>
  </si>
  <si>
    <t>466/2026</t>
  </si>
  <si>
    <t>11:47</t>
  </si>
  <si>
    <t>16:13</t>
  </si>
  <si>
    <t>2026-04-02 16:27:06</t>
  </si>
  <si>
    <t>464/2026</t>
  </si>
  <si>
    <t>15:41</t>
  </si>
  <si>
    <t>16:17</t>
  </si>
  <si>
    <t>2026-04-10 16:55:57</t>
  </si>
  <si>
    <t>467/2026</t>
  </si>
  <si>
    <t>2026-04-03</t>
  </si>
  <si>
    <t>06:35</t>
  </si>
  <si>
    <t>DANILO DIRCEU DOS PASSOS (RG: 33.896.477-0)</t>
  </si>
  <si>
    <t>2026-04-10 16:55:49</t>
  </si>
  <si>
    <t>468/2026</t>
  </si>
  <si>
    <t>21:30</t>
  </si>
  <si>
    <t>HOSPITAL MUNICIPAL DE TAIUVA/SP</t>
  </si>
  <si>
    <t>2026-04-03 13:02:06</t>
  </si>
  <si>
    <t>469/2026</t>
  </si>
  <si>
    <t>06:30</t>
  </si>
  <si>
    <t>08:05</t>
  </si>
  <si>
    <t>LUCIANO DA SILVA AMARAL (RG: 45.439.548-8)</t>
  </si>
  <si>
    <t>470/2026</t>
  </si>
  <si>
    <t>12:12</t>
  </si>
  <si>
    <t>MATHEUS CONRADO CABRAL</t>
  </si>
  <si>
    <t>ABRAÃO ALDO PEREIRA (RG: 42.607.231-5)</t>
  </si>
  <si>
    <t>471/2026</t>
  </si>
  <si>
    <t>18:10</t>
  </si>
  <si>
    <t>19:43</t>
  </si>
  <si>
    <t>EDUARDO DONADON VILELA</t>
  </si>
  <si>
    <t>RENDIÇAO CUSTODIA COLINA</t>
  </si>
  <si>
    <t>472/2026</t>
  </si>
  <si>
    <t>18:14</t>
  </si>
  <si>
    <t>18:49</t>
  </si>
  <si>
    <t>TARCISIO ROSA JUNIOR</t>
  </si>
  <si>
    <t>RENDIÇÃO CUSTÓDIA TAIUVA</t>
  </si>
  <si>
    <t>473/2026</t>
  </si>
  <si>
    <t>19:18</t>
  </si>
  <si>
    <t>02:00</t>
  </si>
  <si>
    <t>HOSPITAL TAIUVA/BARRETOS-SP</t>
  </si>
  <si>
    <t>TRANSFERENCIA DETENTO HOSPITAL-SP</t>
  </si>
  <si>
    <t>474/2026</t>
  </si>
  <si>
    <t>2026-04-04</t>
  </si>
  <si>
    <t>04:25</t>
  </si>
  <si>
    <t>HOSPITAL BARRETOS</t>
  </si>
  <si>
    <t>BUSCAR DETENTO ALTA</t>
  </si>
  <si>
    <t>475/2026</t>
  </si>
  <si>
    <t>07:43</t>
  </si>
  <si>
    <t>DEMILSO RAMOS FERNANDES</t>
  </si>
  <si>
    <t>476/2026</t>
  </si>
  <si>
    <t>14:58</t>
  </si>
  <si>
    <t>GALIA-SP</t>
  </si>
  <si>
    <t>RODRIGO AUGUSTO PEREIRA</t>
  </si>
  <si>
    <t>10:32</t>
  </si>
  <si>
    <t>KLEBER HENRIQUE ROMEIRO ALVES</t>
  </si>
  <si>
    <t>477/2026</t>
  </si>
  <si>
    <t>17:10</t>
  </si>
  <si>
    <t>17:32</t>
  </si>
  <si>
    <t>2026-04-04 20:47:44</t>
  </si>
  <si>
    <t>478/2026</t>
  </si>
  <si>
    <t>06:25</t>
  </si>
  <si>
    <t>2026-04-07</t>
  </si>
  <si>
    <t>JOSÉ ELÍZIO SOARES DA CRUZ</t>
  </si>
  <si>
    <t>479/2026</t>
  </si>
  <si>
    <t>22:30</t>
  </si>
  <si>
    <t>2026-04-05</t>
  </si>
  <si>
    <t>20:15</t>
  </si>
  <si>
    <t>UPA - UBATUBA</t>
  </si>
  <si>
    <t>SAULO DE PAULA CABRAL (RG: 25.500.814-7); WALTER RODRIGUES JUNIOR (RG: 34.081.302-7)</t>
  </si>
  <si>
    <t>2026-04-10 16:55:34</t>
  </si>
  <si>
    <t>481/2026</t>
  </si>
  <si>
    <t>19:47</t>
  </si>
  <si>
    <t>2026-04-05 23:08:20</t>
  </si>
  <si>
    <t>482/2026</t>
  </si>
  <si>
    <t>20:39</t>
  </si>
  <si>
    <t>01:05</t>
  </si>
  <si>
    <t>484/2026</t>
  </si>
  <si>
    <t>2026-04-06</t>
  </si>
  <si>
    <t>06:04</t>
  </si>
  <si>
    <t>HOSPITAL COLINA/BEBEDOURO-SP</t>
  </si>
  <si>
    <t>2026-04-06 08:41:59</t>
  </si>
  <si>
    <t>483/2026</t>
  </si>
  <si>
    <t>06:07</t>
  </si>
  <si>
    <t>JOÃO LEONARDO GEROMEL MARINO</t>
  </si>
  <si>
    <t>COMPLEXO PENAL SÃO JOSÉ DO RIO PRETO-SP</t>
  </si>
  <si>
    <t>486/2026</t>
  </si>
  <si>
    <t>08:32</t>
  </si>
  <si>
    <t>PROMISSÃO-SP</t>
  </si>
  <si>
    <t>DOUGLAS FERNANDO SEMENZIN GALDINO (RG: 32.518.574-8); ROBERTA BELINTANE (RG: 24.463.336-8)</t>
  </si>
  <si>
    <t>2026-04-06 11:25:07</t>
  </si>
  <si>
    <t>487/2026</t>
  </si>
  <si>
    <t>08:58</t>
  </si>
  <si>
    <t>09:47</t>
  </si>
  <si>
    <t>2026-04-06 11:48:50</t>
  </si>
  <si>
    <t>485/2026</t>
  </si>
  <si>
    <t>06:13</t>
  </si>
  <si>
    <t>LUCÉLIA-SP</t>
  </si>
  <si>
    <t>MATHEUS CONRADO CABRAL (RG: 44.807.794-2)</t>
  </si>
  <si>
    <t>488/2026</t>
  </si>
  <si>
    <t>09:34</t>
  </si>
  <si>
    <t>2026-04-06 20:59:48</t>
  </si>
  <si>
    <t>489/2026</t>
  </si>
  <si>
    <t>IVECO DAILY</t>
  </si>
  <si>
    <t>DJL-7916</t>
  </si>
  <si>
    <t>7</t>
  </si>
  <si>
    <t>DANIEL FERREIRA DE OLIVEIRA (RG: 40.661.751-X)</t>
  </si>
  <si>
    <t>2026-04-06 21:00:04</t>
  </si>
  <si>
    <t>TAIUVA-SP, BARRETOS-SP</t>
  </si>
  <si>
    <t>WILSON LOPES DA SILVA (RG: 33.343.142-X); VAGNER PEREIRA DOS SANTOS (RG: 43.801.342-6)</t>
  </si>
  <si>
    <t>490/2026</t>
  </si>
  <si>
    <t>11:35</t>
  </si>
  <si>
    <t>12:14</t>
  </si>
  <si>
    <t>491/2026</t>
  </si>
  <si>
    <t>16:18</t>
  </si>
  <si>
    <t>FARLEY RICARDO PEROSSO (RG: 33.640.188-7)</t>
  </si>
  <si>
    <t>2026-04-06 21:00:14</t>
  </si>
  <si>
    <t>492/2026</t>
  </si>
  <si>
    <t>COLINA-SP, BEBEDOURO-SP</t>
  </si>
  <si>
    <t>493/2026</t>
  </si>
  <si>
    <t>19:56</t>
  </si>
  <si>
    <t>JÚLIO CESAR NOGUEIRA (RG: 43.138.546-4)</t>
  </si>
  <si>
    <t>495/2026</t>
  </si>
  <si>
    <t>07:30</t>
  </si>
  <si>
    <t>BEBEDOURO/SP</t>
  </si>
  <si>
    <t>496/2026</t>
  </si>
  <si>
    <t>08:55</t>
  </si>
  <si>
    <t>10:46</t>
  </si>
  <si>
    <t>2026-04-07 11:25:19</t>
  </si>
  <si>
    <t>497/2026</t>
  </si>
  <si>
    <t>13:00</t>
  </si>
  <si>
    <t>PENITENCIARIA DE RIBEIRÃO PRETO</t>
  </si>
  <si>
    <t>DANILO COPPI</t>
  </si>
  <si>
    <t>498/2026</t>
  </si>
  <si>
    <t>12:50</t>
  </si>
  <si>
    <t>EURICO NORBERTO DA SILVA</t>
  </si>
  <si>
    <t>POSTO TAQUARAL</t>
  </si>
  <si>
    <t>499/2026</t>
  </si>
  <si>
    <t>14:18</t>
  </si>
  <si>
    <t>14:57</t>
  </si>
  <si>
    <t>500/2026</t>
  </si>
  <si>
    <t>18:15</t>
  </si>
  <si>
    <t>20:38</t>
  </si>
  <si>
    <t>WILLIAN OLIVEIRA DOS SANTOS</t>
  </si>
  <si>
    <t>ARARAQUARA/SP</t>
  </si>
  <si>
    <t>501/2026</t>
  </si>
  <si>
    <t>18:31</t>
  </si>
  <si>
    <t>HOSPITAL REGIONAL BEBEDOURO-SP</t>
  </si>
  <si>
    <t>502/2026</t>
  </si>
  <si>
    <t>2026-04-08</t>
  </si>
  <si>
    <t>05:15</t>
  </si>
  <si>
    <t>19:45</t>
  </si>
  <si>
    <t>CHSP-SÃO PAULO-SP</t>
  </si>
  <si>
    <t>JULIO PAGANIN</t>
  </si>
  <si>
    <t>503/2026</t>
  </si>
  <si>
    <t>07:05</t>
  </si>
  <si>
    <t>504/2026</t>
  </si>
  <si>
    <t>07:36</t>
  </si>
  <si>
    <t>17:47</t>
  </si>
  <si>
    <t>RIBEIRÃO PRETO/SP</t>
  </si>
  <si>
    <t>505/2026</t>
  </si>
  <si>
    <t>08:51</t>
  </si>
  <si>
    <t>12:20</t>
  </si>
  <si>
    <t>506/2026</t>
  </si>
  <si>
    <t>08:31</t>
  </si>
  <si>
    <t>13:02</t>
  </si>
  <si>
    <t>DANIEL FERREIRA DE OLIVEIRA (RG: 40.617.751)</t>
  </si>
  <si>
    <t>DIRETOR DE SEGURANÇA DE NÚCLEO DE PORTÁRIA</t>
  </si>
  <si>
    <t>2026-04-08 16:48:05</t>
  </si>
  <si>
    <t>507/2026</t>
  </si>
  <si>
    <t>08:53</t>
  </si>
  <si>
    <t>15:08</t>
  </si>
  <si>
    <t>508/2026</t>
  </si>
  <si>
    <t>14:38</t>
  </si>
  <si>
    <t>15:37</t>
  </si>
  <si>
    <t>511/2026</t>
  </si>
  <si>
    <t>18:45</t>
  </si>
  <si>
    <t>2026-04-10 16:55:17</t>
  </si>
  <si>
    <t>512/2026</t>
  </si>
  <si>
    <t>2026-04-09</t>
  </si>
  <si>
    <t>17:40</t>
  </si>
  <si>
    <t>2026-04-09 12:07:39</t>
  </si>
  <si>
    <t>514/2026</t>
  </si>
  <si>
    <t>10:58</t>
  </si>
  <si>
    <t>2026-04-09 13:40:27</t>
  </si>
  <si>
    <t>515/2026</t>
  </si>
  <si>
    <t>15:04</t>
  </si>
  <si>
    <t>16:10</t>
  </si>
  <si>
    <t>2026-04-09 17:14:32</t>
  </si>
  <si>
    <t>HOSPITAL DE TAIUVA</t>
  </si>
  <si>
    <t>516/2026</t>
  </si>
  <si>
    <t>18:18</t>
  </si>
  <si>
    <t>20:21</t>
  </si>
  <si>
    <t>517/2026</t>
  </si>
  <si>
    <t>2026-04-10</t>
  </si>
  <si>
    <t xml:space="preserve">HOSPITAL COLINA </t>
  </si>
  <si>
    <t>518/2026</t>
  </si>
  <si>
    <t>13:35</t>
  </si>
  <si>
    <t>519/2026</t>
  </si>
  <si>
    <t>09:23</t>
  </si>
  <si>
    <t>12:08</t>
  </si>
  <si>
    <t>TAIUVA, GUARIBA E MONTE ALTO</t>
  </si>
  <si>
    <t>2026-04-10 12:16:36</t>
  </si>
  <si>
    <t>520/2026</t>
  </si>
  <si>
    <t>RENAULT MASTER</t>
  </si>
  <si>
    <t>FTE-7927</t>
  </si>
  <si>
    <t>GUARIBA</t>
  </si>
  <si>
    <t>DEVOLUÇÃO DE VEÍCULO</t>
  </si>
  <si>
    <t>521/2026</t>
  </si>
  <si>
    <t>15:01</t>
  </si>
  <si>
    <t>522/2026</t>
  </si>
  <si>
    <t>14:05</t>
  </si>
  <si>
    <t>2026-04-10 16:54:35</t>
  </si>
  <si>
    <t>TAQUARAL-SP</t>
  </si>
  <si>
    <t>2026-04-10 18:36:54</t>
  </si>
  <si>
    <t>523/2026</t>
  </si>
  <si>
    <t>2026-04-11</t>
  </si>
  <si>
    <t>20:23</t>
  </si>
  <si>
    <t>CARLOS FERNANDO DE AGUIAR</t>
  </si>
  <si>
    <t>BUSCAR POLICAL NA CUSTODIA EM COLINA/SP</t>
  </si>
  <si>
    <t>524/2026</t>
  </si>
  <si>
    <t>18:12</t>
  </si>
  <si>
    <t>19:42</t>
  </si>
  <si>
    <t>HOSPITAL BEBEDOURO/COLINA</t>
  </si>
  <si>
    <t>BRUCE BERBEL; EDVALDO PEREIRA LOPES</t>
  </si>
  <si>
    <t>525/2026</t>
  </si>
  <si>
    <t>2026-04-12</t>
  </si>
  <si>
    <t>05:50</t>
  </si>
  <si>
    <t>526/2026</t>
  </si>
  <si>
    <t>11:06</t>
  </si>
  <si>
    <t>2026-04-13</t>
  </si>
  <si>
    <t>2026-04-13 12:21:48</t>
  </si>
  <si>
    <t>527/2026</t>
  </si>
  <si>
    <t>13:59</t>
  </si>
  <si>
    <t>FRANCA/SP</t>
  </si>
  <si>
    <t>528</t>
  </si>
  <si>
    <t>07:07</t>
  </si>
  <si>
    <t>15:20</t>
  </si>
  <si>
    <t>RAFAEL ALBERT MENESES</t>
  </si>
  <si>
    <t>SÃO JOSÉ DO RIO PRETO</t>
  </si>
  <si>
    <t>MAICON HENRIQUE ALVES</t>
  </si>
  <si>
    <t>529/2026</t>
  </si>
  <si>
    <t>08:24</t>
  </si>
  <si>
    <t>BARRETOS</t>
  </si>
  <si>
    <t>530/2026</t>
  </si>
  <si>
    <t>13:50</t>
  </si>
  <si>
    <t>531/2026</t>
  </si>
  <si>
    <t>16:05</t>
  </si>
  <si>
    <t>FABIANO MOUTIN</t>
  </si>
  <si>
    <t>2026-04-13 16:27:55</t>
  </si>
  <si>
    <t>532/2026</t>
  </si>
  <si>
    <t>14:40</t>
  </si>
  <si>
    <t>15:39</t>
  </si>
  <si>
    <t>533/2026</t>
  </si>
  <si>
    <t>15:09</t>
  </si>
  <si>
    <t>2026-04-15</t>
  </si>
  <si>
    <t>SPIN 1.8 MT LT</t>
  </si>
  <si>
    <t>534/2026</t>
  </si>
  <si>
    <t>18:07</t>
  </si>
  <si>
    <t>19:49</t>
  </si>
  <si>
    <t>HOSPITAL COLINA CUSTODIA</t>
  </si>
  <si>
    <t>535/2026</t>
  </si>
  <si>
    <t>2026-04-14</t>
  </si>
  <si>
    <t>07:10</t>
  </si>
  <si>
    <t>2026-04-14 08:53:15</t>
  </si>
  <si>
    <t>536/2026</t>
  </si>
  <si>
    <t>07:15</t>
  </si>
  <si>
    <t>16:59</t>
  </si>
  <si>
    <t>SPIM</t>
  </si>
  <si>
    <t>537/2026</t>
  </si>
  <si>
    <t>08:47</t>
  </si>
  <si>
    <t>09:39</t>
  </si>
  <si>
    <t>538/2026</t>
  </si>
  <si>
    <t>12:15</t>
  </si>
  <si>
    <t>539/2026</t>
  </si>
  <si>
    <t>13:28</t>
  </si>
  <si>
    <t>2026-04-14 16:23:52</t>
  </si>
  <si>
    <t>540/2026</t>
  </si>
  <si>
    <t>BRUNO ZARCARI SARDELARI (RG: 39.224.756-2)</t>
  </si>
  <si>
    <t>541/2026</t>
  </si>
  <si>
    <t>2026-04-15 09:00:53</t>
  </si>
  <si>
    <t>542/2026</t>
  </si>
  <si>
    <t>COLINA</t>
  </si>
  <si>
    <t>2026-04-15 17:58:35</t>
  </si>
  <si>
    <t>543/2026</t>
  </si>
  <si>
    <t>544/2026</t>
  </si>
  <si>
    <t>13:07</t>
  </si>
  <si>
    <t>2026-04-15 12:06:11</t>
  </si>
  <si>
    <t>545/2026</t>
  </si>
  <si>
    <t>14:08</t>
  </si>
  <si>
    <t>14:19</t>
  </si>
  <si>
    <t>TAAIUVA/SP</t>
  </si>
  <si>
    <t>WALTER RODRIGUESS JUNIOR (RG: 34.081.302-7)</t>
  </si>
  <si>
    <t>546/2026</t>
  </si>
  <si>
    <t>13:10</t>
  </si>
  <si>
    <t>SPIN</t>
  </si>
  <si>
    <t>TAIUVA/BEBEDOURO</t>
  </si>
  <si>
    <t>2026-04-15 18:11:31</t>
  </si>
  <si>
    <t>547/2026</t>
  </si>
  <si>
    <t>15:15</t>
  </si>
  <si>
    <t>TAQUARAL</t>
  </si>
  <si>
    <t>FARLEY RICARDO PRESSO</t>
  </si>
  <si>
    <t>548/2026</t>
  </si>
  <si>
    <t>18:08</t>
  </si>
  <si>
    <t>20:17</t>
  </si>
  <si>
    <t>549/2026</t>
  </si>
  <si>
    <t>2026-04-16</t>
  </si>
  <si>
    <t>03:15</t>
  </si>
  <si>
    <t>15:32</t>
  </si>
  <si>
    <t>JULIANO BARBAGLIA</t>
  </si>
  <si>
    <t>AGUAI</t>
  </si>
  <si>
    <t>JORGE LUIZ FERREIRA FILHO (RG: 48.117.680-9); MARCOS VINICIUS SANTOS DA SILVA (RG: 46.207.495-X); WAGNER BRUNELLI (RG: 40.360.233-6)</t>
  </si>
  <si>
    <t>550/2026</t>
  </si>
  <si>
    <t>03:30</t>
  </si>
  <si>
    <t>19:20</t>
  </si>
  <si>
    <t>CHSP SÃO PAULO-SP</t>
  </si>
  <si>
    <t>DANIEL FERREIRA OLIVEIRA; TIAGO HENRIQUE BOLAINA</t>
  </si>
  <si>
    <t>551/2026</t>
  </si>
  <si>
    <t>08:26</t>
  </si>
  <si>
    <t>19:46</t>
  </si>
  <si>
    <t>CPP II DE BAURU-SP</t>
  </si>
  <si>
    <t>ALFREDO GUILERME LOPES</t>
  </si>
  <si>
    <t>2026-04-16 11:06:09</t>
  </si>
  <si>
    <t>552/2026</t>
  </si>
  <si>
    <t>10:37</t>
  </si>
  <si>
    <t>11:41</t>
  </si>
  <si>
    <t>2026-04-16 13:10:04</t>
  </si>
  <si>
    <t>553/2026</t>
  </si>
  <si>
    <t>13:36</t>
  </si>
  <si>
    <t>17:00</t>
  </si>
  <si>
    <t>554/2026</t>
  </si>
  <si>
    <t>15:29</t>
  </si>
  <si>
    <t>RIBEIRAO PRETO</t>
  </si>
  <si>
    <t>2026-04-16 18:19:52</t>
  </si>
  <si>
    <t>555/2026</t>
  </si>
  <si>
    <t>2026-04-17</t>
  </si>
  <si>
    <t>07:32</t>
  </si>
  <si>
    <t>16:55</t>
  </si>
  <si>
    <t>ARARAQUARA</t>
  </si>
  <si>
    <t>556/2026</t>
  </si>
  <si>
    <t>557/2026</t>
  </si>
  <si>
    <t>10:02</t>
  </si>
  <si>
    <t>2026-04-17 12:49:37</t>
  </si>
  <si>
    <t>558/2026</t>
  </si>
  <si>
    <t>18:50</t>
  </si>
  <si>
    <t>TAIUVA/MONTE AUTO</t>
  </si>
  <si>
    <t>DIRETOR DE NUCLEO DE ESCOLTA E VIGILANCIA PENITENCIARIA - SUBSTITUTO.</t>
  </si>
  <si>
    <t>559/2026</t>
  </si>
  <si>
    <t>2026-04-18</t>
  </si>
  <si>
    <t>14:50</t>
  </si>
  <si>
    <t>DJL6J31</t>
  </si>
  <si>
    <t>561/2026</t>
  </si>
  <si>
    <t>2026-04-19</t>
  </si>
  <si>
    <t>17:50</t>
  </si>
  <si>
    <t>3756</t>
  </si>
  <si>
    <t>JOSÉ ANTONIO FARIA JUNIOR (RG: 40.975.298-8)</t>
  </si>
  <si>
    <t>2026-04-20</t>
  </si>
  <si>
    <t>06:29</t>
  </si>
  <si>
    <t>07:19</t>
  </si>
  <si>
    <t>DJL 7900</t>
  </si>
  <si>
    <t>01</t>
  </si>
  <si>
    <t>2026-04-20 09:21:16</t>
  </si>
  <si>
    <t>563/2026</t>
  </si>
  <si>
    <t>13:37</t>
  </si>
  <si>
    <t>566/2026</t>
  </si>
  <si>
    <t>2026-04-22</t>
  </si>
  <si>
    <t>10:59</t>
  </si>
  <si>
    <t>FSP 4J81</t>
  </si>
  <si>
    <t>2026-04-22 12:14:27</t>
  </si>
  <si>
    <t>567/2026</t>
  </si>
  <si>
    <t>11:07</t>
  </si>
  <si>
    <t>17:27</t>
  </si>
  <si>
    <t>VAGNER PEREIRA DOS SANTOS</t>
  </si>
  <si>
    <t>JOSÉ ANTONIO DE FARIA JUNIOR (RG: 40.975.298-8)</t>
  </si>
  <si>
    <t>2026-04-22 13:37:37</t>
  </si>
  <si>
    <t>568/2026</t>
  </si>
  <si>
    <t>13:49</t>
  </si>
  <si>
    <t>569/2026</t>
  </si>
  <si>
    <t>2026-04-23</t>
  </si>
  <si>
    <t>11:40</t>
  </si>
  <si>
    <t>WAGNER BRUNET (RG: 40.360.233-6)</t>
  </si>
  <si>
    <t>570/2026</t>
  </si>
  <si>
    <t>12:40</t>
  </si>
  <si>
    <t>142697</t>
  </si>
  <si>
    <t>16:52</t>
  </si>
  <si>
    <t>16:53</t>
  </si>
  <si>
    <t>2026-04-23 15:49:24</t>
  </si>
  <si>
    <t>572/2026</t>
  </si>
  <si>
    <t>2026-04-24</t>
  </si>
  <si>
    <t>06:08</t>
  </si>
  <si>
    <t>18:24</t>
  </si>
  <si>
    <t>RIOLÂNDIA/SP</t>
  </si>
  <si>
    <t>573/2026</t>
  </si>
  <si>
    <t>10:36</t>
  </si>
  <si>
    <t>13:24</t>
  </si>
  <si>
    <t>WALTER RODRIGUES JUNIOR (RG: 34.081.302-7)</t>
  </si>
  <si>
    <t>574/2026</t>
  </si>
  <si>
    <t>16:20</t>
  </si>
  <si>
    <t>575/2026</t>
  </si>
  <si>
    <t>GUARIBA-SP</t>
  </si>
  <si>
    <t>565/2026</t>
  </si>
  <si>
    <t>17:15</t>
  </si>
  <si>
    <t>576/2026</t>
  </si>
  <si>
    <t>577/2026</t>
  </si>
  <si>
    <t>2026-04-25</t>
  </si>
  <si>
    <t>09:37</t>
  </si>
  <si>
    <t>LEVAR VIATURA PARA TROCAR OS PNEUS</t>
  </si>
  <si>
    <t>578/2026</t>
  </si>
  <si>
    <t>11:42</t>
  </si>
  <si>
    <t>11:43</t>
  </si>
  <si>
    <t>580/2026</t>
  </si>
  <si>
    <t>2026-04-26</t>
  </si>
  <si>
    <t>11:25</t>
  </si>
  <si>
    <t>DANIEL FERREIRA DE OLIVEIRA (RG: 40.661.751-X); REINALDO PONTES DA SILVEIRA (RG: 214.792.888-70)</t>
  </si>
  <si>
    <t>580/20256</t>
  </si>
  <si>
    <t>11:57</t>
  </si>
  <si>
    <t>581/2026</t>
  </si>
  <si>
    <t>2026-04-27</t>
  </si>
  <si>
    <t>582/2026</t>
  </si>
  <si>
    <t>08:18</t>
  </si>
  <si>
    <t>10:21</t>
  </si>
  <si>
    <t>HOSPITAL REGIONAL DE BEBEDOURO SP</t>
  </si>
  <si>
    <t>583/2026</t>
  </si>
  <si>
    <t>JETHER AUGUSTO DA SILVA LEMOS TOLEDO</t>
  </si>
  <si>
    <t>584/2026</t>
  </si>
  <si>
    <t>13:56</t>
  </si>
  <si>
    <t>15:07</t>
  </si>
  <si>
    <t>585/2026</t>
  </si>
  <si>
    <t>2026-04-28</t>
  </si>
  <si>
    <t>586/2026</t>
  </si>
  <si>
    <t>16:14</t>
  </si>
  <si>
    <t>16:51</t>
  </si>
  <si>
    <t>587/2026</t>
  </si>
  <si>
    <t>17:20</t>
  </si>
  <si>
    <t>588/2026</t>
  </si>
  <si>
    <t>07:55</t>
  </si>
  <si>
    <t>09:02</t>
  </si>
  <si>
    <t>589/2026</t>
  </si>
  <si>
    <t>11:39</t>
  </si>
  <si>
    <t>18:42</t>
  </si>
  <si>
    <t>DANILO RIBEIRO COPPI (RG: 42.399.182-6)</t>
  </si>
  <si>
    <t>591/2026</t>
  </si>
  <si>
    <t>18:11</t>
  </si>
  <si>
    <t>590/2026</t>
  </si>
  <si>
    <t>593/2026</t>
  </si>
  <si>
    <t>15:35</t>
  </si>
  <si>
    <t>594/2026</t>
  </si>
  <si>
    <t>596/2026</t>
  </si>
  <si>
    <t>2026-04-29</t>
  </si>
  <si>
    <t>PENITENCIARIA DE PAULO DE FARIA</t>
  </si>
  <si>
    <t>JORGE LUIZ FERREIRA (RG: 48117680-9); MAICON HENRIQUE ALVES (RG: 30142726-4); JOAO LEONARDO GEROMEL (RG: 22622738-8)</t>
  </si>
  <si>
    <t>597/2026</t>
  </si>
  <si>
    <t>07:04</t>
  </si>
  <si>
    <t>FABIO SIQUEIRA GONCALVES (RG: 40.123.811-8)</t>
  </si>
  <si>
    <t>598/2026</t>
  </si>
  <si>
    <t>19:23</t>
  </si>
  <si>
    <t>S10 LS DS4</t>
  </si>
  <si>
    <t>FTI-7536</t>
  </si>
  <si>
    <t>ELIAS SOARES DA SILVA</t>
  </si>
  <si>
    <t>PRESIDENTE VENCESLAU-SP</t>
  </si>
  <si>
    <t>599/2026</t>
  </si>
  <si>
    <t>14:49</t>
  </si>
  <si>
    <t>600/2026</t>
  </si>
  <si>
    <t>11:55</t>
  </si>
  <si>
    <t>HOSPITAL MUNICPAL DE TAIUVA</t>
  </si>
  <si>
    <t>600/2025</t>
  </si>
  <si>
    <t>13:15</t>
  </si>
  <si>
    <t>17:08</t>
  </si>
  <si>
    <t>JOSÉ ANTONIO DE FARIA JUNIOR</t>
  </si>
  <si>
    <t>16:36</t>
  </si>
  <si>
    <t>FÁBO SIQUEIRA GONÇALVES  (RG: 40.123.811-8)</t>
  </si>
  <si>
    <t>601/2026</t>
  </si>
  <si>
    <t>18:02</t>
  </si>
  <si>
    <t>18:48</t>
  </si>
  <si>
    <t>HOSPITAL REGIONAL BEBEDOURO</t>
  </si>
  <si>
    <t>602/2026</t>
  </si>
  <si>
    <t>2026-04-30</t>
  </si>
  <si>
    <t>05:53</t>
  </si>
  <si>
    <t>603/2026</t>
  </si>
  <si>
    <t>07:53</t>
  </si>
  <si>
    <t>604/2026</t>
  </si>
  <si>
    <t>15:00</t>
  </si>
  <si>
    <t>MAICON HENRIQUE ALVES (RG: 30.142.726-4)</t>
  </si>
  <si>
    <t>605/2026</t>
  </si>
  <si>
    <t>16:45</t>
  </si>
  <si>
    <t>606/2026</t>
  </si>
  <si>
    <t>TAIUVA-BEBEDOURO/SP</t>
  </si>
  <si>
    <t>607/2026</t>
  </si>
  <si>
    <t>608/2026</t>
  </si>
  <si>
    <t>2026-05-01</t>
  </si>
  <si>
    <t>18:20</t>
  </si>
  <si>
    <t>19:09</t>
  </si>
  <si>
    <t>610/2026</t>
  </si>
  <si>
    <t>2026-05-02</t>
  </si>
  <si>
    <t>2026-05-03</t>
  </si>
  <si>
    <t>HOSPITAL REGIONAL DE BEBDOURO/SP</t>
  </si>
  <si>
    <t>611/2026</t>
  </si>
  <si>
    <t>06:50</t>
  </si>
  <si>
    <t>07:38</t>
  </si>
  <si>
    <t>612/2026</t>
  </si>
  <si>
    <t>MATHEUS CONRRADO CABRAL</t>
  </si>
  <si>
    <t>613/2026</t>
  </si>
  <si>
    <t>19:00</t>
  </si>
  <si>
    <t>614/2026</t>
  </si>
  <si>
    <t>2026-05-04</t>
  </si>
  <si>
    <t>05:55</t>
  </si>
  <si>
    <t>615/2026</t>
  </si>
  <si>
    <t>08:48</t>
  </si>
  <si>
    <t>11:05</t>
  </si>
  <si>
    <t>616/2026</t>
  </si>
  <si>
    <t>09:50</t>
  </si>
  <si>
    <t>10:20</t>
  </si>
  <si>
    <t>ROBERTA BELINTANE</t>
  </si>
  <si>
    <t>617/2026</t>
  </si>
  <si>
    <t>11:10</t>
  </si>
  <si>
    <t>618/2026</t>
  </si>
  <si>
    <t>619/2026</t>
  </si>
  <si>
    <t>15:49</t>
  </si>
  <si>
    <t>620/2026</t>
  </si>
  <si>
    <t>TAIUVA / MONTE ALTO</t>
  </si>
  <si>
    <t>621/2026</t>
  </si>
  <si>
    <t>622/2026</t>
  </si>
  <si>
    <t>22:03</t>
  </si>
  <si>
    <t>RAFAEL ANICETO DA SILVA (RG: 32.361.609-4)</t>
  </si>
  <si>
    <t>623/2026</t>
  </si>
  <si>
    <t>2026-05-05</t>
  </si>
  <si>
    <t>05:25</t>
  </si>
  <si>
    <t>07:27</t>
  </si>
  <si>
    <t>HOSPITAL DO AMOR DE BARRETOS/SP</t>
  </si>
  <si>
    <t>LUIZ GUSTAVO FURTADO DOS SANTOS</t>
  </si>
  <si>
    <t>624/2026</t>
  </si>
  <si>
    <t>18:38</t>
  </si>
  <si>
    <t>PAULO DE FARIA-SP</t>
  </si>
  <si>
    <t>262/2026</t>
  </si>
  <si>
    <t>13:38</t>
  </si>
  <si>
    <t>16:49</t>
  </si>
  <si>
    <t>TAIÚVA/BARRETOS</t>
  </si>
  <si>
    <t>ADMINSTRATIVOS</t>
  </si>
  <si>
    <t>630/2026</t>
  </si>
  <si>
    <t>18:35</t>
  </si>
  <si>
    <t>20:27</t>
  </si>
  <si>
    <t>629/2026</t>
  </si>
  <si>
    <t>18:40</t>
  </si>
  <si>
    <t>631/2026</t>
  </si>
  <si>
    <t>2026-05-06</t>
  </si>
  <si>
    <t>632/2026</t>
  </si>
  <si>
    <t>DANIEL FERREIRA DE OLIVEIRA (RG: 40661751-X)</t>
  </si>
  <si>
    <t>634/2026</t>
  </si>
  <si>
    <t>17:41</t>
  </si>
  <si>
    <t>633/2026</t>
  </si>
  <si>
    <t>12:42</t>
  </si>
  <si>
    <t>635/2026</t>
  </si>
  <si>
    <t>2026-05-07</t>
  </si>
  <si>
    <t>04:30</t>
  </si>
  <si>
    <t>12:22</t>
  </si>
  <si>
    <t>JORGE LUIZ FERREIRA FILHO (RG: 481176809); ABRAAO ALDO PEREIRA (RG: 426072315); MARCOS VINICIUS SANTOS DA SILVA (RG: 46207495X)</t>
  </si>
  <si>
    <t>A DISPOSIÇÃO</t>
  </si>
  <si>
    <t>636/2026</t>
  </si>
  <si>
    <t>18:55</t>
  </si>
  <si>
    <t>637/2026</t>
  </si>
  <si>
    <t>19:25</t>
  </si>
  <si>
    <t>JULIO CESAR PAGANIN</t>
  </si>
  <si>
    <t>CHSP CAPITAL</t>
  </si>
  <si>
    <t>LUIZ FERNANDO NOGUEIRA GERMANO (RG: 21723835X)</t>
  </si>
  <si>
    <t>638/2026</t>
  </si>
  <si>
    <t>07:21</t>
  </si>
  <si>
    <t>MOGI MIRIM SP</t>
  </si>
  <si>
    <t>639/2026</t>
  </si>
  <si>
    <t>2026-05-18</t>
  </si>
  <si>
    <t>17:48</t>
  </si>
  <si>
    <t>ARARAQUARA - COORDENADORIA</t>
  </si>
  <si>
    <t>JOSE FABIANO MOUTIN (RG: 265285227)</t>
  </si>
  <si>
    <t>640/2026</t>
  </si>
  <si>
    <t>LEANDRO JOSÉ MOTTA MENDES (RG: 27.963.602-7)</t>
  </si>
  <si>
    <t>641/2026</t>
  </si>
  <si>
    <t>13:57</t>
  </si>
  <si>
    <t>18:37</t>
  </si>
  <si>
    <t>FARLEY RICARDO PEROSSO</t>
  </si>
  <si>
    <t>BEBEDOURO / ARARAQUARA</t>
  </si>
  <si>
    <t>642/2026</t>
  </si>
  <si>
    <t>19:35</t>
  </si>
  <si>
    <t>2026-05-08</t>
  </si>
  <si>
    <t>19:50</t>
  </si>
  <si>
    <t>20:59</t>
  </si>
  <si>
    <t>RODOVIARIA DE JABOTICABAL</t>
  </si>
  <si>
    <t>645/2026</t>
  </si>
  <si>
    <t>04:50</t>
  </si>
  <si>
    <t>PENITENCIARIA TREMÉMBE-SP</t>
  </si>
  <si>
    <t>REMOÇÃO SETENCIADO</t>
  </si>
  <si>
    <t>646/2026</t>
  </si>
  <si>
    <t>06:45</t>
  </si>
  <si>
    <t>647/2026</t>
  </si>
  <si>
    <t>648/2026</t>
  </si>
  <si>
    <t>09:27</t>
  </si>
  <si>
    <t>TAIÚVA/SP E BEBEDOURO/SP</t>
  </si>
  <si>
    <t>649/2026</t>
  </si>
  <si>
    <t>14:06</t>
  </si>
  <si>
    <t>18:21</t>
  </si>
  <si>
    <t>650/2026</t>
  </si>
  <si>
    <t>15:06</t>
  </si>
  <si>
    <t>651/2026</t>
  </si>
  <si>
    <t>19:51</t>
  </si>
  <si>
    <t>CATANDUVA/SP</t>
  </si>
  <si>
    <t>652/2026</t>
  </si>
  <si>
    <t>2026-05-09</t>
  </si>
  <si>
    <t>08:07</t>
  </si>
  <si>
    <t>FLAVIO MORGATO</t>
  </si>
  <si>
    <t>653/2026</t>
  </si>
  <si>
    <t xml:space="preserve">RENDIÇÃO CUSTODIA </t>
  </si>
  <si>
    <t>654/2026</t>
  </si>
  <si>
    <t>HOSPITAL MUNICIPAL DE TAIUVA-SP</t>
  </si>
  <si>
    <t>655/2026</t>
  </si>
  <si>
    <t>2026-05-10</t>
  </si>
  <si>
    <t>06:23</t>
  </si>
  <si>
    <t>07:50</t>
  </si>
  <si>
    <t>656/2026</t>
  </si>
  <si>
    <t>658/2026</t>
  </si>
  <si>
    <t>RENAULT MASTER AMB</t>
  </si>
  <si>
    <t>FTE 7927</t>
  </si>
  <si>
    <t>CARLOS ANTONIO BEARARI RODRIGUES (RG: 24.633.591-9)</t>
  </si>
  <si>
    <t>659/2026</t>
  </si>
  <si>
    <t>BARRETOS / BEBEDOURO</t>
  </si>
  <si>
    <t>660/2026</t>
  </si>
  <si>
    <t>2026-05-11</t>
  </si>
  <si>
    <t>05:20</t>
  </si>
  <si>
    <t>JOAO CARLOS GERMANO</t>
  </si>
  <si>
    <t>PEN. PAULO DE FARIA</t>
  </si>
  <si>
    <t>JULIO CESAR NOGUEIRA (RG: 431385464)</t>
  </si>
  <si>
    <t>661/2026</t>
  </si>
  <si>
    <t>06:39</t>
  </si>
  <si>
    <t>662/2026</t>
  </si>
  <si>
    <t>15:03</t>
  </si>
  <si>
    <t>663/2026</t>
  </si>
  <si>
    <t>2026-05-12</t>
  </si>
  <si>
    <t>21:25</t>
  </si>
  <si>
    <t>SÃO PAULO/SP</t>
  </si>
  <si>
    <t>DOUGLAS FERNANDO SEMENZIN GALDINO (RG: 32.518.574-8); WILLIAN OLIVEIRA DOS SANTOS (RG: 34.079.002-7)</t>
  </si>
  <si>
    <t>665/2026</t>
  </si>
  <si>
    <t>18:22</t>
  </si>
  <si>
    <t>06:52</t>
  </si>
  <si>
    <t>666/2026</t>
  </si>
  <si>
    <t>MASTER AMB</t>
  </si>
  <si>
    <t>JOSÉ ANTONIO</t>
  </si>
  <si>
    <t>667/2026</t>
  </si>
  <si>
    <t>MOGI MIRIM-SP</t>
  </si>
  <si>
    <t>09:58</t>
  </si>
  <si>
    <t>ADRIANO DE SOUZA GUIMARÃES</t>
  </si>
  <si>
    <t>668/2026</t>
  </si>
  <si>
    <t>09:00</t>
  </si>
  <si>
    <t>670/2026</t>
  </si>
  <si>
    <t>RENAULT</t>
  </si>
  <si>
    <t>671/2026</t>
  </si>
  <si>
    <t>14:03</t>
  </si>
  <si>
    <t>16:26</t>
  </si>
  <si>
    <t>673/2026</t>
  </si>
  <si>
    <t>18:23</t>
  </si>
  <si>
    <t>19:07</t>
  </si>
  <si>
    <t>674</t>
  </si>
  <si>
    <t>2026-05-13</t>
  </si>
  <si>
    <t>GUARIBA / BEBEDOURO</t>
  </si>
  <si>
    <t>676</t>
  </si>
  <si>
    <t>17:42</t>
  </si>
  <si>
    <t>BARRETOS -SP</t>
  </si>
  <si>
    <t>677/2026</t>
  </si>
  <si>
    <t>18:16</t>
  </si>
  <si>
    <t>HOSPITAL DO AMOR BARRETOS</t>
  </si>
  <si>
    <t>678/2026</t>
  </si>
  <si>
    <t>2026-05-14</t>
  </si>
  <si>
    <t>05:00</t>
  </si>
  <si>
    <t>2026-05-15</t>
  </si>
  <si>
    <t>10:45</t>
  </si>
  <si>
    <t>CHSP-SÃO PAULO</t>
  </si>
  <si>
    <t>679/2026</t>
  </si>
  <si>
    <t>680/2026</t>
  </si>
  <si>
    <t>11:50</t>
  </si>
  <si>
    <t>15:55</t>
  </si>
  <si>
    <t>681</t>
  </si>
  <si>
    <t>13:06</t>
  </si>
  <si>
    <t>682/2026</t>
  </si>
  <si>
    <t>12:39</t>
  </si>
  <si>
    <t>683/2026</t>
  </si>
  <si>
    <t>684/2026</t>
  </si>
  <si>
    <t>16:40</t>
  </si>
  <si>
    <t>685/2026</t>
  </si>
  <si>
    <t>687/2026</t>
  </si>
  <si>
    <t>10:44</t>
  </si>
  <si>
    <t>11:51</t>
  </si>
  <si>
    <t>TAIUVA E BEBEDOURO</t>
  </si>
  <si>
    <t>689</t>
  </si>
  <si>
    <t>12:25</t>
  </si>
  <si>
    <t>16:39</t>
  </si>
  <si>
    <t>690/2026</t>
  </si>
  <si>
    <t>2026-05-16</t>
  </si>
  <si>
    <t>18:04</t>
  </si>
  <si>
    <t>691/2026</t>
  </si>
  <si>
    <t>692/2026</t>
  </si>
  <si>
    <t>693/2026</t>
  </si>
  <si>
    <t>2026-05-17</t>
  </si>
  <si>
    <t>19:36</t>
  </si>
  <si>
    <t>694/2026</t>
  </si>
  <si>
    <t>06:20</t>
  </si>
  <si>
    <t>08:08</t>
  </si>
  <si>
    <t>696/2026</t>
  </si>
  <si>
    <t>09:05</t>
  </si>
  <si>
    <t>15:45</t>
  </si>
  <si>
    <t>697/2026</t>
  </si>
  <si>
    <t>09:10</t>
  </si>
  <si>
    <t>698/2026</t>
  </si>
  <si>
    <t>686/2026</t>
  </si>
  <si>
    <t>16:50</t>
  </si>
  <si>
    <t>ARARAQUARA E SÃO JOSÉ DO RIO PRETO</t>
  </si>
  <si>
    <t>700/2026</t>
  </si>
  <si>
    <t>702/2026</t>
  </si>
  <si>
    <t>15:40</t>
  </si>
  <si>
    <t xml:space="preserve">PAULO CESAR MAROSTICA </t>
  </si>
  <si>
    <t>704/2026</t>
  </si>
  <si>
    <t>705/2026</t>
  </si>
  <si>
    <t>2026-05-19</t>
  </si>
  <si>
    <t>2026-05-20</t>
  </si>
  <si>
    <t>22:54</t>
  </si>
  <si>
    <t>ALFREDO GUILHERME LOPES (RG: 403874579)</t>
  </si>
  <si>
    <t>706/2026</t>
  </si>
  <si>
    <t>PUBLICO</t>
  </si>
  <si>
    <t>HCSP /SP</t>
  </si>
  <si>
    <t>JULIO SMARRA NETO (RG: 203538274)</t>
  </si>
  <si>
    <t>707/2026</t>
  </si>
  <si>
    <t>BEBEDOURO SP</t>
  </si>
  <si>
    <t>708/2026</t>
  </si>
  <si>
    <t>09:07</t>
  </si>
  <si>
    <t>09:55</t>
  </si>
  <si>
    <t>IVECO DAYLI</t>
  </si>
  <si>
    <t>711/2026</t>
  </si>
  <si>
    <t>10:50</t>
  </si>
  <si>
    <t>713/2026</t>
  </si>
  <si>
    <t>13:41</t>
  </si>
  <si>
    <t>714/2026</t>
  </si>
  <si>
    <t>16:01</t>
  </si>
  <si>
    <t>17:19</t>
  </si>
  <si>
    <t>716/2026</t>
  </si>
  <si>
    <t>717/2026</t>
  </si>
  <si>
    <t>718/2026</t>
  </si>
  <si>
    <t>10:00</t>
  </si>
  <si>
    <t>10:24</t>
  </si>
  <si>
    <t>719/2026</t>
  </si>
  <si>
    <t>PAULO CESAR MAROSKA</t>
  </si>
  <si>
    <t>720/2026</t>
  </si>
  <si>
    <t>12:18</t>
  </si>
  <si>
    <t>721/2026</t>
  </si>
  <si>
    <t>2026-05-21</t>
  </si>
  <si>
    <t>22:02</t>
  </si>
  <si>
    <t>722/2026</t>
  </si>
  <si>
    <t>14:51</t>
  </si>
  <si>
    <t>16:16</t>
  </si>
  <si>
    <t>2026-05-20 19:27:25</t>
  </si>
  <si>
    <t>724/2026</t>
  </si>
  <si>
    <t>06:15</t>
  </si>
  <si>
    <t>07:06</t>
  </si>
  <si>
    <t>GUSTAVO DE OLIVEIRA FREITAS (RG: 46.139.964-7)</t>
  </si>
  <si>
    <t>730/2026</t>
  </si>
  <si>
    <t>2026-05-22</t>
  </si>
  <si>
    <t>08:45</t>
  </si>
  <si>
    <t>12:00</t>
  </si>
  <si>
    <t>731/2026</t>
  </si>
  <si>
    <t>11:27</t>
  </si>
  <si>
    <t>BEBEDOURO/SP E BARRETOS/SP</t>
  </si>
  <si>
    <t>732/2026</t>
  </si>
  <si>
    <t>733/2026</t>
  </si>
  <si>
    <t>11:44</t>
  </si>
  <si>
    <t>734/2026</t>
  </si>
  <si>
    <t>2026-05-25</t>
  </si>
  <si>
    <t>07:34</t>
  </si>
  <si>
    <t>DANILO DIRCEU DOS PASSOS ; EDUARDO DONADON VILLELA</t>
  </si>
  <si>
    <t>LEVAR POLICIAI PENAL "RENDIÇÃO"</t>
  </si>
  <si>
    <t>735/2026</t>
  </si>
  <si>
    <t>2026-05-23</t>
  </si>
  <si>
    <t>07:03</t>
  </si>
  <si>
    <t xml:space="preserve">JOÃO LEONARDO GEROMEL MARINO </t>
  </si>
  <si>
    <t>7372026</t>
  </si>
  <si>
    <t>2026-05-24</t>
  </si>
  <si>
    <t>21:45</t>
  </si>
  <si>
    <t>22:37</t>
  </si>
  <si>
    <t>2 - EMPRESTADO</t>
  </si>
  <si>
    <t>CLEBERTON RIZZO MARQUES</t>
  </si>
  <si>
    <t>2026-05-25 15:53:51</t>
  </si>
  <si>
    <t>738/2026</t>
  </si>
  <si>
    <t>07:01</t>
  </si>
  <si>
    <t>739/2026</t>
  </si>
  <si>
    <t>740/2026</t>
  </si>
  <si>
    <t>13:26</t>
  </si>
  <si>
    <t>PAULO CESAR MAROSTICA</t>
  </si>
  <si>
    <t>741/2026</t>
  </si>
  <si>
    <t>17:55</t>
  </si>
  <si>
    <t xml:space="preserve">CHEVROLET SPIN </t>
  </si>
  <si>
    <t>742/2026</t>
  </si>
  <si>
    <t>744</t>
  </si>
  <si>
    <t>11:16</t>
  </si>
  <si>
    <t>BUSCAR MANTIMENTOS NO CDP DE PONTAL</t>
  </si>
  <si>
    <t>743/2026</t>
  </si>
  <si>
    <t>15:34</t>
  </si>
  <si>
    <t>745/2026</t>
  </si>
  <si>
    <t>746/2026</t>
  </si>
  <si>
    <t>13:29</t>
  </si>
  <si>
    <t>747/2026</t>
  </si>
  <si>
    <t>18:51</t>
  </si>
  <si>
    <t>748/2026</t>
  </si>
  <si>
    <t>2026-05-26</t>
  </si>
  <si>
    <t>06:44</t>
  </si>
  <si>
    <t>750/2026</t>
  </si>
  <si>
    <t>14:53</t>
  </si>
  <si>
    <t>JULIO SMARRA NETO</t>
  </si>
  <si>
    <t>751/2026</t>
  </si>
  <si>
    <t>11:30</t>
  </si>
  <si>
    <t>752/2026</t>
  </si>
  <si>
    <t>13:19</t>
  </si>
  <si>
    <t>SÃO JOSÉ DO RIO PRETO/SP</t>
  </si>
  <si>
    <t>755/2026</t>
  </si>
  <si>
    <t>2026-05-27</t>
  </si>
  <si>
    <t>09:48</t>
  </si>
  <si>
    <t>LEANDRO VENESIO SANTOS GOMES  (RG: 41.062.384-2)</t>
  </si>
  <si>
    <t>756/2026</t>
  </si>
  <si>
    <t>13:17</t>
  </si>
  <si>
    <t>15:22</t>
  </si>
  <si>
    <t>FIAT DUCATO-CARGO</t>
  </si>
  <si>
    <t>3756 - EMPRESTADO</t>
  </si>
  <si>
    <t>MONTE AZUL-SP</t>
  </si>
  <si>
    <t>GABRIEL TADEU PEREIRA</t>
  </si>
  <si>
    <t>757/2026</t>
  </si>
  <si>
    <t>15:47</t>
  </si>
  <si>
    <t>758/2026</t>
  </si>
  <si>
    <t>RIBEIRÃO PRETO - SP</t>
  </si>
  <si>
    <t>759/2026</t>
  </si>
  <si>
    <t>2026-05-28</t>
  </si>
  <si>
    <t>06:59</t>
  </si>
  <si>
    <t>760/2026</t>
  </si>
  <si>
    <t>ALFREDO GUILHERME LOPES</t>
  </si>
  <si>
    <t>762/2026</t>
  </si>
  <si>
    <t>JABOTICABAL/SP E MONTE ALTO/SP</t>
  </si>
  <si>
    <t>764/2025</t>
  </si>
  <si>
    <t>765/2026</t>
  </si>
  <si>
    <t>2026-05-29</t>
  </si>
  <si>
    <t>07:11</t>
  </si>
  <si>
    <t>16:07</t>
  </si>
  <si>
    <t>767/2026</t>
  </si>
  <si>
    <t>10:07</t>
  </si>
  <si>
    <t>BEBEDOURO E TAIUVA-SP</t>
  </si>
  <si>
    <t>768/2026</t>
  </si>
  <si>
    <t>10:47</t>
  </si>
  <si>
    <t>15:10</t>
  </si>
  <si>
    <t>770/2026</t>
  </si>
  <si>
    <t>13:40</t>
  </si>
  <si>
    <t>FXU-7244</t>
  </si>
  <si>
    <t>772/2026</t>
  </si>
  <si>
    <t>2026-05-30</t>
  </si>
  <si>
    <t>06:02</t>
  </si>
  <si>
    <t>06:47</t>
  </si>
  <si>
    <t>774/2026</t>
  </si>
  <si>
    <t>18:58</t>
  </si>
  <si>
    <t>HOSPITAL REGIONAL DE BEBEDOURO/SP</t>
  </si>
  <si>
    <t>EDUARDO DONADON VILELLA</t>
  </si>
  <si>
    <t>LEVAR POLCIAL PENAL ATÉ O HOSP REGIONAL BEBEDOURO/SP</t>
  </si>
  <si>
    <t>CUZ 5J98</t>
  </si>
  <si>
    <t>HOSPITAL REGGIONAL DE BEBEDOURO</t>
  </si>
  <si>
    <t>EDUARDO DONADON VILELA (RG: 413286885)</t>
  </si>
  <si>
    <t>775/2026</t>
  </si>
  <si>
    <t>2026-05-31</t>
  </si>
  <si>
    <t>06:12</t>
  </si>
  <si>
    <t>776/2026</t>
  </si>
  <si>
    <t>13:03</t>
  </si>
  <si>
    <t>BEBEDOURO (HOSPITAL REGIONAL)</t>
  </si>
  <si>
    <t>779/2026</t>
  </si>
  <si>
    <t>2026-06-01</t>
  </si>
  <si>
    <t>11:56</t>
  </si>
  <si>
    <t>PENITENCIÁRIA DE PONTAL/SP</t>
  </si>
  <si>
    <t>VAGNER JOSÉ GALLENI (RG: 318.256.068-97)</t>
  </si>
  <si>
    <t>780/2026</t>
  </si>
  <si>
    <t>11:20</t>
  </si>
  <si>
    <t>12:45</t>
  </si>
  <si>
    <t>781/2026</t>
  </si>
  <si>
    <t>782/2026</t>
  </si>
  <si>
    <t>777/2026</t>
  </si>
  <si>
    <t>03:10</t>
  </si>
  <si>
    <t>AGUAÍ-SP</t>
  </si>
  <si>
    <t>783/2026</t>
  </si>
  <si>
    <t>2026-06-02</t>
  </si>
  <si>
    <t>20:00</t>
  </si>
  <si>
    <t>PEN. AVANHADAVA</t>
  </si>
  <si>
    <t>JOÃO CARLOS GERMANO (RG: 238504797)</t>
  </si>
  <si>
    <t>784/2026</t>
  </si>
  <si>
    <t>06:21</t>
  </si>
  <si>
    <t xml:space="preserve">DEVANIR SIDNEI NARDO </t>
  </si>
  <si>
    <t>787/2026</t>
  </si>
  <si>
    <t>14:24</t>
  </si>
  <si>
    <t>LEANDRO JOSE MOTTA MENDES</t>
  </si>
  <si>
    <t>788/2026</t>
  </si>
  <si>
    <t>17:30</t>
  </si>
  <si>
    <t>790/2026</t>
  </si>
  <si>
    <t>2026-06-03</t>
  </si>
  <si>
    <t>LEANDRO JOSÉ MOTTA MENDES (RG: 57.963.602-7)</t>
  </si>
  <si>
    <t>791/2026</t>
  </si>
  <si>
    <t>08:52</t>
  </si>
  <si>
    <t>ADRIANO DE SOUSA GUIMARAES</t>
  </si>
  <si>
    <t>792/2026</t>
  </si>
  <si>
    <t>BEBEDOURO/TAIUVA-SP</t>
  </si>
  <si>
    <t>798/2026</t>
  </si>
  <si>
    <t>2026-06-05</t>
  </si>
  <si>
    <t>14:47</t>
  </si>
  <si>
    <t>COMPLEXO PENAL SÃO JOSÉ DO RIO PRETO/SP</t>
  </si>
  <si>
    <t>797/2026</t>
  </si>
  <si>
    <t>09:49</t>
  </si>
  <si>
    <t>SPIN GM</t>
  </si>
  <si>
    <t>VAGNER JOSE GALLENI (RG: 42.891.460-3)</t>
  </si>
  <si>
    <t>800/2026</t>
  </si>
  <si>
    <t>2026-06-08</t>
  </si>
  <si>
    <t>05:38</t>
  </si>
  <si>
    <t>19:31</t>
  </si>
  <si>
    <t>CUZ</t>
  </si>
  <si>
    <t>ALUGADO</t>
  </si>
  <si>
    <t>AVANHADAVA</t>
  </si>
  <si>
    <t>JOAO CARLOS GERMANO (RG: 238504797)</t>
  </si>
  <si>
    <t>2026-06-09 14:08:20</t>
  </si>
  <si>
    <t>802/2026</t>
  </si>
  <si>
    <t>JABOTICABAL</t>
  </si>
  <si>
    <t>803/2026</t>
  </si>
  <si>
    <t>801/2026</t>
  </si>
  <si>
    <t>09:56</t>
  </si>
  <si>
    <t>2026-06-10 13:09:42</t>
  </si>
  <si>
    <t>804/2026</t>
  </si>
  <si>
    <t>10:51</t>
  </si>
  <si>
    <t>COORDENADORIA DE EXECUÇÃO PENAL NORTE</t>
  </si>
  <si>
    <t>000/2026</t>
  </si>
  <si>
    <t>15:21</t>
  </si>
  <si>
    <t>806/2026</t>
  </si>
  <si>
    <t>2026-06-09</t>
  </si>
  <si>
    <t>03:20</t>
  </si>
  <si>
    <t>807/2026</t>
  </si>
  <si>
    <t>2026-06-10</t>
  </si>
  <si>
    <t>GÁLIA/SP PRESIDENTE PRUDENTE E PRESIDENTE VENCESLAU/SP</t>
  </si>
  <si>
    <t>VAGNER JOSÉ GALLENI (RG: 42.981.460-3)</t>
  </si>
  <si>
    <t>808/2026</t>
  </si>
  <si>
    <t>09:46</t>
  </si>
  <si>
    <t>809/2026</t>
  </si>
  <si>
    <t>14:43</t>
  </si>
  <si>
    <t>810/2026</t>
  </si>
  <si>
    <t>811/2026</t>
  </si>
  <si>
    <t>AVANHANDAVA-SP</t>
  </si>
  <si>
    <t>JOÃO CARLOS GERMANO (RG: 23.859.479-7)</t>
  </si>
  <si>
    <t>812/2026</t>
  </si>
  <si>
    <t>813/2026</t>
  </si>
  <si>
    <t>14:35</t>
  </si>
  <si>
    <t>MARCOS VINICUIS SANTOS SILVA</t>
  </si>
  <si>
    <t xml:space="preserve">REIUNIÃO GIR </t>
  </si>
  <si>
    <t>815/2026</t>
  </si>
  <si>
    <t>13:31</t>
  </si>
  <si>
    <t>MONTE ALTO / TAIÚVA</t>
  </si>
  <si>
    <t>816/2026</t>
  </si>
  <si>
    <t>817/2026</t>
  </si>
  <si>
    <t>2026-06-11</t>
  </si>
  <si>
    <t>819/2026</t>
  </si>
  <si>
    <t>08:04</t>
  </si>
  <si>
    <t>2026-06-15</t>
  </si>
  <si>
    <t>820/2026</t>
  </si>
  <si>
    <t>821/2026</t>
  </si>
  <si>
    <t>822/2026</t>
  </si>
  <si>
    <t>823/2026</t>
  </si>
  <si>
    <t>16:48</t>
  </si>
  <si>
    <t>DUCATO CARGO</t>
  </si>
  <si>
    <t>DJL 6J31</t>
  </si>
  <si>
    <t>IML DE BARRETOS/SP</t>
  </si>
  <si>
    <t>824/2026</t>
  </si>
  <si>
    <t>MONTE ALTO-SP/BEBEDOURO-SP</t>
  </si>
  <si>
    <t>825/2026</t>
  </si>
  <si>
    <t>2026-06-12</t>
  </si>
  <si>
    <t>21:35</t>
  </si>
  <si>
    <t>DUCATO-CARGO</t>
  </si>
  <si>
    <t>CHSP-SP</t>
  </si>
  <si>
    <t>JOSE ANTONIO DE FARIA JUNIOR (RG: 409752988)</t>
  </si>
  <si>
    <t>828/2026</t>
  </si>
  <si>
    <t>DEVANIR SIDNEI NARDO (RG: 24203868-2)</t>
  </si>
  <si>
    <t>829/2026</t>
  </si>
  <si>
    <t>10:57</t>
  </si>
  <si>
    <t>14:07</t>
  </si>
  <si>
    <t>830/2026</t>
  </si>
  <si>
    <t>831/2026</t>
  </si>
  <si>
    <t>17:05</t>
  </si>
  <si>
    <t>833/2026</t>
  </si>
  <si>
    <t>2026-06-13</t>
  </si>
  <si>
    <t>19:21</t>
  </si>
  <si>
    <t>TLH-5H35 SPIN</t>
  </si>
  <si>
    <t>TLH-5H35</t>
  </si>
  <si>
    <t>BT0039</t>
  </si>
  <si>
    <t>RODOVIARIA JABOTICABAL-SP</t>
  </si>
  <si>
    <t>MARCELO ANTONIO</t>
  </si>
  <si>
    <t>834/2026</t>
  </si>
  <si>
    <t>THL-5H35</t>
  </si>
  <si>
    <t>20:34</t>
  </si>
  <si>
    <t>835/2026</t>
  </si>
  <si>
    <t>06:51</t>
  </si>
  <si>
    <t>836/2026</t>
  </si>
  <si>
    <t>MONTE ALTO SP</t>
  </si>
  <si>
    <t>839/2026</t>
  </si>
  <si>
    <t>04:15</t>
  </si>
  <si>
    <t>SERRA AZUL</t>
  </si>
  <si>
    <t>VINICIUS SILVA; PAULO SIMÃO; ALVÁRO ANTONIO</t>
  </si>
  <si>
    <t>840/2026</t>
  </si>
  <si>
    <t>06:56</t>
  </si>
  <si>
    <t>841/2026</t>
  </si>
  <si>
    <t>RICARDO SAMUEL SCARAMAL (RG: 34.637.703-1); THIAGO HENRIQUE MORENO (RG: 40.770.435-8)</t>
  </si>
  <si>
    <t>842/2026</t>
  </si>
  <si>
    <t>843/2026</t>
  </si>
  <si>
    <t>2026-06-16</t>
  </si>
  <si>
    <t>06:43</t>
  </si>
  <si>
    <t>THL 5H35</t>
  </si>
  <si>
    <t>HOSP REGIONAL DE BEBEDOURO</t>
  </si>
  <si>
    <t>2026-06-16 19:40:32</t>
  </si>
  <si>
    <t>844/2026</t>
  </si>
  <si>
    <t>15:25</t>
  </si>
  <si>
    <t>846/2026</t>
  </si>
  <si>
    <t>16:35</t>
  </si>
  <si>
    <t>20:05</t>
  </si>
  <si>
    <t>TAIÚVA SP</t>
  </si>
  <si>
    <t>JOSÉ ELISIO SOARES DA CRUZ (RG: 33.691.070-8)</t>
  </si>
  <si>
    <t>848/2026</t>
  </si>
  <si>
    <t>850/2026</t>
  </si>
  <si>
    <t>2026-06-17</t>
  </si>
  <si>
    <t>HOSPITAL REGIONAL</t>
  </si>
  <si>
    <t>851/2026</t>
  </si>
  <si>
    <t>CDP DE RIBEIRÃO PRETO</t>
  </si>
  <si>
    <t>852/2026</t>
  </si>
  <si>
    <t>12:34</t>
  </si>
  <si>
    <t>12:55</t>
  </si>
  <si>
    <t>855/2026</t>
  </si>
  <si>
    <t>2026-06-18</t>
  </si>
  <si>
    <t>04:40</t>
  </si>
  <si>
    <t>17:01</t>
  </si>
  <si>
    <t>VINICIUS ; JOSE ELIZIO</t>
  </si>
  <si>
    <t>856/2026</t>
  </si>
  <si>
    <t>857/2026</t>
  </si>
  <si>
    <t>06:01</t>
  </si>
  <si>
    <t>860/2026</t>
  </si>
  <si>
    <t>20:04</t>
  </si>
  <si>
    <t>861/2026</t>
  </si>
  <si>
    <t>2026-06-19</t>
  </si>
  <si>
    <t>06:32</t>
  </si>
  <si>
    <t>863/2026</t>
  </si>
  <si>
    <t>08:06</t>
  </si>
  <si>
    <t>09:13</t>
  </si>
  <si>
    <t>TLH5H35</t>
  </si>
  <si>
    <t>864/2026</t>
  </si>
  <si>
    <t>08:41</t>
  </si>
  <si>
    <t>09:29</t>
  </si>
  <si>
    <t>865/2026</t>
  </si>
  <si>
    <t>866/2026</t>
  </si>
  <si>
    <t>11:24</t>
  </si>
  <si>
    <t>12:57</t>
  </si>
  <si>
    <t>868/2026</t>
  </si>
  <si>
    <t>11:15</t>
  </si>
  <si>
    <t>15:26</t>
  </si>
  <si>
    <t>DUCATO</t>
  </si>
  <si>
    <t>869/2026</t>
  </si>
  <si>
    <t>13:20</t>
  </si>
  <si>
    <t>1710</t>
  </si>
  <si>
    <t>862/2026</t>
  </si>
  <si>
    <t>13:45</t>
  </si>
  <si>
    <t>MATÃO-SP</t>
  </si>
  <si>
    <t>2026-06-22 20:15:38</t>
  </si>
  <si>
    <t>870/2026</t>
  </si>
  <si>
    <t>CARLOS EDUARDO RAMOS</t>
  </si>
  <si>
    <t>871/2026</t>
  </si>
  <si>
    <t>2026-06-20</t>
  </si>
  <si>
    <t>17:44</t>
  </si>
  <si>
    <t>2026-06-20 09:18:54</t>
  </si>
  <si>
    <t>874/2026</t>
  </si>
  <si>
    <t>2026-06-21</t>
  </si>
  <si>
    <t>875/2026</t>
  </si>
  <si>
    <t>ANTONIO CARLOS FARINELI</t>
  </si>
  <si>
    <t>876/2026</t>
  </si>
  <si>
    <t>2026-06-22</t>
  </si>
  <si>
    <t>PENITENCIARIA DE AVANHADAVA/SP</t>
  </si>
  <si>
    <t>JOÃO DOS SANTOS ANDRADE</t>
  </si>
  <si>
    <t>878/2026</t>
  </si>
  <si>
    <t>2026-07-03</t>
  </si>
  <si>
    <t>2026-06-22 13:42:05</t>
  </si>
  <si>
    <t>879/2026</t>
  </si>
  <si>
    <t>CHEFE DE SEÇÃO DE ADMINISTRAÇÃO</t>
  </si>
  <si>
    <t>MONTE ALTO  - SP</t>
  </si>
  <si>
    <t>2026-06-22 20:15:23</t>
  </si>
  <si>
    <t>880/2026</t>
  </si>
  <si>
    <t>881/2026</t>
  </si>
  <si>
    <t>19:37</t>
  </si>
  <si>
    <t>20:50</t>
  </si>
  <si>
    <t>DELEGACIA DE BEBEDOURO-SP</t>
  </si>
  <si>
    <t>882/2026</t>
  </si>
  <si>
    <t>2026-06-23</t>
  </si>
  <si>
    <t>12:38</t>
  </si>
  <si>
    <t>883/2026</t>
  </si>
  <si>
    <t>884/2026</t>
  </si>
  <si>
    <t>12:26</t>
  </si>
  <si>
    <t>DJL-7931</t>
  </si>
  <si>
    <t>4</t>
  </si>
  <si>
    <t>AME RIBEIRÃO PRETO</t>
  </si>
  <si>
    <t>2026-06-23 11:56:11</t>
  </si>
  <si>
    <t>12:28</t>
  </si>
  <si>
    <t>888/2026</t>
  </si>
  <si>
    <t>15:05</t>
  </si>
  <si>
    <t>16:57</t>
  </si>
  <si>
    <t>FIAT DUCATO AMBULÂNCIA</t>
  </si>
  <si>
    <t>890/2026</t>
  </si>
  <si>
    <t>2026-06-24</t>
  </si>
  <si>
    <t>HOSPITAL DO AMOR BEBEDOURO SP</t>
  </si>
  <si>
    <t>891/2026</t>
  </si>
  <si>
    <t>BARRETSOS/SP</t>
  </si>
  <si>
    <t>EVANDRO RODRIGUES FERREIRA (RG: 27.169.239-X); THIAGO HENRIQUE MORENO (RG: 40.770.435-8); LEANDRO JOSÉ MOTTA MENDES (RG: 27.963.602-7)</t>
  </si>
  <si>
    <t>892/2026</t>
  </si>
  <si>
    <t>TAIUVA - SP</t>
  </si>
  <si>
    <t>896/2026</t>
  </si>
  <si>
    <t>898/2026</t>
  </si>
  <si>
    <t>900/2026</t>
  </si>
  <si>
    <t>23:30</t>
  </si>
  <si>
    <t>2026-06-25</t>
  </si>
  <si>
    <t>01:26</t>
  </si>
  <si>
    <t>CATANDUVA</t>
  </si>
  <si>
    <t>WAGNER BRUNELLI</t>
  </si>
  <si>
    <t>901/2026</t>
  </si>
  <si>
    <t>902/2026</t>
  </si>
  <si>
    <t>07:47</t>
  </si>
  <si>
    <t>RICARDO SAMUEL SCARAMAL (RG: 34.637.703-1); FERNANDO BERNARDI OMITO</t>
  </si>
  <si>
    <t>903/2026</t>
  </si>
  <si>
    <t>08:17</t>
  </si>
  <si>
    <t>08:30</t>
  </si>
  <si>
    <t>TAQUARAL/SP</t>
  </si>
  <si>
    <t>904/2026</t>
  </si>
  <si>
    <t>905/2026</t>
  </si>
  <si>
    <t>SPIN 1.8 MT</t>
  </si>
  <si>
    <t>910/2026</t>
  </si>
  <si>
    <t>2026-06-26</t>
  </si>
  <si>
    <t>909/2026</t>
  </si>
  <si>
    <t>BAURU</t>
  </si>
  <si>
    <t>914/2026</t>
  </si>
  <si>
    <t>2026-06-27</t>
  </si>
  <si>
    <t>10:09</t>
  </si>
  <si>
    <t xml:space="preserve">FIAT DUCATO </t>
  </si>
  <si>
    <t>DJL7931</t>
  </si>
  <si>
    <t>917/2026</t>
  </si>
  <si>
    <t>2026-06-29</t>
  </si>
  <si>
    <t>11:48</t>
  </si>
  <si>
    <t>TLH 5H35</t>
  </si>
  <si>
    <t>918/2026</t>
  </si>
  <si>
    <t>10:14</t>
  </si>
  <si>
    <t>919/2026</t>
  </si>
  <si>
    <t>920/2026</t>
  </si>
  <si>
    <t>2026-06-30</t>
  </si>
  <si>
    <t>JOÃO ANDRADE</t>
  </si>
  <si>
    <t>2026-07-01</t>
  </si>
  <si>
    <t>TAIÚVA, BEBEDOURO</t>
  </si>
  <si>
    <t>JULIO CÉSAR PAGANIN (RG: 20.720.213-8)</t>
  </si>
  <si>
    <t>00/2026</t>
  </si>
  <si>
    <t>2026-07-02</t>
  </si>
  <si>
    <t>LUCELIA-SP/IARAS-SP</t>
  </si>
  <si>
    <t>11:01</t>
  </si>
  <si>
    <t>DJL 7931</t>
  </si>
  <si>
    <t>FCT0001455</t>
  </si>
  <si>
    <t>2026-07-06</t>
  </si>
  <si>
    <t>DANIEL FERREIRA DE OLIVEIRA (RG: 40.661.751)</t>
  </si>
  <si>
    <t>2026-07-05</t>
  </si>
  <si>
    <t>19:11</t>
  </si>
  <si>
    <t>FCT0002098</t>
  </si>
  <si>
    <t>AMBULANCIA</t>
  </si>
  <si>
    <t>DJL - 7931</t>
  </si>
  <si>
    <t>BAURU SP</t>
  </si>
  <si>
    <t>2026-07-07</t>
  </si>
  <si>
    <t>07:42</t>
  </si>
  <si>
    <t>2026-07-08</t>
  </si>
  <si>
    <t>16:30</t>
  </si>
  <si>
    <t xml:space="preserve">LEANDRO JOSE MOTTA MENDES </t>
  </si>
  <si>
    <t>2026-07-09</t>
  </si>
  <si>
    <t>FORD F 4.000</t>
  </si>
  <si>
    <t>GVF 4012</t>
  </si>
  <si>
    <t>2026-07-11</t>
  </si>
  <si>
    <t>12:16</t>
  </si>
  <si>
    <t>FORD F-4000</t>
  </si>
  <si>
    <t>GFV-4012</t>
  </si>
  <si>
    <t>2026-07-13</t>
  </si>
  <si>
    <t>JUAREZ FRANCISCO DA SILVA</t>
  </si>
  <si>
    <t>CHEFE DE SELÇÃO CRAS</t>
  </si>
  <si>
    <t>01/2026</t>
  </si>
  <si>
    <t>2026-07-14</t>
  </si>
  <si>
    <t>18:25</t>
  </si>
  <si>
    <t>JOÃO PEREIRA ANDRADE</t>
  </si>
  <si>
    <t>2026-07-30 12:14:46</t>
  </si>
  <si>
    <t>2026-07-15</t>
  </si>
  <si>
    <t>08:57</t>
  </si>
  <si>
    <t>JOÃO CARLOS GERMANO (RG: 23850479-7)</t>
  </si>
  <si>
    <t>FORD F4000</t>
  </si>
  <si>
    <t>TAQUARITINGA/SP E MONTE ALTO/SP</t>
  </si>
  <si>
    <t>2026-07-15 20:13:38</t>
  </si>
  <si>
    <t>2026-07-16</t>
  </si>
  <si>
    <t>LEANDRO JOSE MOTTA MENDES (RG: 27.963.602-7)</t>
  </si>
  <si>
    <t>17:07</t>
  </si>
  <si>
    <t>0000</t>
  </si>
  <si>
    <t>2026-07-30 12:14:33</t>
  </si>
  <si>
    <t>2026-07-17</t>
  </si>
  <si>
    <t>07:45</t>
  </si>
  <si>
    <t>08:27</t>
  </si>
  <si>
    <t>08:56</t>
  </si>
  <si>
    <t>10:16</t>
  </si>
  <si>
    <t>10:56</t>
  </si>
  <si>
    <t>16:23</t>
  </si>
  <si>
    <t>16:02</t>
  </si>
  <si>
    <t>16:37</t>
  </si>
  <si>
    <t>SEM NUMERO</t>
  </si>
  <si>
    <t>2026-07-20</t>
  </si>
  <si>
    <t>2026-07-21</t>
  </si>
  <si>
    <t>PENITENCIÁRIA DE PIRAJUI</t>
  </si>
  <si>
    <t>2026-07-20 09:33:30</t>
  </si>
  <si>
    <t>00</t>
  </si>
  <si>
    <t>11:26</t>
  </si>
  <si>
    <t>2026-07-20 13:18:04</t>
  </si>
  <si>
    <t>JETHER TOLEDO</t>
  </si>
  <si>
    <t>2026-07-20 14:59:04</t>
  </si>
  <si>
    <t>SPIN 1.8</t>
  </si>
  <si>
    <t>WAGNER BRUNELI</t>
  </si>
  <si>
    <t>2026-07-20 16:04:30</t>
  </si>
  <si>
    <t>08:22</t>
  </si>
  <si>
    <t>2026-07-21 11:18:02</t>
  </si>
  <si>
    <t>2026-07-21 12:48:39</t>
  </si>
  <si>
    <t>´2026</t>
  </si>
  <si>
    <t>12:46</t>
  </si>
  <si>
    <t>2026-07-21 15:43:24</t>
  </si>
  <si>
    <t>002026</t>
  </si>
  <si>
    <t>2026-07-21 16:39:25</t>
  </si>
  <si>
    <t>07/2026</t>
  </si>
  <si>
    <t>2026-07-22</t>
  </si>
  <si>
    <t>2026-07-23</t>
  </si>
  <si>
    <t>SOROCABA-SP, GUARULHOS-SP</t>
  </si>
  <si>
    <t>2026-07-22 10:24:54</t>
  </si>
  <si>
    <t>2026-07-22 11:14:17</t>
  </si>
  <si>
    <t>11:38</t>
  </si>
  <si>
    <t>PEDRO DE TOLEDO-SP</t>
  </si>
  <si>
    <t>2026-07-23 15:01:57</t>
  </si>
  <si>
    <t>2026-07-23 17:10:14</t>
  </si>
  <si>
    <t>2026-07-24</t>
  </si>
  <si>
    <t>11:32</t>
  </si>
  <si>
    <t>F-4000</t>
  </si>
  <si>
    <t>2026-07-24 13:26:41</t>
  </si>
  <si>
    <t>15:50</t>
  </si>
  <si>
    <t>BRUNO ZACARI</t>
  </si>
  <si>
    <t>2026-07-24 14:06:53</t>
  </si>
  <si>
    <t>13:04</t>
  </si>
  <si>
    <t>2026-07-24 14:40:41</t>
  </si>
  <si>
    <t>2026-07-25</t>
  </si>
  <si>
    <t>JULIO CESAR PAGANIN (RG: 20.720.213-8)</t>
  </si>
  <si>
    <t>2026-07-25 15:34:28</t>
  </si>
  <si>
    <t>2026-07-27</t>
  </si>
  <si>
    <t>04:00</t>
  </si>
  <si>
    <t>AMBULÂNCIA DUCATO</t>
  </si>
  <si>
    <t>P.S. TAIÚVA</t>
  </si>
  <si>
    <t>2026-07-27 10:15:30</t>
  </si>
  <si>
    <t>SAÍDA EMERGENCIAL</t>
  </si>
  <si>
    <t xml:space="preserve">DUCATO </t>
  </si>
  <si>
    <t>TAIÚVA-SP, BEBEDOURO-SP</t>
  </si>
  <si>
    <t>2026-07-27 10:15:41</t>
  </si>
  <si>
    <t>14:14</t>
  </si>
  <si>
    <t>2026-07-27 17:02:09</t>
  </si>
  <si>
    <t>14:23</t>
  </si>
  <si>
    <t>16:04</t>
  </si>
  <si>
    <t>MONTE ALTO - SP</t>
  </si>
  <si>
    <t>2026-07-28</t>
  </si>
  <si>
    <t>17:45</t>
  </si>
  <si>
    <t>AMBULÂNCIA FORD DUCATO</t>
  </si>
  <si>
    <t>****</t>
  </si>
  <si>
    <t>2026-07-28 11:43:31</t>
  </si>
  <si>
    <t>2026-07-29</t>
  </si>
  <si>
    <t>2026-07-30</t>
  </si>
  <si>
    <t>18:39</t>
  </si>
  <si>
    <t>LUCELIA/P WENCESLAU</t>
  </si>
  <si>
    <t>2026-07-29 10:56:32</t>
  </si>
  <si>
    <t>09:21</t>
  </si>
  <si>
    <t>10:43</t>
  </si>
  <si>
    <t>2026-07-29 12:04:53</t>
  </si>
  <si>
    <t>10:29</t>
  </si>
  <si>
    <t>12:37</t>
  </si>
  <si>
    <t>2026-07-29 13:01:26</t>
  </si>
  <si>
    <t>14:17</t>
  </si>
  <si>
    <t>2026-07-29 16:46:48</t>
  </si>
  <si>
    <t>23:10</t>
  </si>
  <si>
    <t>03:00</t>
  </si>
  <si>
    <t>FIAT AMBULANCIA</t>
  </si>
  <si>
    <t>CARLOS EDUARDO RAMOS (RG: 342319395)</t>
  </si>
  <si>
    <t>2026-07-30 02:59:04</t>
  </si>
  <si>
    <t>04:18</t>
  </si>
  <si>
    <t>22:45</t>
  </si>
  <si>
    <t>CHSP/ SÃO PAULO</t>
  </si>
  <si>
    <t>ABRAAO ALDO PEREIRA (RG: 44807794-2)</t>
  </si>
  <si>
    <t>2026-07-30 07:22:02</t>
  </si>
  <si>
    <t>13:55</t>
  </si>
  <si>
    <t>***</t>
  </si>
  <si>
    <t>BRONO ZACARI SARDELARI</t>
  </si>
  <si>
    <t>WILSON LOPES DA SILVA</t>
  </si>
  <si>
    <t>2026-07-30 10:16:28</t>
  </si>
  <si>
    <t>TAIÚVA - SP</t>
  </si>
  <si>
    <t>2026-07-30 12:13:01</t>
  </si>
  <si>
    <t>SAIDA</t>
  </si>
  <si>
    <t>2026-07-30 10:55:57</t>
  </si>
  <si>
    <t>09:32</t>
  </si>
  <si>
    <t>2026-07-31</t>
  </si>
  <si>
    <t>IVEDO DAILY</t>
  </si>
  <si>
    <t>SÃO PAULO-SP</t>
  </si>
  <si>
    <t>2026-07-30 16:55:35</t>
  </si>
  <si>
    <t>032/2026</t>
  </si>
  <si>
    <t>14:26</t>
  </si>
  <si>
    <t>ALUGADA</t>
  </si>
  <si>
    <t>JOSE FABIANO MOUTIN (RG: 265285227); JAIME A ANCILOTTO FIORENTIN (RG: 27766250-3)</t>
  </si>
  <si>
    <t>2026-07-30 18:02:22</t>
  </si>
  <si>
    <t>20:46</t>
  </si>
  <si>
    <t>HOSPITAL DE TAIUVA/HOSPITAL BARRETOS</t>
  </si>
  <si>
    <t>VALDIR DA SILVA ; HENRIQUE RIBEIRO DE LIMA;  CLEBERTON</t>
  </si>
  <si>
    <t>2026-07-31 00:00:59</t>
  </si>
  <si>
    <t>FORD DUCATO-AMBULÃNCIA</t>
  </si>
  <si>
    <t>ESPRESTADA</t>
  </si>
  <si>
    <t>JOSÉ ANTÔNIO</t>
  </si>
  <si>
    <t>2026-07-31 00:38:25</t>
  </si>
  <si>
    <t>21:32</t>
  </si>
  <si>
    <t>23:15</t>
  </si>
  <si>
    <t>FORD DUCATO-AMBULÂNCIA</t>
  </si>
  <si>
    <t>EMPRESTADA</t>
  </si>
  <si>
    <t>07:35</t>
  </si>
  <si>
    <t>JOSE ANTONIO DE FARIA JUNIOR (RG: 40.975.298-8)</t>
  </si>
  <si>
    <t>2026-07-31 08:57:29</t>
  </si>
  <si>
    <t>IARAS-SP</t>
  </si>
  <si>
    <t>2026-07-31 09:48:22</t>
  </si>
  <si>
    <t>2026-07-31 11:18:16</t>
  </si>
  <si>
    <t>09:43</t>
  </si>
  <si>
    <t>2026-07-31 12:33:54</t>
  </si>
  <si>
    <t>2026-09-21</t>
  </si>
  <si>
    <t>2026-07-31 12:34:53</t>
  </si>
  <si>
    <t>19:17</t>
  </si>
  <si>
    <t>EULICIO GERVAZONII JUNIOR (RG: 33.497.409-4)</t>
  </si>
  <si>
    <t>2026-07-31 20:28:09</t>
  </si>
  <si>
    <t>21:19</t>
  </si>
  <si>
    <t>RAFAEL ANICETO DA SILVA (RG: 323616094)</t>
  </si>
  <si>
    <t>2026-07-31 23:33:19</t>
  </si>
  <si>
    <t>001</t>
  </si>
  <si>
    <t>2026-08-01</t>
  </si>
  <si>
    <t>16:03</t>
  </si>
  <si>
    <t>2026-08-01 15:20:40</t>
  </si>
  <si>
    <t>2026-08-01 20:51:40</t>
  </si>
  <si>
    <t>2026-08-02</t>
  </si>
  <si>
    <t>05:42</t>
  </si>
  <si>
    <t>HOSPITAL NOSSA SENHORA APARECIDA</t>
  </si>
  <si>
    <t>2026-08-02 08:44:00</t>
  </si>
  <si>
    <t>FIAT</t>
  </si>
  <si>
    <t>PAULO CÉSAR MARÓSTICA (RG: 12.235.174-5)</t>
  </si>
  <si>
    <t>2026-08-02 17:54:32</t>
  </si>
  <si>
    <t>18:17</t>
  </si>
  <si>
    <t>VAGNER PETINE (RG: 266914084)</t>
  </si>
  <si>
    <t>20:25</t>
  </si>
  <si>
    <t>HOSPITAL NOSSA SENHORA APARECIDA /BARRETOS</t>
  </si>
  <si>
    <t>VAGNER PETINE (RG: 256914084)</t>
  </si>
  <si>
    <t>2026-08-02 21:32:28</t>
  </si>
  <si>
    <t>2026-08-03</t>
  </si>
  <si>
    <t>06:33</t>
  </si>
  <si>
    <t>2026-08-03 09:06:54</t>
  </si>
  <si>
    <t>16:42</t>
  </si>
  <si>
    <t>2026-08-03 16:38:27</t>
  </si>
  <si>
    <t>2026-08-03 18:11:27</t>
  </si>
  <si>
    <t>15:24</t>
  </si>
  <si>
    <t>TAIUVA SP</t>
  </si>
  <si>
    <t>2026-08-03 18:18:01</t>
  </si>
  <si>
    <t>2026-08-04</t>
  </si>
  <si>
    <t>2026-08-04 11:30:33</t>
  </si>
  <si>
    <t>09:24</t>
  </si>
  <si>
    <t>2026-08-11</t>
  </si>
  <si>
    <t>2026-08-04 12:09:09</t>
  </si>
  <si>
    <t>PIRANGI</t>
  </si>
  <si>
    <t>2026-08-04 12:17:38</t>
  </si>
  <si>
    <t>10:49</t>
  </si>
  <si>
    <t>2026-08-04 13:16:06</t>
  </si>
  <si>
    <t>13:22</t>
  </si>
  <si>
    <t>2026-08-04 15:09:21</t>
  </si>
  <si>
    <t>13:09</t>
  </si>
  <si>
    <t>2026-08-04 15:12:12</t>
  </si>
  <si>
    <t>2026-08-04 16:28:07</t>
  </si>
  <si>
    <t>VAGNER JOSÉ GALLENI (RG: 428914603)</t>
  </si>
  <si>
    <t>2026-08-04 16:33:47</t>
  </si>
  <si>
    <t>2026-08-05</t>
  </si>
  <si>
    <t>CUZ5J81</t>
  </si>
  <si>
    <t>2026-08-05 09:29:13</t>
  </si>
  <si>
    <t>2026-08-06</t>
  </si>
  <si>
    <t>17:09</t>
  </si>
  <si>
    <t>AVARÉ, IARAS, GALHA</t>
  </si>
  <si>
    <t>2026-08-05 10:45:02</t>
  </si>
  <si>
    <t>2026-08-05 11:19:05</t>
  </si>
  <si>
    <t>02</t>
  </si>
  <si>
    <t>2026-08-05 14:25:09</t>
  </si>
  <si>
    <t>05/08/2026</t>
  </si>
  <si>
    <t>2026-08-05 15:06:35</t>
  </si>
  <si>
    <t>03</t>
  </si>
  <si>
    <t>15:31</t>
  </si>
  <si>
    <t>2026-08-05 17:00:51</t>
  </si>
  <si>
    <t>19:03</t>
  </si>
  <si>
    <t>2026-08-05 22:15:54</t>
  </si>
  <si>
    <t>2026-08-06 09:02:08</t>
  </si>
  <si>
    <t>EEF 0C98</t>
  </si>
  <si>
    <t>SERRA AZUL-SP, CR MOGI MIRIM</t>
  </si>
  <si>
    <t>LEANDRO JOSÉ MOTA MENDES (RG: 27.963.602-7)</t>
  </si>
  <si>
    <t>2026-08-06 11:05:14</t>
  </si>
  <si>
    <t>2026-08-06 11:40:40</t>
  </si>
  <si>
    <t>2026-08-06 11:54:43</t>
  </si>
  <si>
    <t>0</t>
  </si>
  <si>
    <t>WALTER RODRIGUES JUNIOR (RG: 34.081.302-7); BRUNO HENRIQUE DE AGUIAR CRISTOFANI (RG: 42.372.779-5); VAGNER JOSÉ GALLENI (RG: 42.891.460-3)</t>
  </si>
  <si>
    <t>2026-08-06 12:44:59</t>
  </si>
  <si>
    <t>PIRAJUÍ-SP</t>
  </si>
  <si>
    <t>WILLIAN OLIVEIRA DOS SANTOS (RG: 34.079.002-7); KLEBER HENRIQUE ROMEIRO ALVES (RG: 32.284.869-6)</t>
  </si>
  <si>
    <t>2026-08-06 12:24:26</t>
  </si>
  <si>
    <t>09:42</t>
  </si>
  <si>
    <t>ILTON CARLOS DA SILVA SOARES</t>
  </si>
  <si>
    <t>DIRETOR DE NÚCLEO DE INCLUSÃO</t>
  </si>
  <si>
    <t>2026-08-06 18:04:22</t>
  </si>
  <si>
    <t>15:33</t>
  </si>
  <si>
    <t>2026-08-06 18:17:31</t>
  </si>
  <si>
    <t>2026-08-07</t>
  </si>
  <si>
    <t>2026-08-07 09:03:04</t>
  </si>
  <si>
    <t>LABORATÓRIO SÃO ROQUE TAIÚVA</t>
  </si>
  <si>
    <t>2026-08-07 12:34:53</t>
  </si>
  <si>
    <t>2026-08-07 13:26:53</t>
  </si>
  <si>
    <t>2026-08-07 13:48:35</t>
  </si>
  <si>
    <t>2026-08-07 15:40:05</t>
  </si>
  <si>
    <t>2026-08-07 20:47:10</t>
  </si>
  <si>
    <t>2026-08-08</t>
  </si>
  <si>
    <t>2026-08-08 09:01:41</t>
  </si>
  <si>
    <t>2026-08-10</t>
  </si>
  <si>
    <t>SÃO JOSE DO RIO PRETO-SP, ARARAQUARA-SP</t>
  </si>
  <si>
    <t>2026-08-10 10:58:25</t>
  </si>
  <si>
    <t>10/08/2026</t>
  </si>
  <si>
    <t>2026-08-12</t>
  </si>
  <si>
    <t>16:56</t>
  </si>
  <si>
    <t>2026-08-10 12:05:54</t>
  </si>
  <si>
    <t>13:13</t>
  </si>
  <si>
    <t>2026-08-10 15:52:47</t>
  </si>
  <si>
    <t>07:52</t>
  </si>
  <si>
    <t>MARIA ELOIZA PAULINO BRAZ (RG: 28.058.529-9)</t>
  </si>
  <si>
    <t>2026-08-11 15:55:49</t>
  </si>
  <si>
    <t>110</t>
  </si>
  <si>
    <t>P. F. RIBEIRÃO PRETO</t>
  </si>
  <si>
    <t>2026-08-11 11:50:36</t>
  </si>
  <si>
    <t>DJL7900</t>
  </si>
  <si>
    <t>WAGNER BRUNERI</t>
  </si>
  <si>
    <t>2026-08-11 12:48:27</t>
  </si>
  <si>
    <t xml:space="preserve">IVECO </t>
  </si>
  <si>
    <t>2026-08-11 13:02:09</t>
  </si>
  <si>
    <t>11/08/2026</t>
  </si>
  <si>
    <t>2026-08-11 16:18:25</t>
  </si>
  <si>
    <t>09:09</t>
  </si>
  <si>
    <t>ITÁPOLIS-SP, JARDINÓPOLIS-SP</t>
  </si>
  <si>
    <t>2026-08-12 11:48:45</t>
  </si>
  <si>
    <t>MARCOS VINICIUS SANTOS DA SILVA (RG: 46.207.495-X)</t>
  </si>
  <si>
    <t>2026-08-12 13:20:03</t>
  </si>
  <si>
    <t>11:11</t>
  </si>
  <si>
    <t>2026-08-12 14:03:52</t>
  </si>
  <si>
    <t>001/2026</t>
  </si>
  <si>
    <t>2026-08-12 16:04:35</t>
  </si>
  <si>
    <t>2026-08-13</t>
  </si>
  <si>
    <t>CDP DA AGUAI/SP</t>
  </si>
  <si>
    <t>2026-08-14 12:13:50</t>
  </si>
  <si>
    <t>2026-08-13 10:16:52</t>
  </si>
  <si>
    <t>2026-08-13 10:17:13</t>
  </si>
  <si>
    <t>PIRAJUÍ/SP</t>
  </si>
  <si>
    <t>2026-08-13 10:21:57</t>
  </si>
  <si>
    <t>13/08/2026</t>
  </si>
  <si>
    <t>2026-08-13 17:54:23</t>
  </si>
  <si>
    <t>17:12</t>
  </si>
  <si>
    <t>2026-08-13 19:37:05</t>
  </si>
  <si>
    <t>20:13</t>
  </si>
  <si>
    <t>21:02</t>
  </si>
  <si>
    <t>RODOVIARIA JABOTICABAL</t>
  </si>
  <si>
    <t>JOSE ALEXANDRE DA SILVA VALENCIO</t>
  </si>
  <si>
    <t>2026-08-14 00:39:18</t>
  </si>
  <si>
    <t>2026-08-14</t>
  </si>
  <si>
    <t>ARARAQUARA-SP, SÃO JOSÉ DO RIO PRETO-SP</t>
  </si>
  <si>
    <t>2026-08-14 10:14:14</t>
  </si>
  <si>
    <t>14/08/2026</t>
  </si>
  <si>
    <t>2026-08-14 12:11:34</t>
  </si>
  <si>
    <t>VAGNER JOSÉ GALLENI (RG: 42.891-460-3)</t>
  </si>
  <si>
    <t>2026-08-14 16:41:15</t>
  </si>
  <si>
    <t>2026-08-14 18:38:07</t>
  </si>
  <si>
    <t>17:37</t>
  </si>
  <si>
    <t>2026-08-14 18:39:53</t>
  </si>
  <si>
    <t>2026-08-16</t>
  </si>
  <si>
    <t>08:03</t>
  </si>
  <si>
    <t>2026-08-16 10:54:07</t>
  </si>
  <si>
    <t>/2026</t>
  </si>
  <si>
    <t>2026-08-17</t>
  </si>
  <si>
    <t>JULIO CESAR NOGUEIRA (RG: 43.138.546-4)</t>
  </si>
  <si>
    <t>2026-08-18 16:48:19</t>
  </si>
  <si>
    <t>07:40</t>
  </si>
  <si>
    <t>TAIUVA - BARRETOS - BEBEDOURO</t>
  </si>
  <si>
    <t>2026-08-18 16:34:12</t>
  </si>
  <si>
    <t>15:46</t>
  </si>
  <si>
    <t>AILTON ALVES DA SILVA</t>
  </si>
  <si>
    <t>2026-08-17 13:45:21</t>
  </si>
  <si>
    <t>2026-08-17 15:45:12</t>
  </si>
  <si>
    <t>2026-08-17 20:53:13</t>
  </si>
  <si>
    <t>2026-08-18</t>
  </si>
  <si>
    <t>PENITENCIARIA CASA BRANCA</t>
  </si>
  <si>
    <t>2026-08-18 08:03:01</t>
  </si>
  <si>
    <t>05:59</t>
  </si>
  <si>
    <t>2026-08-18 08:45:42</t>
  </si>
  <si>
    <t>LUCIANO DA SILVA AMARAL (RG: 337231348-82)</t>
  </si>
  <si>
    <t>2026-08-18 09:38:18</t>
  </si>
  <si>
    <t>CUZ 5J81</t>
  </si>
  <si>
    <t>2026-08-18 11:19:29</t>
  </si>
  <si>
    <t>ORLANDO TIMÓTEO JUNIOR</t>
  </si>
  <si>
    <t>BEBEDOURO-SP, BARRETOS-SP</t>
  </si>
  <si>
    <t>2026-08-18 11:23:31</t>
  </si>
  <si>
    <t>12:51</t>
  </si>
  <si>
    <t>14:48</t>
  </si>
  <si>
    <t>2026-08-18 15:41:21</t>
  </si>
  <si>
    <t>13:43</t>
  </si>
  <si>
    <t>2026-08-18 16:47:16</t>
  </si>
  <si>
    <t>2026-08-18 19:16:36</t>
  </si>
  <si>
    <t>2026-08-19</t>
  </si>
  <si>
    <t>2026-08-21</t>
  </si>
  <si>
    <t>HOSPITAL SANTA CASA DE BARRETOS</t>
  </si>
  <si>
    <t>LUCIANO DA SILVA AMARAL (RG: 454395498)</t>
  </si>
  <si>
    <t>2026-08-19 13:08:39</t>
  </si>
  <si>
    <t>PENITENCIARIA DE CASA BRANCA</t>
  </si>
  <si>
    <t>2026-08-21 17:19:39</t>
  </si>
  <si>
    <t>14:22</t>
  </si>
  <si>
    <t>2026-08-19 11:18:38</t>
  </si>
  <si>
    <t>2026-08-19 13:07:22</t>
  </si>
  <si>
    <t>19/08/2026</t>
  </si>
  <si>
    <t>2026-08-19 13:58:59</t>
  </si>
  <si>
    <t>2026-08-20</t>
  </si>
  <si>
    <t>IVÉCO DAYLI</t>
  </si>
  <si>
    <t>2026-08-20 15:46:11</t>
  </si>
  <si>
    <t>ORLANDO TIMOTEO JUNIOR</t>
  </si>
  <si>
    <t>2026-08-20 15:55:18</t>
  </si>
  <si>
    <t>PAULO CÉSAR MARÓSTICA</t>
  </si>
  <si>
    <t>2026-08-20 20:37:17</t>
  </si>
  <si>
    <t>JOÃO CARLOS GERMANO (RG: 23.850.479-7); BRUNO ZACARI SARDELARI (RG: 39.224.756-2)</t>
  </si>
  <si>
    <t>2026-08-21 09:03:51</t>
  </si>
  <si>
    <t>06:17</t>
  </si>
  <si>
    <t>2026-08-21 09:11:25</t>
  </si>
  <si>
    <t>2026-08-21 13:16:54</t>
  </si>
  <si>
    <t>10:53</t>
  </si>
  <si>
    <t>2026-08-21 13:18:02</t>
  </si>
  <si>
    <t>2026-08-21 15:21:41</t>
  </si>
  <si>
    <t>VAGNER BRUNELLI</t>
  </si>
  <si>
    <t>TAQUARAL E MONTE AZUL PAULISTA/SP</t>
  </si>
  <si>
    <t>JORGE L. FERREIRA FILHO (RG: 48.117.680-9)</t>
  </si>
  <si>
    <t>2026-08-21 18:03:33</t>
  </si>
  <si>
    <t>05:45</t>
  </si>
  <si>
    <t>2026-08-21 18:35:23</t>
  </si>
  <si>
    <t>2026-08-21 21:01:29</t>
  </si>
  <si>
    <t>2026-08-21 21:02:07</t>
  </si>
  <si>
    <t>2026-08-22</t>
  </si>
  <si>
    <t>06:48</t>
  </si>
  <si>
    <t>GUSTAVO OLIVEIRA</t>
  </si>
  <si>
    <t>2026-08-22 16:35:13</t>
  </si>
  <si>
    <t>08:09</t>
  </si>
  <si>
    <t>12:03</t>
  </si>
  <si>
    <t>ORLANDO TIMOTEO JUNIOR (RG: 29281580)</t>
  </si>
  <si>
    <t>2026-08-22 11:05:05</t>
  </si>
  <si>
    <t>2026-08-22 13:39:43</t>
  </si>
  <si>
    <t>VAGNER JOSÉ GALLENI (RG: 31825606897)</t>
  </si>
  <si>
    <t>2026-08-22 16:36:15</t>
  </si>
  <si>
    <t xml:space="preserve">SPIN </t>
  </si>
  <si>
    <t>HOSPITAL REGIOBAL DE BEBEDOURO</t>
  </si>
  <si>
    <t>2026-08-22 21:42:36</t>
  </si>
  <si>
    <t>2026-08-23</t>
  </si>
  <si>
    <t xml:space="preserve">BRUCE WILLIANS BERBEL </t>
  </si>
  <si>
    <t>2026-08-23 20:58:24</t>
  </si>
  <si>
    <t>2026-08-24</t>
  </si>
  <si>
    <t>COMPLEXO PENAL RIBEIRÃO PRETO</t>
  </si>
  <si>
    <t>PAULO SIMÃO; FERNANDO SALAZAR; VINICIUS DA SILVA</t>
  </si>
  <si>
    <t>2026-08-24 07:34:45</t>
  </si>
  <si>
    <t>2026-08-25</t>
  </si>
  <si>
    <t>S10</t>
  </si>
  <si>
    <t>BEBEDOURO/GALIA/VENSCELAU/LUCELIA E ARAÇATUBA</t>
  </si>
  <si>
    <t>VAGNER JOSE GALLENI</t>
  </si>
  <si>
    <t>2026-08-27 16:37:59</t>
  </si>
  <si>
    <t>GALIA/VENCESLAU/LUCELIA E ARAÇATUBA</t>
  </si>
  <si>
    <t>2026-08-24 08:54:38</t>
  </si>
  <si>
    <t>24/08/2026</t>
  </si>
  <si>
    <t>SÃO JOSÉ DO RIO PRETO E RIBEIRÃO PRETO</t>
  </si>
  <si>
    <t>2026-08-24 09:53:40</t>
  </si>
  <si>
    <t>BUSCAR PSICÓLOGAS</t>
  </si>
  <si>
    <t>12:23</t>
  </si>
  <si>
    <t>2026-08-24 12:41:09</t>
  </si>
  <si>
    <t>ORLANDO TIMOTÉO JUNIOR</t>
  </si>
  <si>
    <t>2026-08-24 16:21:13</t>
  </si>
  <si>
    <t>14:42</t>
  </si>
  <si>
    <t>2026-08-24 17:26:09</t>
  </si>
  <si>
    <t>11:14</t>
  </si>
  <si>
    <t>BEBDEDOURO SP</t>
  </si>
  <si>
    <t>BRUNO ZACARI SARDELARI (RG: 39.224.756.2)</t>
  </si>
  <si>
    <t>2026-08-25 09:05:38</t>
  </si>
  <si>
    <t>2026-08-25 11:54:22</t>
  </si>
  <si>
    <t>2026-08-25 15:30:49</t>
  </si>
  <si>
    <t>14:39</t>
  </si>
  <si>
    <t>16:29</t>
  </si>
  <si>
    <t>2026-08-25 16:47:30</t>
  </si>
  <si>
    <t>18:53</t>
  </si>
  <si>
    <t>2026-08-25 22:20:54</t>
  </si>
  <si>
    <t>2026-08-26</t>
  </si>
  <si>
    <t>BEBEDOURO/RIBEIRÃO-PRETO</t>
  </si>
  <si>
    <t>2026-08-26 08:51:25</t>
  </si>
  <si>
    <t>2026-08-26 10:24:38</t>
  </si>
  <si>
    <t>2026-08-26 15:30:41</t>
  </si>
  <si>
    <t>2026-08-26 15:32:33</t>
  </si>
  <si>
    <t>PIRANGI-SP, BEBEDOURO-SP</t>
  </si>
  <si>
    <t>2026-08-26 15:33:35</t>
  </si>
  <si>
    <t>2026-08-27</t>
  </si>
  <si>
    <t>2026-08-27 08:42:40</t>
  </si>
  <si>
    <t>1390</t>
  </si>
  <si>
    <t>HOSPITAL REGIONAL DE ASSIS</t>
  </si>
  <si>
    <t>2026-08-27 09:05:34</t>
  </si>
  <si>
    <t>2026-08-27 11:19:01</t>
  </si>
  <si>
    <t>DJL7904</t>
  </si>
  <si>
    <t>2026-08-27 12:15:22</t>
  </si>
  <si>
    <t>FARLEY RICARDO PEROSSO (RG: 33.640.188-7); EVANDRO RODRIGUES FERREIRA27.169.239-X</t>
  </si>
  <si>
    <t>2026-08-27 16:41:26</t>
  </si>
  <si>
    <t>19:19</t>
  </si>
  <si>
    <t xml:space="preserve">HOSPITAL REGIONAL </t>
  </si>
  <si>
    <t>2026-08-27 20:53:51</t>
  </si>
  <si>
    <t>2026-08-28</t>
  </si>
  <si>
    <t>06:42</t>
  </si>
  <si>
    <t>2026-08-28 08:57:47</t>
  </si>
  <si>
    <t>TAIUVA/SP E MONTE AZUL PAULISTA</t>
  </si>
  <si>
    <t>2026-08-28 11:57:18</t>
  </si>
  <si>
    <t>2026-08-28 12:10:08</t>
  </si>
  <si>
    <t>2026-08-28 14:08:47</t>
  </si>
  <si>
    <t>JORGE LUIZ FERREIRA</t>
  </si>
  <si>
    <t>2026-08-28 14:26:50</t>
  </si>
  <si>
    <t>SPIN.18</t>
  </si>
  <si>
    <t>2026-08-28 15:59:04</t>
  </si>
  <si>
    <t>2026-08-28 22:06:33</t>
  </si>
  <si>
    <t>2026-08-29</t>
  </si>
  <si>
    <t>21:03</t>
  </si>
  <si>
    <t>22:00</t>
  </si>
  <si>
    <t>2026-08-29 00:03:31</t>
  </si>
  <si>
    <t>BUSCAR PRESO DE ALTA</t>
  </si>
  <si>
    <t>06:06</t>
  </si>
  <si>
    <t>06:55</t>
  </si>
  <si>
    <t>HOSPITAL BEBEDOURO</t>
  </si>
  <si>
    <t>2026-08-30 09:04:45</t>
  </si>
  <si>
    <t>2026-08-29 20:54:35</t>
  </si>
  <si>
    <t>2026-08-30</t>
  </si>
  <si>
    <t>05:35</t>
  </si>
  <si>
    <t>06:27</t>
  </si>
  <si>
    <t>2026-08-30 08:01:53</t>
  </si>
  <si>
    <t>2026-08-31</t>
  </si>
  <si>
    <t>FIAT DUCATU</t>
  </si>
  <si>
    <t>CHSP SP</t>
  </si>
  <si>
    <t>DANIEL FERREIRA DE OLIVEIRA (RG: 40661751X)</t>
  </si>
  <si>
    <t>2026-08-31 08:21:27</t>
  </si>
  <si>
    <t>CPPII BAURU</t>
  </si>
  <si>
    <t>JOAO CARLOS GERMANO (RG: 238504799)</t>
  </si>
  <si>
    <t>2026-08-31 08:40:01</t>
  </si>
  <si>
    <t>06:54</t>
  </si>
  <si>
    <t>08:02</t>
  </si>
  <si>
    <t>2026-08-31 09:18:16</t>
  </si>
  <si>
    <t>12:27</t>
  </si>
  <si>
    <t xml:space="preserve">AMBULANCIA </t>
  </si>
  <si>
    <t>DJL6931</t>
  </si>
  <si>
    <t>JORGE LUIZ FERREIRA FILHO (RG: 48.117.680-9)</t>
  </si>
  <si>
    <t>2026-08-31 11:11:30</t>
  </si>
  <si>
    <t>2026-08-31 14:02:42</t>
  </si>
  <si>
    <t>17:14</t>
  </si>
  <si>
    <t>2026-08-31 16:09:35</t>
  </si>
  <si>
    <t>19:33</t>
  </si>
  <si>
    <t>2026-08-31 20:55:14</t>
  </si>
  <si>
    <t>2026-09-01</t>
  </si>
  <si>
    <t>05:49</t>
  </si>
  <si>
    <t>06:34</t>
  </si>
  <si>
    <t>2026-09-01 08:44:55</t>
  </si>
  <si>
    <t>2026-09-01 11:14:40</t>
  </si>
  <si>
    <t>2026-09-01 13:49:56</t>
  </si>
  <si>
    <t>13:11</t>
  </si>
  <si>
    <t>FIAT/DUCATO</t>
  </si>
  <si>
    <t>ORLANDO TIMÓTEO JUNIOR (RG: 29.281.580-3)</t>
  </si>
  <si>
    <t>2026-09-01 14:46:37</t>
  </si>
  <si>
    <t>13:58</t>
  </si>
  <si>
    <t>MONTE ALTO-SP, TAIÚVA-SP</t>
  </si>
  <si>
    <t>2026-09-01 16:45:15</t>
  </si>
  <si>
    <t>2026-09-02</t>
  </si>
  <si>
    <t>2026-09-02 08:59:24</t>
  </si>
  <si>
    <t>2026-09-02 12:05:14</t>
  </si>
  <si>
    <t>2026-09-02 16:04:44</t>
  </si>
  <si>
    <t>2026-09-03 16:54:59</t>
  </si>
  <si>
    <t>19:13</t>
  </si>
  <si>
    <t>2026-09-02 21:04:37</t>
  </si>
  <si>
    <t>2026-09-03</t>
  </si>
  <si>
    <t>05:07</t>
  </si>
  <si>
    <t>COMPLEXO PENAL RIBEIRÃO</t>
  </si>
  <si>
    <t>JUAN ANTONIO; WAGNER BRUNELLI; VINICIUS SILVA</t>
  </si>
  <si>
    <t>2026-09-03 07:27:01</t>
  </si>
  <si>
    <t>21:54</t>
  </si>
  <si>
    <t>FIAT DUCATO AMBULANCIA</t>
  </si>
  <si>
    <t>ORLANDO TIMOTEO</t>
  </si>
  <si>
    <t>2026-09-03 07:51:00</t>
  </si>
  <si>
    <t>2026-09-03 09:01:29</t>
  </si>
  <si>
    <t>12:59</t>
  </si>
  <si>
    <t>2026-09-03 13:29:25</t>
  </si>
  <si>
    <t>TAIÚVA, BEBEDOURO-SP</t>
  </si>
  <si>
    <t>2026-09-03 13:30:32</t>
  </si>
  <si>
    <t>03/09/2026</t>
  </si>
  <si>
    <t>2026-09-03 15:47:12</t>
  </si>
  <si>
    <t>2026-09-03 17:08:41</t>
  </si>
  <si>
    <t>2026-09-04</t>
  </si>
  <si>
    <t>LUCIANO DA SILVA AMARAL (RG: 33723134882)</t>
  </si>
  <si>
    <t>2026-09-04 09:02:36</t>
  </si>
  <si>
    <t>IARAS/SP E LUCÉLIA/SP</t>
  </si>
  <si>
    <t>2026-09-04 10:06:28</t>
  </si>
  <si>
    <t xml:space="preserve">CHEVROLET SPIN / </t>
  </si>
  <si>
    <t>CUZ - 5J98</t>
  </si>
  <si>
    <t>2026-09-04 10:08:17</t>
  </si>
  <si>
    <t>DJL 6931</t>
  </si>
  <si>
    <t>0000000</t>
  </si>
  <si>
    <t>2026-09-04 13:30:19</t>
  </si>
  <si>
    <t>FERNANDO ROBERTO SALAZAR (RG: 53.364.371-5); DANILO RIBEIRO COPPI (RG: 42.399.182-6)</t>
  </si>
  <si>
    <t>2026-09-04 16:11:46</t>
  </si>
  <si>
    <t>04/09/2026</t>
  </si>
  <si>
    <t>2026-09-04 16:43:16</t>
  </si>
  <si>
    <t>2026-09-05</t>
  </si>
  <si>
    <t>00:20</t>
  </si>
  <si>
    <t>2026-09-04 21:04:58</t>
  </si>
  <si>
    <t>2026-09-06</t>
  </si>
  <si>
    <t>WILSON LOPES DA SILVA (RG: 33343142X)</t>
  </si>
  <si>
    <t>2026-09-06 17:57:24</t>
  </si>
  <si>
    <t>2026-09-07</t>
  </si>
  <si>
    <t>S-10</t>
  </si>
  <si>
    <t>NC</t>
  </si>
  <si>
    <t>THIAGO HENRIQUE MORENO (RG: 40.770.435-8)</t>
  </si>
  <si>
    <t>2026-09-07 08:37:38</t>
  </si>
  <si>
    <t>2026-09-07 11:44:54</t>
  </si>
  <si>
    <t>2026-09-08</t>
  </si>
  <si>
    <t>22:55</t>
  </si>
  <si>
    <t>00:45</t>
  </si>
  <si>
    <t>EDUARDO ALFREDO ALVES (RG: 219642218-54)</t>
  </si>
  <si>
    <t>2026-09-08 19:21:11</t>
  </si>
  <si>
    <t>05:54</t>
  </si>
  <si>
    <t>2026-09-08 13:22:41</t>
  </si>
  <si>
    <t>13:23</t>
  </si>
  <si>
    <t>2026-09-08 11:50:10</t>
  </si>
  <si>
    <t>2026-09-08 11:54:19</t>
  </si>
  <si>
    <t>CHEFE DE TRABALHO E EDUCAÇÃO</t>
  </si>
  <si>
    <t>2026-09-08 18:16:35</t>
  </si>
  <si>
    <t>2026-09-08 19:21:40</t>
  </si>
  <si>
    <t>2026-09-09</t>
  </si>
  <si>
    <t>2026-09-09 13:21:40</t>
  </si>
  <si>
    <t>12:07</t>
  </si>
  <si>
    <t>2026-09-09 16:45:23</t>
  </si>
  <si>
    <t>2026-09-09 16:46:20</t>
  </si>
  <si>
    <t>19:55</t>
  </si>
  <si>
    <t>JABOTICABAL SP</t>
  </si>
  <si>
    <t>DANILO DIRCEU DOS PASSOS (RG: 33896477-0)</t>
  </si>
  <si>
    <t>2026-09-10 18:39:02</t>
  </si>
  <si>
    <t>2026-09-10</t>
  </si>
  <si>
    <t>SERRA AZUL  SP</t>
  </si>
  <si>
    <t>2026-09-10 11:55:12</t>
  </si>
  <si>
    <t>10/09/2026</t>
  </si>
  <si>
    <t>2026-09-10 12:15:28</t>
  </si>
  <si>
    <t>09:28</t>
  </si>
  <si>
    <t>2026-09-10 12:21:30</t>
  </si>
  <si>
    <t>WAGNER BRUNELLI (RG: 40.360.233-6)</t>
  </si>
  <si>
    <t>2026-09-10 13:36:59</t>
  </si>
  <si>
    <t>000</t>
  </si>
  <si>
    <t>2026-09-10 15:17:47</t>
  </si>
  <si>
    <t>BRUNO SARDELARI ZACARI</t>
  </si>
  <si>
    <t>TAIUVA , SP</t>
  </si>
  <si>
    <t>LUCIANO DA SILVA AMARAL (RG: 337.231.348-82)</t>
  </si>
  <si>
    <t>2026-09-10 16:29:17</t>
  </si>
  <si>
    <t>2026-09-11</t>
  </si>
  <si>
    <t>01:30</t>
  </si>
  <si>
    <t>04:38</t>
  </si>
  <si>
    <t>2026-09-11 04:26:50</t>
  </si>
  <si>
    <t>10:01</t>
  </si>
  <si>
    <t>THIAGO HENRIQUE MORENO (RG: VAGNER JOSÉ GALLENI); RICARDO SCARAMAL</t>
  </si>
  <si>
    <t>2026-09-11 11:53:48</t>
  </si>
  <si>
    <t>11/09/2026</t>
  </si>
  <si>
    <t>12:41</t>
  </si>
  <si>
    <t>2026-09-11 15:01:04</t>
  </si>
  <si>
    <t>12:29</t>
  </si>
  <si>
    <t>2026-09-11 15:19:55</t>
  </si>
  <si>
    <t>13:34</t>
  </si>
  <si>
    <t>2026-09-11 16:27:27</t>
  </si>
  <si>
    <t>2026-09-14</t>
  </si>
  <si>
    <t>SÃO JOSÉ DO RIO PRETO/RIBEIRÃO PRETO</t>
  </si>
  <si>
    <t>2026-09-14 12:00:21</t>
  </si>
  <si>
    <t>CHEVROLET  SD</t>
  </si>
  <si>
    <t>GUARIBA SP</t>
  </si>
  <si>
    <t>2026-09-14 10:56:46</t>
  </si>
  <si>
    <t>14/09/2026</t>
  </si>
  <si>
    <t>2026-09-14 11:59:46</t>
  </si>
  <si>
    <t>ABRAÂO ALDA PEREIRA (RG: 347.941.728-00)</t>
  </si>
  <si>
    <t>2026-09-14 14:03:23</t>
  </si>
  <si>
    <t>2026-09-14 17:14:14</t>
  </si>
  <si>
    <t>2026-09-14 20:31:57</t>
  </si>
  <si>
    <t>20:44</t>
  </si>
  <si>
    <t>JOSE ALEXANDRE DA SILVA VALÊNCIO</t>
  </si>
  <si>
    <t>2026-09-15 05:35:03</t>
  </si>
  <si>
    <t>2026-09-15</t>
  </si>
  <si>
    <t>PENITENCIÁRIA CASA BRANCA</t>
  </si>
  <si>
    <t>2026-09-15 05:37:44</t>
  </si>
  <si>
    <t>TAQUARAL / BEBEDOURO</t>
  </si>
  <si>
    <t>CAMILA RUBINO ; ORLANDO TIMOTEO; DANILO DIRCEU</t>
  </si>
  <si>
    <t>2026-09-15 13:27:02</t>
  </si>
  <si>
    <t>2026-09-16</t>
  </si>
  <si>
    <t>2026-09-16 12:55:54</t>
  </si>
  <si>
    <t>00000/2026</t>
  </si>
  <si>
    <t>MARIA ELOIZA PAULINO BRAZ (RG: 28.058.259-9)</t>
  </si>
  <si>
    <t>10:18</t>
  </si>
  <si>
    <t>2026-09-16 12:56:08</t>
  </si>
  <si>
    <t>2026-09-16 16:31:15</t>
  </si>
  <si>
    <t>2026-09-16 21:10:00</t>
  </si>
  <si>
    <t>2026-09-17</t>
  </si>
  <si>
    <t>05:05</t>
  </si>
  <si>
    <t>JOAO LEONARDO GEROMEL MARINO</t>
  </si>
  <si>
    <t>2026-09-17 07:55:59</t>
  </si>
  <si>
    <t>RIBEIRÃO PRETO-SP, SÃO JOSÉ DO RIO PRETO-SP</t>
  </si>
  <si>
    <t>2026-09-17 09:28:57</t>
  </si>
  <si>
    <t>2026-09-17 14:27:44</t>
  </si>
  <si>
    <t>887/2026</t>
  </si>
  <si>
    <t>TAIUVA, BEBEDOURO</t>
  </si>
  <si>
    <t>18/09/2026</t>
  </si>
  <si>
    <t>2026-09-18</t>
  </si>
  <si>
    <t>PIRAJUÍ SP</t>
  </si>
  <si>
    <t>2026-09-18 09:57:01</t>
  </si>
  <si>
    <t>0000/2026</t>
  </si>
  <si>
    <t>COORDENADORIA NORTE - ARARAQUARA</t>
  </si>
  <si>
    <t>2026-09-18 15:00:11</t>
  </si>
  <si>
    <t>JÚLIO CESAR NOGUEIRA (RG: 431385464)</t>
  </si>
  <si>
    <t>2026-09-18 14:59:59</t>
  </si>
  <si>
    <t>2026-09-18 15:28:06</t>
  </si>
  <si>
    <t>23:22</t>
  </si>
  <si>
    <t>HOSPITAL TAIUVA/ REGIONAL BEBEDOURO-SP</t>
  </si>
  <si>
    <t>2026-09-19 00:44:48</t>
  </si>
  <si>
    <t>20:43</t>
  </si>
  <si>
    <t>2026-09-19 00:46:59</t>
  </si>
  <si>
    <t>2026-09-21 16:38:26</t>
  </si>
  <si>
    <t>2026-09-21 16:39:13</t>
  </si>
  <si>
    <t>2026-09-21 18:36:15</t>
  </si>
  <si>
    <t>2026-09-21 20:19:23</t>
  </si>
  <si>
    <t>2026-09-21 20:22:31</t>
  </si>
  <si>
    <t>2026-09-22</t>
  </si>
  <si>
    <t>CHEVROLET S10 /DJL7904</t>
  </si>
  <si>
    <t>MOCOCA</t>
  </si>
  <si>
    <t>WAGNER BRUNELI (RG: 403602336)</t>
  </si>
  <si>
    <t>2026-09-22 07:26:19</t>
  </si>
  <si>
    <t>BAURU SP.</t>
  </si>
  <si>
    <t>2026-09-23 14:43:09</t>
  </si>
  <si>
    <t>22/09/2026</t>
  </si>
  <si>
    <t>2026-09-22 13:41:50</t>
  </si>
  <si>
    <t>2026-09-22 16:39:34</t>
  </si>
  <si>
    <t>2026-09-23</t>
  </si>
  <si>
    <t>DANIEL OLIVEIRA</t>
  </si>
  <si>
    <t>2026-09-23 07:07:10</t>
  </si>
  <si>
    <t>CR ARARAQUARA-SP</t>
  </si>
  <si>
    <t>JORGE FERREIRA FILHO</t>
  </si>
  <si>
    <t>2026-09-23 08:59:22</t>
  </si>
  <si>
    <t>TAIÚVA/SP, ARARAQUARA/SP/MONTE ALTO/SP</t>
  </si>
  <si>
    <t>2026-09-23 11:19:20</t>
  </si>
  <si>
    <t>2026-09-23 12:45:08</t>
  </si>
  <si>
    <t>TAIÚVA/ARARAQUARA</t>
  </si>
  <si>
    <t>2026-09-23 14:50:09</t>
  </si>
  <si>
    <t>2026-09-24</t>
  </si>
  <si>
    <t>2026-09-24 15:20:12</t>
  </si>
  <si>
    <t>2026-09-24 17:50:08</t>
  </si>
  <si>
    <t>REGISTRO DE ENTRADAS DE ALMOXARIFADO E ESTOQUE - BANCO COMPLETO</t>
  </si>
  <si>
    <t>Total de 1217 Movimentações de Entrada Registradas • Controle de Lotes, Notas Fiscais e Validades</t>
  </si>
  <si>
    <t>ID Entrada</t>
  </si>
  <si>
    <t>Data Entrada</t>
  </si>
  <si>
    <t>Item / Descrição do Produto</t>
  </si>
  <si>
    <t>Quantidade (KG/UN)</t>
  </si>
  <si>
    <t>Valor Total (R$)</t>
  </si>
  <si>
    <t>Fornecedor / Produtor</t>
  </si>
  <si>
    <t>Nº Nota Fiscal</t>
  </si>
  <si>
    <t>Nº Lote</t>
  </si>
  <si>
    <t>Data Validade</t>
  </si>
  <si>
    <t>Status Validade</t>
  </si>
  <si>
    <t>Processo / Pedido (PD)</t>
  </si>
  <si>
    <t>Nota Empenho (NE)</t>
  </si>
  <si>
    <t>Código de Barras</t>
  </si>
  <si>
    <t>Data/Hora Registro</t>
  </si>
  <si>
    <t>whm-1769510794997</t>
  </si>
  <si>
    <t>2026-01-23</t>
  </si>
  <si>
    <t>AMIDO BASE: DE MILHO</t>
  </si>
  <si>
    <t>NUTRINGA INDUSTRIA E COMÉRCIO LTDA</t>
  </si>
  <si>
    <t>2070</t>
  </si>
  <si>
    <t>1823</t>
  </si>
  <si>
    <t>2027-01-01</t>
  </si>
  <si>
    <t>2026PD00361</t>
  </si>
  <si>
    <t xml:space="preserve">	2026NE00045</t>
  </si>
  <si>
    <t>41260124582776000125550020000020701122591350</t>
  </si>
  <si>
    <t>2026-01-27 10:46:34</t>
  </si>
  <si>
    <t>whm-1769510871814</t>
  </si>
  <si>
    <t>MOLHO DE MESA TIPO: MAIONESE</t>
  </si>
  <si>
    <t>21A2026</t>
  </si>
  <si>
    <t>2026-01-27 10:47:51</t>
  </si>
  <si>
    <t>whm-1769697160068</t>
  </si>
  <si>
    <t>LEITE CONDENSADO TIPO: INTEGRAL</t>
  </si>
  <si>
    <t>PREVIATO COMÉRCIO ATACADISTA GERAL LTDA</t>
  </si>
  <si>
    <t>113</t>
  </si>
  <si>
    <t>L88092</t>
  </si>
  <si>
    <t>2026-01-29 14:32:40</t>
  </si>
  <si>
    <t>whm-1769697737422</t>
  </si>
  <si>
    <t>VINAGRE MATÉRIA-PRIMA: VINHO TINTO</t>
  </si>
  <si>
    <t>L922L3</t>
  </si>
  <si>
    <t>2028-02-04</t>
  </si>
  <si>
    <t>2026-01-29 14:42:17</t>
  </si>
  <si>
    <t>whm-1769733821210</t>
  </si>
  <si>
    <t>DOCE SABOR ABOBORA NÃO CONFEITADO SABOR ABOBORA</t>
  </si>
  <si>
    <t>42f1b</t>
  </si>
  <si>
    <t>2026-06-28</t>
  </si>
  <si>
    <t>2026-01-30 00:43:41</t>
  </si>
  <si>
    <t>whm-1769734125375</t>
  </si>
  <si>
    <t>VINAGRE; DE VINHO BRANCO</t>
  </si>
  <si>
    <t>L933</t>
  </si>
  <si>
    <t>2027-03-27</t>
  </si>
  <si>
    <t>2026-01-30 00:48:45</t>
  </si>
  <si>
    <t>-OkEnilJ-kpxEQd3XeI7</t>
  </si>
  <si>
    <t>2026-01-05</t>
  </si>
  <si>
    <t>LEGUMINOSA VARIEDADE: FEIJÃO PRETO</t>
  </si>
  <si>
    <t>PILAR CEREAIS LTDA</t>
  </si>
  <si>
    <t>021450</t>
  </si>
  <si>
    <t>64</t>
  </si>
  <si>
    <t>2026PD00333</t>
  </si>
  <si>
    <t>2026NE00012</t>
  </si>
  <si>
    <t>35260105098638000120550010000214501252742972</t>
  </si>
  <si>
    <t>2026-01-30 16:49:04</t>
  </si>
  <si>
    <t>-OkEoFAl9itO0FYa7E62</t>
  </si>
  <si>
    <t>OVOS TIPO GRANDE A GRANEL</t>
  </si>
  <si>
    <t>OVOS CONFIANÇA LTDA</t>
  </si>
  <si>
    <t>43509/2026</t>
  </si>
  <si>
    <t>GBR36</t>
  </si>
  <si>
    <t>2026-02-28</t>
  </si>
  <si>
    <t>2026-01-30 16:51:21</t>
  </si>
  <si>
    <t>-OkEoswUvSR0qy8GIh-x</t>
  </si>
  <si>
    <t>43475/2026</t>
  </si>
  <si>
    <t>796</t>
  </si>
  <si>
    <t>2026-02-24</t>
  </si>
  <si>
    <t>2026-01-30 16:54:08</t>
  </si>
  <si>
    <t>-OkEpywVw8g-L6cOpSts</t>
  </si>
  <si>
    <t>OVOS TIPO MEDIO A GRANEL</t>
  </si>
  <si>
    <t>2026-01-30 16:58:55</t>
  </si>
  <si>
    <t>-OkEqLJRk3Re9z9WK39z</t>
  </si>
  <si>
    <t>2026-01-30</t>
  </si>
  <si>
    <t>2026-01-30 17:00:30</t>
  </si>
  <si>
    <t>-OkEr-WmWWzBO9nlmK36</t>
  </si>
  <si>
    <t>LEITE PASTEURIZADO</t>
  </si>
  <si>
    <t>COAAF</t>
  </si>
  <si>
    <t>003661/2026</t>
  </si>
  <si>
    <t>5</t>
  </si>
  <si>
    <t>2026-02-05</t>
  </si>
  <si>
    <t>2026-01-30 17:03:23</t>
  </si>
  <si>
    <t>-OkdhbOgtEP-YSSesbZD</t>
  </si>
  <si>
    <t>2026-02-02</t>
  </si>
  <si>
    <t>COXA E SOBRECOXA</t>
  </si>
  <si>
    <t>BELARIS ALIMENTOS LTDA</t>
  </si>
  <si>
    <t>50953</t>
  </si>
  <si>
    <t>12260126</t>
  </si>
  <si>
    <t>2027-01-28</t>
  </si>
  <si>
    <t>2026PD00420</t>
  </si>
  <si>
    <t xml:space="preserve">	2026NE00072</t>
  </si>
  <si>
    <t>4296803413871</t>
  </si>
  <si>
    <t>2026-02-04 17:32:29</t>
  </si>
  <si>
    <t>-OkdhbTi8HxcAXViqojO</t>
  </si>
  <si>
    <t>SALSICHA</t>
  </si>
  <si>
    <t>12012270126</t>
  </si>
  <si>
    <t>020134149426</t>
  </si>
  <si>
    <t>2026-02-04 17:32:30</t>
  </si>
  <si>
    <t>-OkdhbYjMaizbKLcRott</t>
  </si>
  <si>
    <t>CHRISTOVAM COMERCIO DE LATICINIOS LTDA</t>
  </si>
  <si>
    <t>78</t>
  </si>
  <si>
    <t>8V202C</t>
  </si>
  <si>
    <t>-Oki8nERxJVwiwG0Yj0A</t>
  </si>
  <si>
    <t>2026-02-04</t>
  </si>
  <si>
    <t>COXAO DURO; PECA INTEIRA; RESFRIADA</t>
  </si>
  <si>
    <t>FONTALOG LTDA</t>
  </si>
  <si>
    <t>4247</t>
  </si>
  <si>
    <t>030226</t>
  </si>
  <si>
    <t>2026PD00418</t>
  </si>
  <si>
    <t xml:space="preserve">	2026NE00070</t>
  </si>
  <si>
    <t>0000009269514</t>
  </si>
  <si>
    <t>2026-02-05 14:14:07</t>
  </si>
  <si>
    <t>-Oki8nKaXW2_W38iDRmL</t>
  </si>
  <si>
    <t>MACA GALA NACIONAL</t>
  </si>
  <si>
    <t>LEANDRO DOMINATO</t>
  </si>
  <si>
    <t>811</t>
  </si>
  <si>
    <t>L 03/02/26</t>
  </si>
  <si>
    <t>2026-02-11</t>
  </si>
  <si>
    <t>2026-02-05 14:14:08</t>
  </si>
  <si>
    <t>-Oki8nQep4T38xzt7nEv</t>
  </si>
  <si>
    <t>ALHO TIPO  REFINADO</t>
  </si>
  <si>
    <t>mov-1770321994639</t>
  </si>
  <si>
    <t>CARNE BOVINA IN NATURA TIPO CORTE: PALETA</t>
  </si>
  <si>
    <t>4248</t>
  </si>
  <si>
    <t>40226</t>
  </si>
  <si>
    <t>2026PD00419</t>
  </si>
  <si>
    <t>35260243192676000137550010000042481399760570</t>
  </si>
  <si>
    <t>2026-02-05 20:06:34</t>
  </si>
  <si>
    <t>-OknpQQTTkZVpsfNCHji</t>
  </si>
  <si>
    <t>2026-02-03</t>
  </si>
  <si>
    <t>LEGUME EM CONSERVATIPO: MILHOVERDE</t>
  </si>
  <si>
    <t>GLOBAL COMÉRCIO DE ARTIGOS EM GERAL LTDA</t>
  </si>
  <si>
    <t>944</t>
  </si>
  <si>
    <t>2534320271.2</t>
  </si>
  <si>
    <t>2028-06-01</t>
  </si>
  <si>
    <t>2026PD00446</t>
  </si>
  <si>
    <t xml:space="preserve">	2026NE00142</t>
  </si>
  <si>
    <t>2026-02-06 16:42:49</t>
  </si>
  <si>
    <t>-OknrIf4QNuya3P_ykGD</t>
  </si>
  <si>
    <t>2026-02-10</t>
  </si>
  <si>
    <t>ESCAROLA</t>
  </si>
  <si>
    <t>LUCIMARA MARQUES PEREIRA</t>
  </si>
  <si>
    <t>38</t>
  </si>
  <si>
    <t>10/02/2026</t>
  </si>
  <si>
    <t>2026-02-17</t>
  </si>
  <si>
    <t xml:space="preserve">	2026PD00480</t>
  </si>
  <si>
    <t>2026NE00189</t>
  </si>
  <si>
    <t>35260244187390000126550010000000381300000413</t>
  </si>
  <si>
    <t>2026-02-06 16:51:02</t>
  </si>
  <si>
    <t>-OknrIkNusX5mNyI0ntk</t>
  </si>
  <si>
    <t>COOPCRESP</t>
  </si>
  <si>
    <t>3668</t>
  </si>
  <si>
    <t>2026-02-13</t>
  </si>
  <si>
    <t>-OknrIpPxgCGsr9OKFfk</t>
  </si>
  <si>
    <t>FARINHA DE MILHO GRÃO: AMARELO, TIPO: FUBÁ</t>
  </si>
  <si>
    <t>627-35</t>
  </si>
  <si>
    <t>2026-02-06 16:51:03</t>
  </si>
  <si>
    <t>-OknrIuXElJuFvOHz3Yd</t>
  </si>
  <si>
    <t>MACARRÃO TEOR DE UMIDADE: MASSA SECA</t>
  </si>
  <si>
    <t>354</t>
  </si>
  <si>
    <t>2027-05-13</t>
  </si>
  <si>
    <t>17896070191010</t>
  </si>
  <si>
    <t>-Oknw7OTyh966k7gntlr</t>
  </si>
  <si>
    <t>2026-02-06</t>
  </si>
  <si>
    <t>ABOBRINHA BRASILEIRA</t>
  </si>
  <si>
    <t>DANILO ANTONIO MAXIMO</t>
  </si>
  <si>
    <t>42</t>
  </si>
  <si>
    <t>L06/02/2026</t>
  </si>
  <si>
    <t>2026PD00479</t>
  </si>
  <si>
    <t xml:space="preserve">	2026NE00018</t>
  </si>
  <si>
    <t>35260235957970000164550010000000421706399142</t>
  </si>
  <si>
    <t>2026-02-06 17:12:06</t>
  </si>
  <si>
    <t>-Oknw7TYPC7gADG845vQ</t>
  </si>
  <si>
    <t>BETERRABA CRUA</t>
  </si>
  <si>
    <t>06/02/2026</t>
  </si>
  <si>
    <t>2026-02-06 17:12:07</t>
  </si>
  <si>
    <t>-Oknw7YaPqGjVjFMDU4C</t>
  </si>
  <si>
    <t>PEPINO COMUM</t>
  </si>
  <si>
    <t>-Oknw7cflIaPanGUHiw6</t>
  </si>
  <si>
    <t>COUVE MANTEIGA</t>
  </si>
  <si>
    <t>-Ol2QRZpd_pNP3pgYqBG</t>
  </si>
  <si>
    <t>2026-01-22</t>
  </si>
  <si>
    <t>ABÓBORA JAPONESA</t>
  </si>
  <si>
    <t>ADAO MAXIMO DA FONSECA</t>
  </si>
  <si>
    <t>10</t>
  </si>
  <si>
    <t>22/01/2026</t>
  </si>
  <si>
    <t>2026-01-29</t>
  </si>
  <si>
    <t>2026PD00338</t>
  </si>
  <si>
    <t>2026NE00027</t>
  </si>
  <si>
    <t>35260127885120000170550010000000101300000144</t>
  </si>
  <si>
    <t>2026-02-09 17:23:14</t>
  </si>
  <si>
    <t>-Ol2Qcx6bKWCgbsz43rv</t>
  </si>
  <si>
    <t>2026-02-09 17:24:04</t>
  </si>
  <si>
    <t>-Ol2QxDeXhyY3GG-c3hP</t>
  </si>
  <si>
    <t>REPOLHO VERDE</t>
  </si>
  <si>
    <t>2026-02-09 17:25:27</t>
  </si>
  <si>
    <t>-Ol2dP8--DlgyixeYOtV</t>
  </si>
  <si>
    <t>2026-01-13</t>
  </si>
  <si>
    <t>BENEDITO OSMAR RAVAZZI</t>
  </si>
  <si>
    <t>148</t>
  </si>
  <si>
    <t>13/01/2026</t>
  </si>
  <si>
    <t>2026-01-20</t>
  </si>
  <si>
    <t>2026PD00337</t>
  </si>
  <si>
    <t>2026NE00026</t>
  </si>
  <si>
    <t>35260608381828000149550010000001671000003344</t>
  </si>
  <si>
    <t>2026-02-09 18:24:14</t>
  </si>
  <si>
    <t>-Ol2db8z5vbANs7xuJRE</t>
  </si>
  <si>
    <t>BANANA NANICA</t>
  </si>
  <si>
    <t>2026-02-09 18:25:07</t>
  </si>
  <si>
    <t>-Ol2dllfX5vh4MnpO707</t>
  </si>
  <si>
    <t>GOIABA VERMELHA</t>
  </si>
  <si>
    <t>2026-02-09 18:25:51</t>
  </si>
  <si>
    <t>-Ol2e9I_7pvq7VftmW5t</t>
  </si>
  <si>
    <t>2026-01-28</t>
  </si>
  <si>
    <t>MANDIOCA</t>
  </si>
  <si>
    <t>LIDIA BERNARDES MONTEIRO BARBOSA</t>
  </si>
  <si>
    <t>215</t>
  </si>
  <si>
    <t>28/01/2026</t>
  </si>
  <si>
    <t>2026PD00364</t>
  </si>
  <si>
    <t>2026NE00065</t>
  </si>
  <si>
    <t>35260144008927000143550010000002151300002070</t>
  </si>
  <si>
    <t>2026-02-09 18:27:31</t>
  </si>
  <si>
    <t>-Ol2eO4g3pmjbfTg1hVy</t>
  </si>
  <si>
    <t>2026-02-09 18:28:32</t>
  </si>
  <si>
    <t>-Ol2ecb7K_EOXy_54PDd</t>
  </si>
  <si>
    <t>TOMATE SANTA CRUZ</t>
  </si>
  <si>
    <t>2026-02-09 18:29:35</t>
  </si>
  <si>
    <t>-Ol2eqR41OMiIguj0YsF</t>
  </si>
  <si>
    <t>ACELGA ALONGADA</t>
  </si>
  <si>
    <t>2026-02-09 18:30:32</t>
  </si>
  <si>
    <t>-Ol2g-UD90hqIo8l3V_g</t>
  </si>
  <si>
    <t>2026-01-06</t>
  </si>
  <si>
    <t>CONSUELO ALCANTARA FERREIRA GUIMARAES</t>
  </si>
  <si>
    <t>84</t>
  </si>
  <si>
    <t>06/01/2026</t>
  </si>
  <si>
    <t>2026PD00359</t>
  </si>
  <si>
    <t xml:space="preserve">	2026NE00047</t>
  </si>
  <si>
    <t>2026-02-09 18:35:35</t>
  </si>
  <si>
    <t>-Ol2gA46REBkpThIKuW9</t>
  </si>
  <si>
    <t>BATATA DOCE ROSADA</t>
  </si>
  <si>
    <t>2026-02-09 18:36:19</t>
  </si>
  <si>
    <t>-Ol2gNB-7669OAofhjZk</t>
  </si>
  <si>
    <t>2026-02-09 18:37:12</t>
  </si>
  <si>
    <t>-Ol2gX9XvuiTktImVuUp</t>
  </si>
  <si>
    <t>CENOURA CRUA</t>
  </si>
  <si>
    <t>2026-02-09 18:37:53</t>
  </si>
  <si>
    <t>-Ol2gfb_qxDZi1Jrcvof</t>
  </si>
  <si>
    <t>CHUCHU</t>
  </si>
  <si>
    <t>2026-02-09 18:38:32</t>
  </si>
  <si>
    <t>-Ol2gqNtD7p0ShLf2m_C</t>
  </si>
  <si>
    <t>2026-02-09 18:39:16</t>
  </si>
  <si>
    <t>-Ol2gznZZLzkKcZDdyj6</t>
  </si>
  <si>
    <t>2026-02-09 18:39:55</t>
  </si>
  <si>
    <t>-Ol2jV0aDbBnmIVa7WV2</t>
  </si>
  <si>
    <t>2026-01-16</t>
  </si>
  <si>
    <t>MARCOS DONADON AGOSTINHO</t>
  </si>
  <si>
    <t>331</t>
  </si>
  <si>
    <t>2026PD00360</t>
  </si>
  <si>
    <t xml:space="preserve">	2026NE00049</t>
  </si>
  <si>
    <t>35260108103614000100550010000003311000346620</t>
  </si>
  <si>
    <t>2026-02-09 18:50:51</t>
  </si>
  <si>
    <t>-Ol2jv1cz1fqWj0BpM-a</t>
  </si>
  <si>
    <t>2026-01-12</t>
  </si>
  <si>
    <t>CLAUDEMIR LUIZ TURRA</t>
  </si>
  <si>
    <t>514</t>
  </si>
  <si>
    <t>12/01/2026</t>
  </si>
  <si>
    <t>2026-01-19</t>
  </si>
  <si>
    <t>2026PD00341</t>
  </si>
  <si>
    <t>2026NE00020</t>
  </si>
  <si>
    <t>2026-02-09 18:52:41</t>
  </si>
  <si>
    <t>-Ol2lk5ZA3zWLSuwULtD</t>
  </si>
  <si>
    <t>LIMÃO TAHITI</t>
  </si>
  <si>
    <t>TANIA MARA BALDAO DE BARROS</t>
  </si>
  <si>
    <t>181</t>
  </si>
  <si>
    <t>2026PD00381</t>
  </si>
  <si>
    <t xml:space="preserve">	2026NE00014</t>
  </si>
  <si>
    <t>2026-02-09 19:00:41</t>
  </si>
  <si>
    <t>-Ol2m4UrnIOsVTvfta-0</t>
  </si>
  <si>
    <t>MELANCIA</t>
  </si>
  <si>
    <t>179</t>
  </si>
  <si>
    <t>2026PD00332</t>
  </si>
  <si>
    <t>2026NE00014</t>
  </si>
  <si>
    <t>35260109372299000180550010000001791300000445</t>
  </si>
  <si>
    <t>2026-02-09 19:02:09</t>
  </si>
  <si>
    <t>-Ol2nfEoaRlqIQ3J8kYp</t>
  </si>
  <si>
    <t>PAULO HENRIQUE PREVIDELLI ZACHARIAS</t>
  </si>
  <si>
    <t>212</t>
  </si>
  <si>
    <t>2026PD00432</t>
  </si>
  <si>
    <t xml:space="preserve">	2026NE00048</t>
  </si>
  <si>
    <t>2026-02-09 19:09:05</t>
  </si>
  <si>
    <t>-Ol2noNVfAWUNklcRgb9</t>
  </si>
  <si>
    <t>LARANJA PERA</t>
  </si>
  <si>
    <t>2026-02-09 19:09:43</t>
  </si>
  <si>
    <t>-Ol2o4E0SodNnc-wv43R</t>
  </si>
  <si>
    <t>ROSA MARIA GARBIN VELLONE</t>
  </si>
  <si>
    <t>338</t>
  </si>
  <si>
    <t>29/01/2026</t>
  </si>
  <si>
    <t>2026PD00365</t>
  </si>
  <si>
    <t xml:space="preserve">	2026NE00063</t>
  </si>
  <si>
    <t>2026-02-09 19:10:52</t>
  </si>
  <si>
    <t>-Ol2oNfXJ-nyPJxNU-o5</t>
  </si>
  <si>
    <t>2026-02-09 19:12:11</t>
  </si>
  <si>
    <t>-Ol2oW_t-Nms9E2-HjBs</t>
  </si>
  <si>
    <t>2026-02-09 19:12:48</t>
  </si>
  <si>
    <t>-Ol2ofrfy6e9tTXJLLRa</t>
  </si>
  <si>
    <t>2026-02-09 19:13:30</t>
  </si>
  <si>
    <t>-Ol2orgd5lUliNVoklyM</t>
  </si>
  <si>
    <t>SONIA REGINA COLOMBO CELESTINO</t>
  </si>
  <si>
    <t>60</t>
  </si>
  <si>
    <t>20/01/2026</t>
  </si>
  <si>
    <t>2026-01-27</t>
  </si>
  <si>
    <t>2026PD00363</t>
  </si>
  <si>
    <t xml:space="preserve">	2026NE00064</t>
  </si>
  <si>
    <t>35260134484937000100550010000000601004407709</t>
  </si>
  <si>
    <t>2026-02-09 19:14:19</t>
  </si>
  <si>
    <t>-Ol2p-YIfFN6zxWpPZzQ</t>
  </si>
  <si>
    <t>2026-02-09 19:14:55</t>
  </si>
  <si>
    <t>-Ol2p7AJOhZgAt-7RODf</t>
  </si>
  <si>
    <t>2026-02-09 19:15:26</t>
  </si>
  <si>
    <t>-Ol2pEh7_LXdN3Wb9UTE</t>
  </si>
  <si>
    <t>2026-02-09 19:15:57</t>
  </si>
  <si>
    <t>-Ol2pNaJsSCOvlJfk0y6</t>
  </si>
  <si>
    <t>2026-02-09 19:16:33</t>
  </si>
  <si>
    <t>-Ol2pU2mvvIH8L3ZyodK</t>
  </si>
  <si>
    <t>2026-02-09 19:17:00</t>
  </si>
  <si>
    <t>-Ol2yBLFLpLi7hBVLhRr</t>
  </si>
  <si>
    <t>2026-02-09 19:55:02</t>
  </si>
  <si>
    <t>-Ol2yJADwHVQvzwrfuMP</t>
  </si>
  <si>
    <t>2026-02-09 19:55:34</t>
  </si>
  <si>
    <t>-OlD6lY0ykwMawjnmiAx</t>
  </si>
  <si>
    <t>2026-02-11 19:13:07</t>
  </si>
  <si>
    <t>-OlDCh1bJFLVgmaa_E8P</t>
  </si>
  <si>
    <t>TOMATE LONGA VIDA</t>
  </si>
  <si>
    <t>2026-02-11 19:39:01</t>
  </si>
  <si>
    <t>-OlHULRPIDchf-5y5Ggw</t>
  </si>
  <si>
    <t>DOCE DE LEITE, TIPO: TRADICIONAL</t>
  </si>
  <si>
    <t>INFOOD EMBALADORA E DISTRIBUIDORA LTDA</t>
  </si>
  <si>
    <t>115</t>
  </si>
  <si>
    <t>Lote 19017/5</t>
  </si>
  <si>
    <t>2026-11-28</t>
  </si>
  <si>
    <t>2026PD00447</t>
  </si>
  <si>
    <t xml:space="preserve">	2026NE00144</t>
  </si>
  <si>
    <t>2026-02-12 15:34:36</t>
  </si>
  <si>
    <t>-OlHULZ6eBUEwkJpKPWj</t>
  </si>
  <si>
    <t>Lote 22-01-2026</t>
  </si>
  <si>
    <t>2026-02-12 15:34:37</t>
  </si>
  <si>
    <t>-OlHULzJ4QSBdXn_SIbx</t>
  </si>
  <si>
    <t>Lote 28-01-2026</t>
  </si>
  <si>
    <t>2026-02-12 15:34:38</t>
  </si>
  <si>
    <t>-OlHUMKcOjp0HiBwfL4k</t>
  </si>
  <si>
    <t>L10062026</t>
  </si>
  <si>
    <t>2026-02-12 15:34:40</t>
  </si>
  <si>
    <t>-OlHUMN5tWIveYChbUzI</t>
  </si>
  <si>
    <t>LIMAO; TAHITI; COM DIAMETRO EQUATORIAL MAIOR  QUE 60MM; FORMATO ARREDONDADO, CASCA C/  COLORACAO VERDE, TEXTURA LISA A LIGEIRAMENTE  RUGOSA E ESPESSURA MEDIA; AUSENCIA DE  SEMENTES, SUCULENCIA ALTA E ACIDEZ MEDIA; O  LOTE DEVERA APRESENTAR HOMOGENEIDADE VISUAL  DE TAMANHO E COLORACAO; NAO APRESENTAR OS  DEFEITOS PASSADO, FERIMENTO, SECO, OLEOCELOSE  OU PODRIDAO; DEVENDO SER ENTREGUE EM  EMBALAGEM SUB MULTIPLA DE 1,00 X 1,20M;  CONTENDO IDENTIFICACAO DO PRODUTO, PESO  LIQUIDO, NOME E TELEFONE DO FORNECEDOR; E SUAS  CONDICOES DEVERAO ESTAR DE ACORDO COM A  INSTRUCAO NORMATIVA CONJUNTA 09/02 (SARC,  ANVISA,INMETRO), RDC 12/01 E ALTERACOES  POSTERIORES; PRODUTO SUJEITO A VERIFICACAO NO ATO  DA ENTREGA AOS PROCEDIMENTOS ADM.  DETERMINADOS PELA ANVISA; OBEDECER AS  INFORMACOES CONTIDAS EM NORMAS E PADROES DO  SITE WWW.BEC.SP.GOV.BR;</t>
  </si>
  <si>
    <t>MICHEL JOSE RAVAZZI</t>
  </si>
  <si>
    <t>218</t>
  </si>
  <si>
    <t>Lote 13-01-2026</t>
  </si>
  <si>
    <t>2026PD00339</t>
  </si>
  <si>
    <t xml:space="preserve">	2026NE00025</t>
  </si>
  <si>
    <t>35260119718296000109550010000002181000004360</t>
  </si>
  <si>
    <t>-OlHUMX0TldH3iQBuEJr</t>
  </si>
  <si>
    <t>PEDRO TEODORO RODRIGUES</t>
  </si>
  <si>
    <t>004</t>
  </si>
  <si>
    <t>Lote 20-01-2026</t>
  </si>
  <si>
    <t>27/01/2026</t>
  </si>
  <si>
    <t>2026PD00342</t>
  </si>
  <si>
    <t>2026NE00040</t>
  </si>
  <si>
    <t>35260110517070000175550010000000041011400000</t>
  </si>
  <si>
    <t>2026-02-12 15:34:41</t>
  </si>
  <si>
    <t>-OlHUMZUh108y7p-Nypl</t>
  </si>
  <si>
    <t>-OlHUMayWynrNHPve_ht</t>
  </si>
  <si>
    <t>-OlHUkIdvkh7sJyUe6mF</t>
  </si>
  <si>
    <t>43588</t>
  </si>
  <si>
    <t>Lote 11-02-2026</t>
  </si>
  <si>
    <t>2026PD00434</t>
  </si>
  <si>
    <t xml:space="preserve">	2026NE00013</t>
  </si>
  <si>
    <t>2026-02-12 15:36:22</t>
  </si>
  <si>
    <t>-OlHaMUVTgQvMqjOqZ2a</t>
  </si>
  <si>
    <t>ANTONIO JOAQUIM DE OLIVEIRA</t>
  </si>
  <si>
    <t>2026NE00362</t>
  </si>
  <si>
    <t xml:space="preserve">	2026NE00053</t>
  </si>
  <si>
    <t>35260108630513000198550010000000011000400000</t>
  </si>
  <si>
    <t>2026-02-12 16:05:16</t>
  </si>
  <si>
    <t>-OlHaV5dHAmqbqor1BxP</t>
  </si>
  <si>
    <t>2026-02-12 16:05:51</t>
  </si>
  <si>
    <t>-OlHaddfZ2p84eM8VlfE</t>
  </si>
  <si>
    <t>2026-02-12 16:06:30</t>
  </si>
  <si>
    <t>-OlHanPZJaLXi-26HynC</t>
  </si>
  <si>
    <t>2026-02-12 16:07:10</t>
  </si>
  <si>
    <t>-OlHaw8RkxYGpCIW_VuF</t>
  </si>
  <si>
    <t>2026-02-12 16:07:46</t>
  </si>
  <si>
    <t>-OlNZKWhndIMm9a7rlc1</t>
  </si>
  <si>
    <t>2026-02-13 19:54:07</t>
  </si>
  <si>
    <t>-OlkWoG64G3Wypne2xPu</t>
  </si>
  <si>
    <t>2026-02-01</t>
  </si>
  <si>
    <t>FARINHA DE MANDIOCA</t>
  </si>
  <si>
    <t>ADRIANA SILVA THEODORO RANCHARIA</t>
  </si>
  <si>
    <t>4326</t>
  </si>
  <si>
    <t>Lote 1125</t>
  </si>
  <si>
    <t>2027-02-03</t>
  </si>
  <si>
    <t xml:space="preserve">	2026PD00487</t>
  </si>
  <si>
    <t xml:space="preserve">	2026NE00193</t>
  </si>
  <si>
    <t>2026-02-18 11:34:00</t>
  </si>
  <si>
    <t>-OlkWoIirDpBtpTKQKwG</t>
  </si>
  <si>
    <t>CONDIMENTOTIPO:PIMENTA DO REINO</t>
  </si>
  <si>
    <t>Lote 07</t>
  </si>
  <si>
    <t>2027-12-27</t>
  </si>
  <si>
    <t>35260200840591000105550010000043261260243265</t>
  </si>
  <si>
    <t>-OlkWoLD5zljkiCe-OXJ</t>
  </si>
  <si>
    <t>CÔCO RALADO</t>
  </si>
  <si>
    <t>Lote 04</t>
  </si>
  <si>
    <t>2027-11-12</t>
  </si>
  <si>
    <t>-OlkWoNiHT7kdB6yIphs</t>
  </si>
  <si>
    <t>CONDIMENTO TIPO: URUCUM</t>
  </si>
  <si>
    <t>Lote 03</t>
  </si>
  <si>
    <t>2028-02-05</t>
  </si>
  <si>
    <t>-OlkWoQDDbjUqjtEzvhm</t>
  </si>
  <si>
    <t>BISCOITO APRESENTAÇÃO: REDONDO, SABOR: MAIZENA</t>
  </si>
  <si>
    <t>Lote 618-56</t>
  </si>
  <si>
    <t>2026-02-18 11:34:01</t>
  </si>
  <si>
    <t>-OlkXD5UEaUCo-C2WeKm</t>
  </si>
  <si>
    <t>2026-02-12</t>
  </si>
  <si>
    <t>CARNE SUINA PERNIL</t>
  </si>
  <si>
    <t>CARNES DO CAMPO LTDA</t>
  </si>
  <si>
    <t>2725</t>
  </si>
  <si>
    <t>1408/003</t>
  </si>
  <si>
    <t>2027-02-07</t>
  </si>
  <si>
    <t>2026PD00421</t>
  </si>
  <si>
    <t xml:space="preserve">	2026NE00071</t>
  </si>
  <si>
    <t>35260254543018000169550010000027251250766598</t>
  </si>
  <si>
    <t>2026-02-18 11:35:46</t>
  </si>
  <si>
    <t>-OlkXDD58fUo92pKJVtP</t>
  </si>
  <si>
    <t>2026-02-16</t>
  </si>
  <si>
    <t>GOIABA; VERMELHA; COM DIAMETRO UNITARIO  ENTRE 50 E 60 MM; DE FORMATO OVALADO A  ARREDONDADO, TEXTURA DA CASCA LISA A RUGOSA;  COR DA CASCA VERDE A AMARELA E POLPA  VERMELHA; DEVENDO O LOTE APRESENTAR HOMOGENEIDADE VISUAL DETAMANHO E COLORACAO;  NAO APRESENTAR DEFEITOS COMO PASSADO, FERIDO,  PODRE, GRAVES DEFEITOS NA CASCA OU COM DANOS  CAUSADOS POR PRAGAS; DEVENDO SER ENTREGUE EM  EMBALAGEM SUBMULTIPLA DE 1,00X1,20M;  CONTENDO IDENTIFICACAO DO PRODUTO, PESO  LIQUIDO, NOME E TELEFONE DO FORNECEDOR; E SUAS  CONDICOES DEVERAO ESTAR DE ACORDO COM A  INSTRUCAO NORMATIVA CONJUNTA 09/02 (SARC,  ANVISA,INMETRO), RDC 12/01 E ALTERACOES  POSTERIORES; PRODUTO SUJEITO A VERIFICACAO NO ATO  DA ENTREGA AOS PROCEDIMENTOS ADMIN.  DETERMINADOS PELA ANVISA; OBEDECER AS  INFORMACOES CONTIDAS EM NORMAS E PADROES DO  SITE WWW.BEC.SP.GOV.BR;</t>
  </si>
  <si>
    <t>151</t>
  </si>
  <si>
    <t>2026-02-20</t>
  </si>
  <si>
    <t>2026PD00520</t>
  </si>
  <si>
    <t>-OlkXDFcZMusxNPzN92I</t>
  </si>
  <si>
    <t>ABOBRINHA; BRASILEIRA (3A); COM DIAMETRO DA  BASE MENOR QUE 55 MILIMETROS; APRESENTANDO  FORMATO CILINDRICO COM PESCOCO, COLORACAO DA  CASCA VERDE E ESTRIAS CLARAS; O LOTE DEVERA  APRESENTAR HOMOGENEIDADE VISUAL DE TAMANHO E  COLORACAO; NAO APRESENTAR OS DEFEITOS COMO:  FERIMENTO, PASSADO, PODRIDAO, VIROSE, MURCHO E  DANO POR PRAGA; DEVENDO SER ENTREGUE EM  EMBALAGEM SUB MULTIPLA DE 1,00 X 1,20M;  CONTENDO IDENTIFICACAO DO PRODUTO, PESO  LIQUIDO, NOME E TELEFONE DO FORNECEDOR; E SUAS  CONDICOES DEVERAO ESTAR DE ACORDO COM A  INSTRUCAO NORMATIVA CONJUNTA 09/02 (SARC,  ANVISA,INMETRO)RDC 12/01 E ALTERACOES  POSTERIORES; PRODUTO SUJEITO A VERIFICACAO NO ATO  DA ENTREGA AOS PROCEDIMENTOS ADM.  DETERMINADOS PELA ANVISA; INFORMACOES CONTIDAS  EM N</t>
  </si>
  <si>
    <t>-OlkXDI7iQXZTx5klwuu</t>
  </si>
  <si>
    <t>2026-02-18 11:35:47</t>
  </si>
  <si>
    <t>-OlkXDKh1a_8ZFREFxe3</t>
  </si>
  <si>
    <t>-OlmUbnV6QRtM0WK2hiW</t>
  </si>
  <si>
    <t>2026-02-18</t>
  </si>
  <si>
    <t>063</t>
  </si>
  <si>
    <t>18/02/2026</t>
  </si>
  <si>
    <t>2026-02-25</t>
  </si>
  <si>
    <t xml:space="preserve">	2026PD00522</t>
  </si>
  <si>
    <t>2026NE00064</t>
  </si>
  <si>
    <t>35260234484937000100550010000000631030017098</t>
  </si>
  <si>
    <t>2026-02-18 20:43:39</t>
  </si>
  <si>
    <t>-OlmUbpwre7aAkPdZxqO</t>
  </si>
  <si>
    <t>-OlmUbssFPGpqOnOsNTM</t>
  </si>
  <si>
    <t>-OlmUbvJFhCqMUWaqJuG</t>
  </si>
  <si>
    <t>-OlmUbxkul6Xi5p5Job0</t>
  </si>
  <si>
    <t>-OlmUc-BILgPRpuPuqmK</t>
  </si>
  <si>
    <t>-Oluk637976n15S3TsE2</t>
  </si>
  <si>
    <t>MACA; GALA NACIONAL</t>
  </si>
  <si>
    <t>870</t>
  </si>
  <si>
    <t>L20/02/2026</t>
  </si>
  <si>
    <t>2026-02-27</t>
  </si>
  <si>
    <t>2026PD00437</t>
  </si>
  <si>
    <t>2026NE00078</t>
  </si>
  <si>
    <t>35260260147761000100550010000008701198133531</t>
  </si>
  <si>
    <t>2026-02-20 11:12:52</t>
  </si>
  <si>
    <t>-OlukQh67FTrboWUgkyR</t>
  </si>
  <si>
    <t>BATATA ESCOVADA</t>
  </si>
  <si>
    <t>876</t>
  </si>
  <si>
    <t>2026PD00435</t>
  </si>
  <si>
    <t xml:space="preserve">	2026NE00068</t>
  </si>
  <si>
    <t>35260260147761000100550010000008761164518922</t>
  </si>
  <si>
    <t>2026-02-20 11:14:17</t>
  </si>
  <si>
    <t>-OlukQjaqcXJvLsBmbYm</t>
  </si>
  <si>
    <t>CEBOLA</t>
  </si>
  <si>
    <t>-Om9VmOsBOGEqYZWbr5g</t>
  </si>
  <si>
    <t>2026-02-23 12:39:35</t>
  </si>
  <si>
    <t>-OmGyUNauH-Vv2BdVVB0</t>
  </si>
  <si>
    <t>2026-02-24 23:26:44</t>
  </si>
  <si>
    <t>-OmGyUWLIDfKpqjFSHds</t>
  </si>
  <si>
    <t>-OmRoCqLGbNdEp9VOTDw</t>
  </si>
  <si>
    <t>2026-01-09</t>
  </si>
  <si>
    <t>3633</t>
  </si>
  <si>
    <t>L09/01/2026</t>
  </si>
  <si>
    <t>35260124201681000114550010000036331050002601</t>
  </si>
  <si>
    <t>2026-02-27 01:57:41</t>
  </si>
  <si>
    <t>-OmU_AYRIYlnrFjVBXc-</t>
  </si>
  <si>
    <t>LEITE FLUIDO ORIGEM: DE VACA, TIPO: A</t>
  </si>
  <si>
    <t>009V202C</t>
  </si>
  <si>
    <t>35260209206039000134550010000000781300000782</t>
  </si>
  <si>
    <t>2026-02-27 14:51:17</t>
  </si>
  <si>
    <t>-OmUp0V2lfjKHvvI_NaW</t>
  </si>
  <si>
    <t>banana nanica</t>
  </si>
  <si>
    <t>MOYSES PINHEIRO DE SA</t>
  </si>
  <si>
    <t>831</t>
  </si>
  <si>
    <t>UNICO</t>
  </si>
  <si>
    <t>2026PD00336</t>
  </si>
  <si>
    <t xml:space="preserve">	2026NE00023</t>
  </si>
  <si>
    <t>35260118107834000166550010000008311003406040</t>
  </si>
  <si>
    <t>2026-02-27 16:00:30</t>
  </si>
  <si>
    <t>-OmUpH4fWn1H3knM00iA</t>
  </si>
  <si>
    <t>2026-02-27 16:01:38</t>
  </si>
  <si>
    <t>-OmUpHFKwj2RNTVgrBZB</t>
  </si>
  <si>
    <t>2026-02-27 16:01:39</t>
  </si>
  <si>
    <t>-OmUpRyUM6nmj2Bf4udp</t>
  </si>
  <si>
    <t>2026-02-27 16:02:23</t>
  </si>
  <si>
    <t>-OmUpSHsVDBJnhr2WDml</t>
  </si>
  <si>
    <t>2026-02-27 16:02:24</t>
  </si>
  <si>
    <t>-OmUq2rmbSe4_x-CXquC</t>
  </si>
  <si>
    <t>2026-02-27 16:05:02</t>
  </si>
  <si>
    <t>-OmUq2wrB9q80HJF84n5</t>
  </si>
  <si>
    <t>-OmUq36WnBTUBMfcZZJC</t>
  </si>
  <si>
    <t>2026-02-27 16:05:03</t>
  </si>
  <si>
    <t>-OmUqdYDZpjpN0wJtrCr</t>
  </si>
  <si>
    <t>L28/01/2026</t>
  </si>
  <si>
    <t>2026-02-27 16:07:36</t>
  </si>
  <si>
    <t>-OmUqpmiA-2Dsonp28Mx</t>
  </si>
  <si>
    <t>2026-02-27 16:08:26</t>
  </si>
  <si>
    <t>-OmUrHrK6QaUK9FRu2-A</t>
  </si>
  <si>
    <t>2026-02-27 16:10:25</t>
  </si>
  <si>
    <t>-OmUrI5mmBKK6bLTeMth</t>
  </si>
  <si>
    <t>2026-02-27 16:10:26</t>
  </si>
  <si>
    <t>-OmUrjn4VlV9v18eER3W</t>
  </si>
  <si>
    <t>LEONARDO FELIPE VELHO MARSOLA</t>
  </si>
  <si>
    <t>L03/02/2026</t>
  </si>
  <si>
    <t>35260256701918000112550010000000011202604860</t>
  </si>
  <si>
    <t>2026-02-27 16:12:24</t>
  </si>
  <si>
    <t>-OmUrjs7zMw4rq3RIY5_</t>
  </si>
  <si>
    <t>-OmUrjxGik7LoNoythJA</t>
  </si>
  <si>
    <t>-OmV_czL7PxfLAwcPLM3</t>
  </si>
  <si>
    <t>2026-01-14</t>
  </si>
  <si>
    <t>3636</t>
  </si>
  <si>
    <t>L14/01/2026</t>
  </si>
  <si>
    <t>2026-01-21</t>
  </si>
  <si>
    <t>35260124201681000114550010000036361050002603</t>
  </si>
  <si>
    <t>2026-02-27 19:32:30</t>
  </si>
  <si>
    <t>-OmV_jObdue6l53Uvs6T</t>
  </si>
  <si>
    <t>3638</t>
  </si>
  <si>
    <t>L15/01/2026</t>
  </si>
  <si>
    <t>35260124201681000114550010000036381050002608</t>
  </si>
  <si>
    <t>2026-02-27 19:32:56</t>
  </si>
  <si>
    <t>-OmV_p27-75CZ5hAe5Ej</t>
  </si>
  <si>
    <t>2026-01-17</t>
  </si>
  <si>
    <t>3639</t>
  </si>
  <si>
    <t>L16/01/2026</t>
  </si>
  <si>
    <t>35260124201681000114550010000036391050002605</t>
  </si>
  <si>
    <t>2026-02-27 19:33:19</t>
  </si>
  <si>
    <t>-OmV_v7FuNK6pJH2IOdM</t>
  </si>
  <si>
    <t>2026-01-02</t>
  </si>
  <si>
    <t>3640</t>
  </si>
  <si>
    <t>L21/01/2026</t>
  </si>
  <si>
    <t>35260124201681000114550010000036401050002606</t>
  </si>
  <si>
    <t>2026-02-27 19:33:44</t>
  </si>
  <si>
    <t>-OmVa-XO75HPU4pEfWCp</t>
  </si>
  <si>
    <t>3642</t>
  </si>
  <si>
    <t>L22/01/2026</t>
  </si>
  <si>
    <t>35260124201681000114550010000036421050002600</t>
  </si>
  <si>
    <t>2026-02-27 19:34:06</t>
  </si>
  <si>
    <t>-OmZpnP8G-sZi6wZD_Od</t>
  </si>
  <si>
    <t>3643</t>
  </si>
  <si>
    <t>L26/01/2026</t>
  </si>
  <si>
    <t>35260124201681000114550010000036431050002608</t>
  </si>
  <si>
    <t>2026-02-28 15:21:34</t>
  </si>
  <si>
    <t>-OmZsD-t54zbJfSJsNJT</t>
  </si>
  <si>
    <t>2026-02-28 15:32:07</t>
  </si>
  <si>
    <t>-OmZsHJmgMc7WAuym6UW</t>
  </si>
  <si>
    <t>3660</t>
  </si>
  <si>
    <t>35260124201681000114550010000036601050002609</t>
  </si>
  <si>
    <t>2026-02-28 15:32:25</t>
  </si>
  <si>
    <t>-OmZsL6zpjFKm_Dcqxk5</t>
  </si>
  <si>
    <t>3661</t>
  </si>
  <si>
    <t>L29/01/2026</t>
  </si>
  <si>
    <t>35260124201681000114550010000036611050002606</t>
  </si>
  <si>
    <t>2026-02-28 15:32:40</t>
  </si>
  <si>
    <t>-OmZsT8mFIIjjDdcZiHP</t>
  </si>
  <si>
    <t>3663</t>
  </si>
  <si>
    <t>L30012026</t>
  </si>
  <si>
    <t>35260124201681000114550010000036631050002600</t>
  </si>
  <si>
    <t>2026-02-28 15:33:13</t>
  </si>
  <si>
    <t>-OmZsYNby6rv05PgpGkV</t>
  </si>
  <si>
    <t>8931</t>
  </si>
  <si>
    <t>2026pd00343</t>
  </si>
  <si>
    <t>2026NE00041</t>
  </si>
  <si>
    <t>35260112275456000143550010000089311543532774</t>
  </si>
  <si>
    <t>2026-02-28 15:33:34</t>
  </si>
  <si>
    <t>-OmZse6DYEY2vR8vNvNS</t>
  </si>
  <si>
    <t>laranja pera</t>
  </si>
  <si>
    <t>220</t>
  </si>
  <si>
    <t>2026pd00417</t>
  </si>
  <si>
    <t>35260208477476000120550010000002201000003858</t>
  </si>
  <si>
    <t>2026-02-28 15:34:02</t>
  </si>
  <si>
    <t>-OmZseDAW2xF5Ks9Pn5V</t>
  </si>
  <si>
    <t>goiaba vermelha</t>
  </si>
  <si>
    <t>-OmZsm69mD-v6frb8Cv-</t>
  </si>
  <si>
    <t>834</t>
  </si>
  <si>
    <t>2026pd00382</t>
  </si>
  <si>
    <t>35260218107834000166550010000008341000380096</t>
  </si>
  <si>
    <t>2026-02-28 15:34:35</t>
  </si>
  <si>
    <t>-OmZsuHffnzeI0ujfvFZ</t>
  </si>
  <si>
    <t>MARCELO GIBERTONI</t>
  </si>
  <si>
    <t>549</t>
  </si>
  <si>
    <t>2026pd00384</t>
  </si>
  <si>
    <t xml:space="preserve">	2026NE00022</t>
  </si>
  <si>
    <t>35260217875886000110550010000005491024400304</t>
  </si>
  <si>
    <t>2026-02-28 15:35:09</t>
  </si>
  <si>
    <t>-OmZt3sUngKXXc9l5cfP</t>
  </si>
  <si>
    <t>521</t>
  </si>
  <si>
    <t>2026pd00383</t>
  </si>
  <si>
    <t xml:space="preserve">	2026NE00020</t>
  </si>
  <si>
    <t>35260220672752000106550010000005211039004015</t>
  </si>
  <si>
    <t>2026-02-28 15:35:52</t>
  </si>
  <si>
    <t>-OmZtDepT17T4uzMxMP6</t>
  </si>
  <si>
    <t>2026-02-09</t>
  </si>
  <si>
    <t>2026-02-28 15:36:32</t>
  </si>
  <si>
    <t>-OmZtDmDUZBlBQccv3nc</t>
  </si>
  <si>
    <t>-OmZtoTaB8tB6poxvfaM</t>
  </si>
  <si>
    <t>cenoura crua</t>
  </si>
  <si>
    <t>089</t>
  </si>
  <si>
    <t>2026pd00377</t>
  </si>
  <si>
    <t>35260247952921000118550010000000891306011039</t>
  </si>
  <si>
    <t>2026-02-28 15:39:07</t>
  </si>
  <si>
    <t>-OmiXSYcjnePMxviS2A5</t>
  </si>
  <si>
    <t>2026-03-01</t>
  </si>
  <si>
    <t>238</t>
  </si>
  <si>
    <t>L02/03/2026</t>
  </si>
  <si>
    <t xml:space="preserve">	2026PD00482</t>
  </si>
  <si>
    <t>2026NE00048</t>
  </si>
  <si>
    <t>35260308477476000120550010000002381000004160</t>
  </si>
  <si>
    <t>2026-03-02 12:33:15</t>
  </si>
  <si>
    <t>-OmiXSYcjnePMxviS2A6</t>
  </si>
  <si>
    <t>-Omj7hC75dbYIYb-wosp</t>
  </si>
  <si>
    <t>ovos tipo medio a granel</t>
  </si>
  <si>
    <t>43475</t>
  </si>
  <si>
    <t>2026PD00329</t>
  </si>
  <si>
    <t>35260104788913000175550010000434751000450925</t>
  </si>
  <si>
    <t>2026-03-02 15:20:21</t>
  </si>
  <si>
    <t>-Omj7hHmBXW_WWg4VYI0</t>
  </si>
  <si>
    <t>ovos tipo grande a granel</t>
  </si>
  <si>
    <t>2KKYCSJK0</t>
  </si>
  <si>
    <t>-Omj7qJ6MN6G5MDrtS6L</t>
  </si>
  <si>
    <t>43509</t>
  </si>
  <si>
    <t>2026PD00330</t>
  </si>
  <si>
    <t>2026NE00013</t>
  </si>
  <si>
    <t>35260104788913000175550010000435091000451310</t>
  </si>
  <si>
    <t>2026-03-02 15:20:58</t>
  </si>
  <si>
    <t>-Omj7qOPgUEIhtDGJcxW</t>
  </si>
  <si>
    <t>600ZRWVEZ</t>
  </si>
  <si>
    <t>-OmjIWgvYp1uYMJPqQi3</t>
  </si>
  <si>
    <t>PAULO HENRIQUE PUGLIERI</t>
  </si>
  <si>
    <t>143</t>
  </si>
  <si>
    <t>L16/02/2026</t>
  </si>
  <si>
    <t>2026-02-23</t>
  </si>
  <si>
    <t>2026PD00452</t>
  </si>
  <si>
    <t>2026NE00019</t>
  </si>
  <si>
    <t>2026-03-02 16:07:37</t>
  </si>
  <si>
    <t>-Omo_wE37KbfpUtseUcT</t>
  </si>
  <si>
    <t>846</t>
  </si>
  <si>
    <t>L01/03/2026</t>
  </si>
  <si>
    <t xml:space="preserve">	2026PD00502</t>
  </si>
  <si>
    <t>35260318107834000166550010000008461305073396</t>
  </si>
  <si>
    <t>2026-03-03 16:46:10</t>
  </si>
  <si>
    <t>-OmouUZxo1IibGm7YIXi</t>
  </si>
  <si>
    <t>2026-03-03</t>
  </si>
  <si>
    <t>EDITADO</t>
  </si>
  <si>
    <t>35260224201681000114550010000036681050002600</t>
  </si>
  <si>
    <t>2026-03-03 18:15:58</t>
  </si>
  <si>
    <t>-OmouX61phekMp4v5_B8</t>
  </si>
  <si>
    <t>2026-03-03 18:16:08</t>
  </si>
  <si>
    <t>-Omq8LS5FJ_m6NujZUQ7</t>
  </si>
  <si>
    <t>batata doce rosada</t>
  </si>
  <si>
    <t>2026-03-04 00:00:31</t>
  </si>
  <si>
    <t>-Omq8LYLP7P6tjcocbUv</t>
  </si>
  <si>
    <t>abobrinha brasileira</t>
  </si>
  <si>
    <t>-Omq8Le-K-Db88rMcToK</t>
  </si>
  <si>
    <t>pepino comum</t>
  </si>
  <si>
    <t>-Omq8LljEkW_hBsWK1wW</t>
  </si>
  <si>
    <t>beterraba crua</t>
  </si>
  <si>
    <t>2026-03-04 00:00:32</t>
  </si>
  <si>
    <t>-Omq8k401kpt4FCQ3SuT</t>
  </si>
  <si>
    <t>2026-03-04 00:02:16</t>
  </si>
  <si>
    <t>-Omq8kCAZIVrEg3olcA-</t>
  </si>
  <si>
    <t>-Omq8rTL9mFKCILv1_z6</t>
  </si>
  <si>
    <t>3</t>
  </si>
  <si>
    <t>2026-03-04 00:02:46</t>
  </si>
  <si>
    <t>-Omq8rbOmoSzLhiOe1PO</t>
  </si>
  <si>
    <t>-Omq8riF2z5AJzfT1ctt</t>
  </si>
  <si>
    <t>2026-03-04 00:02:47</t>
  </si>
  <si>
    <t>-Omq8rod_ktpS2Q3epr4</t>
  </si>
  <si>
    <t>-Omq8rvdysZZkp3RYusn</t>
  </si>
  <si>
    <t>2026-03-04 00:02:48</t>
  </si>
  <si>
    <t>-Omq8s11bjX9Kwr0sf87</t>
  </si>
  <si>
    <t>-Omq91vr8_Xg5hF3kuEm</t>
  </si>
  <si>
    <t>3682</t>
  </si>
  <si>
    <t>MANUAL</t>
  </si>
  <si>
    <t>35260224201681000114550010000036821050002600</t>
  </si>
  <si>
    <t>2026-03-04 00:03:33</t>
  </si>
  <si>
    <t>-OmqA0Js11NZg-9xGTRD</t>
  </si>
  <si>
    <t>3697</t>
  </si>
  <si>
    <t>35260224201681000114550010000036971050002602</t>
  </si>
  <si>
    <t>2026-03-04 00:07:48</t>
  </si>
  <si>
    <t>-OmqAMKtPEZYbR6KZOcK</t>
  </si>
  <si>
    <t>000.000.333</t>
  </si>
  <si>
    <t>2602</t>
  </si>
  <si>
    <t>35260208103614000100550010000003331080000006</t>
  </si>
  <si>
    <t>2026-03-04 00:09:19</t>
  </si>
  <si>
    <t>-OmqAMWD9QV1aqV-7LDs</t>
  </si>
  <si>
    <t>-OmqAMcWJF53Cl_Ihb7C</t>
  </si>
  <si>
    <t>2026-03-04 00:09:20</t>
  </si>
  <si>
    <t>-OmqD3vMnt27MIyWxGHh</t>
  </si>
  <si>
    <t>3700</t>
  </si>
  <si>
    <t>35260224201681000114550010000037001050002600</t>
  </si>
  <si>
    <t>2026-03-04 00:21:10</t>
  </si>
  <si>
    <t>-OmqDAmlhJ8TR_dDpuhN</t>
  </si>
  <si>
    <t>chuchu</t>
  </si>
  <si>
    <t>094</t>
  </si>
  <si>
    <t>2026pd00424</t>
  </si>
  <si>
    <t>35260247952921000118550010000000941306011039</t>
  </si>
  <si>
    <t>2026-03-04 00:21:38</t>
  </si>
  <si>
    <t>-OmqDGRw0yTgjrhMkRJS</t>
  </si>
  <si>
    <t>SAULO ANTONINO</t>
  </si>
  <si>
    <t>2026pd00426</t>
  </si>
  <si>
    <t xml:space="preserve">	2026NE00015</t>
  </si>
  <si>
    <t>35260208499693000200550010000000031159096178</t>
  </si>
  <si>
    <t>2026-03-04 00:22:01</t>
  </si>
  <si>
    <t>-OmqGzCpd9fY73oDtWoI</t>
  </si>
  <si>
    <t>3705</t>
  </si>
  <si>
    <t>35260224201681000114550010000037051050002606</t>
  </si>
  <si>
    <t>2026-03-04 00:38:15</t>
  </si>
  <si>
    <t>-OmqLWwNZI7KqQMvMpOr</t>
  </si>
  <si>
    <t>DOMINGOS APARECIDO ANTONINO</t>
  </si>
  <si>
    <t>04</t>
  </si>
  <si>
    <t>L24/02/2026</t>
  </si>
  <si>
    <t>2026PD00427</t>
  </si>
  <si>
    <t xml:space="preserve">	2026NE00016</t>
  </si>
  <si>
    <t>35260210274255000104550010000000041229462665</t>
  </si>
  <si>
    <t>2026-03-04 00:58:06</t>
  </si>
  <si>
    <t>-OmqLX30nqUJdQ9CZbM9</t>
  </si>
  <si>
    <t>-OmxtR5xpOSFICMNbniJ</t>
  </si>
  <si>
    <t>964</t>
  </si>
  <si>
    <t>0503</t>
  </si>
  <si>
    <t xml:space="preserve">	2026PD00537</t>
  </si>
  <si>
    <t>35260360147761000100550010000009641606268827</t>
  </si>
  <si>
    <t>2026-03-05 12:08:01</t>
  </si>
  <si>
    <t>-OmxtR5xpOSFICMNbniK</t>
  </si>
  <si>
    <t>ALHO; BRANCO; INTEIRO</t>
  </si>
  <si>
    <t>-OmxwL78n7y7i2CEoukT</t>
  </si>
  <si>
    <t>4375</t>
  </si>
  <si>
    <t>030326</t>
  </si>
  <si>
    <t>2026PD00534</t>
  </si>
  <si>
    <t>35260343192676000137550010000043751533560858</t>
  </si>
  <si>
    <t>2026-03-05 12:20:42</t>
  </si>
  <si>
    <t>-OmxwL79H1Q3uOCS2Tan</t>
  </si>
  <si>
    <t>-OmxxpkrKoYcui6pckSX</t>
  </si>
  <si>
    <t>LEGUMINOSA VARIEDADE: FEIJÃO CARIOCA</t>
  </si>
  <si>
    <t>21596</t>
  </si>
  <si>
    <t>69</t>
  </si>
  <si>
    <t xml:space="preserve">	2026PD00538</t>
  </si>
  <si>
    <t xml:space="preserve">	2026NE00012</t>
  </si>
  <si>
    <t>35260205098638000120550010000215961313684622</t>
  </si>
  <si>
    <t>2026-03-05 12:27:14</t>
  </si>
  <si>
    <t>-OmxxpkrKoYcui6pckSY</t>
  </si>
  <si>
    <t>67</t>
  </si>
  <si>
    <t>-OmxxpkrKoYcui6pckSZ</t>
  </si>
  <si>
    <t>MISTURA ALIMENTÍCIA INGREDIENTES: FARINHA DE TRIGO</t>
  </si>
  <si>
    <t>OT2500:37</t>
  </si>
  <si>
    <t>-Omyyy1-Ic7EC4NnpdKB</t>
  </si>
  <si>
    <t>35260260147761000100550010000008111153743143</t>
  </si>
  <si>
    <t>2026-03-05 17:11:47</t>
  </si>
  <si>
    <t>-Omyyy6KIacaPMctFfV8</t>
  </si>
  <si>
    <t>-OmyzE2i1wwPEH25GAO5</t>
  </si>
  <si>
    <t>cebola</t>
  </si>
  <si>
    <t>922</t>
  </si>
  <si>
    <t>2026PD00436</t>
  </si>
  <si>
    <t>35260260147761000100550010000009221243188059</t>
  </si>
  <si>
    <t>2026-03-05 17:12:57</t>
  </si>
  <si>
    <t>-Omz15hwYoaB2plqfnDe</t>
  </si>
  <si>
    <t>51094</t>
  </si>
  <si>
    <t>120122B0126</t>
  </si>
  <si>
    <t>2026-07-26</t>
  </si>
  <si>
    <t>2026PD00540</t>
  </si>
  <si>
    <t>2026NE00072</t>
  </si>
  <si>
    <t>35260317088309000188550020000510941994234551</t>
  </si>
  <si>
    <t>2026-03-05 17:25:29</t>
  </si>
  <si>
    <t>-Omz15hwYoaB2plqfnDf</t>
  </si>
  <si>
    <t>14-01-2026</t>
  </si>
  <si>
    <t>2027-01-14</t>
  </si>
  <si>
    <t>-Omz1tyJy6s3WXZVOG5Z</t>
  </si>
  <si>
    <t>278</t>
  </si>
  <si>
    <t>19217/5</t>
  </si>
  <si>
    <t>2027-01-23</t>
  </si>
  <si>
    <t>2026PD00523</t>
  </si>
  <si>
    <t>35260362656712000110550010000002781397484724</t>
  </si>
  <si>
    <t>2026-03-05 17:28:59</t>
  </si>
  <si>
    <t>-Omz3MpM3vO5Ysu-U9kE</t>
  </si>
  <si>
    <t>ALHO PROCESSADO; BRANCO; PURO EM PASTA</t>
  </si>
  <si>
    <t>ECCM COMERCIO DE PRODUTOS ALIMENTICIOS LTDA</t>
  </si>
  <si>
    <t>2333</t>
  </si>
  <si>
    <t>2026PD00543</t>
  </si>
  <si>
    <t xml:space="preserve">	2026NE00165</t>
  </si>
  <si>
    <t>35260345829098000122550010000023331000005004</t>
  </si>
  <si>
    <t>2026-03-05 17:35:20</t>
  </si>
  <si>
    <t>-OnIUDia7RbGVfWn-XFS</t>
  </si>
  <si>
    <t>batata escovada</t>
  </si>
  <si>
    <t>2026-03-09 16:45:05</t>
  </si>
  <si>
    <t>-OnMpVjb1M-9Ha9jG6lP</t>
  </si>
  <si>
    <t>ARROZ BENEFICIADO TIPO: AGULHINHA</t>
  </si>
  <si>
    <t>CAMPO FINO INDUSTRIA E COMÉRCIO IMPORTAÇÃO E EXPORTAÇÃO DE ALIMENTOS LTDA</t>
  </si>
  <si>
    <t>16120</t>
  </si>
  <si>
    <t>003</t>
  </si>
  <si>
    <t xml:space="preserve">	2026PD00495</t>
  </si>
  <si>
    <t xml:space="preserve">	2026NE00044</t>
  </si>
  <si>
    <t>35260324744074000109550010000161201573166831</t>
  </si>
  <si>
    <t>2026-03-10 13:00:55</t>
  </si>
  <si>
    <t>-OnMvFidxFhEgR-rYIjT</t>
  </si>
  <si>
    <t>48</t>
  </si>
  <si>
    <t>L09/03/2026</t>
  </si>
  <si>
    <t xml:space="preserve">	2026PD00491</t>
  </si>
  <si>
    <t>35260335957970000164550010000000481402159980</t>
  </si>
  <si>
    <t>2026-03-10 13:26:03</t>
  </si>
  <si>
    <t>-OnMvFidxFhEgR-rYIjU</t>
  </si>
  <si>
    <t>-OnMvFidxFhEgR-rYIjV</t>
  </si>
  <si>
    <t>-OnNNW9baFKDhjo44TSu</t>
  </si>
  <si>
    <t>PEIXE IN NATURA VARIEDADE: MERLUZA, TIPO CORTE: FILÉ</t>
  </si>
  <si>
    <t>TRADEFOOD DISTRIBUIDORA DE ALIMENTOS LTDA</t>
  </si>
  <si>
    <t>8481</t>
  </si>
  <si>
    <t>L05/03/2026</t>
  </si>
  <si>
    <t>2027-03-05</t>
  </si>
  <si>
    <t>2026PD00559</t>
  </si>
  <si>
    <t xml:space="preserve">	2026NE00209</t>
  </si>
  <si>
    <t>35260313386520000126550010000084811872950789</t>
  </si>
  <si>
    <t>2026-03-10 15:33:52</t>
  </si>
  <si>
    <t>-OnOEIhKL4Ao_sHLcsUL</t>
  </si>
  <si>
    <t>2026-02-08</t>
  </si>
  <si>
    <t>135260491311627</t>
  </si>
  <si>
    <t>2026-03-10 19:33:15</t>
  </si>
  <si>
    <t>-OnOEInrqnVGzZ8tRt2N</t>
  </si>
  <si>
    <t>2026-03-10 19:33:16</t>
  </si>
  <si>
    <t>-OnSzwhOP3B-Xv7t-VB2</t>
  </si>
  <si>
    <t>2026-03-11 17:44:14</t>
  </si>
  <si>
    <t>-OnSzwhOP3B-Xv7t-VB3</t>
  </si>
  <si>
    <t>CONDIMENTO TIPO: ORÉGANO</t>
  </si>
  <si>
    <t>L03</t>
  </si>
  <si>
    <t>2027-10-24</t>
  </si>
  <si>
    <t>-OnSzwhOP3B-Xv7t-VB4</t>
  </si>
  <si>
    <t>-OnSzwhOP3B-Xv7t-VB5</t>
  </si>
  <si>
    <t>-OnSzwhOP3B-Xv7t-VB6</t>
  </si>
  <si>
    <t>-OnYFuzsAXgKtpWpKaGy</t>
  </si>
  <si>
    <t>2795</t>
  </si>
  <si>
    <t>L 07-03-2026</t>
  </si>
  <si>
    <t>2027-03-07</t>
  </si>
  <si>
    <t>2026PD00539</t>
  </si>
  <si>
    <t>35260354543018000169550010000027951252877611</t>
  </si>
  <si>
    <t>2026-03-12 18:16:31</t>
  </si>
  <si>
    <t>-OncCjKbRJ_jjEsgsCjs</t>
  </si>
  <si>
    <t>EMBUTIDO TIPO: LINGUIÇA TOSCANA</t>
  </si>
  <si>
    <t>SL TRANSPORTES E ALIMENTOS LTDA</t>
  </si>
  <si>
    <t>734</t>
  </si>
  <si>
    <t>LOTE 160126</t>
  </si>
  <si>
    <t>2026PD00562</t>
  </si>
  <si>
    <t xml:space="preserve">	2026NE00210</t>
  </si>
  <si>
    <t>35260358356851000151550010000007341000008698</t>
  </si>
  <si>
    <t>2026-03-13 17:20:42</t>
  </si>
  <si>
    <t>-Onr6Q9dDqQPWNWSg04u</t>
  </si>
  <si>
    <t>CARNE DE AVE IN NATURA : PEITO DE FRANGO</t>
  </si>
  <si>
    <t>INTEGRADO DISTRIBUIDOR FRIGORIFICO LTDA</t>
  </si>
  <si>
    <t>208868</t>
  </si>
  <si>
    <t>161086</t>
  </si>
  <si>
    <t>2027-02-18</t>
  </si>
  <si>
    <t>2026PD00542</t>
  </si>
  <si>
    <t>2026NE00143</t>
  </si>
  <si>
    <t>35260352657483000103550010002088681955160979</t>
  </si>
  <si>
    <t>2026-03-16 14:47:24</t>
  </si>
  <si>
    <t>-Onr6Q9dDqQPWNWSg04v</t>
  </si>
  <si>
    <t>CARNE SALGADA TIPO CORTE: TOUCINHO</t>
  </si>
  <si>
    <t>L16/03/2026</t>
  </si>
  <si>
    <t>-Onr6Q9dDqQPWNWSg04w</t>
  </si>
  <si>
    <t>QUEIJO ORIGEM: DE VACA, VARIEDADE: MUÇARELA</t>
  </si>
  <si>
    <t>170226Q7T1</t>
  </si>
  <si>
    <t>-Onr6Q9dDqQPWNWSg04x</t>
  </si>
  <si>
    <t>CARNE BOVINA; CUPIM</t>
  </si>
  <si>
    <t>150143</t>
  </si>
  <si>
    <t>2027-03-04</t>
  </si>
  <si>
    <t>-Onw5n7fft4Q6lD79g_E</t>
  </si>
  <si>
    <t>2026-03-17 14:02:46</t>
  </si>
  <si>
    <t>-Onw5n7fft4Q6lD79g_F</t>
  </si>
  <si>
    <t>-Onw5n7fft4Q6lD79g_G</t>
  </si>
  <si>
    <t>-Onw5n7fft4Q6lD79g_H</t>
  </si>
  <si>
    <t>-Onw5n7fft4Q6lD79g_I</t>
  </si>
  <si>
    <t>-OnwJJTIelMeahdQwnbm</t>
  </si>
  <si>
    <t>L09032026</t>
  </si>
  <si>
    <t xml:space="preserve">	2026PD00490</t>
  </si>
  <si>
    <t>35260308630513000198550010000000041000400000</t>
  </si>
  <si>
    <t>2026-03-17 15:01:51</t>
  </si>
  <si>
    <t>-OnwJJTJuV3sktHi9wnH</t>
  </si>
  <si>
    <t>-OnwJJTJuV3sktHi9wnI</t>
  </si>
  <si>
    <t>-OnwJJTJuV3sktHi9wnJ</t>
  </si>
  <si>
    <t>-OnwJJTJuV3sktHi9wnK</t>
  </si>
  <si>
    <t>-OnwJJTJuV3sktHi9wnL</t>
  </si>
  <si>
    <t>-OnwoIgMG34dKGiDO-gY</t>
  </si>
  <si>
    <t>2026-03-17 17:21:36</t>
  </si>
  <si>
    <t>-OnwoIlb9kKNtKL3k0dI</t>
  </si>
  <si>
    <t>2026-03-17 17:21:37</t>
  </si>
  <si>
    <t>-OnwoLPTClu88cYxC8q9</t>
  </si>
  <si>
    <t>2026-03-17 17:21:48</t>
  </si>
  <si>
    <t>-OnwoLUcvMAF5qpl0-JE</t>
  </si>
  <si>
    <t>-OnwwcxFXccFBjktvhHg</t>
  </si>
  <si>
    <t>43630</t>
  </si>
  <si>
    <t>L25/02/2026</t>
  </si>
  <si>
    <t>35260204788913000175550010000436301000452556</t>
  </si>
  <si>
    <t>2026-03-17 17:58:01</t>
  </si>
  <si>
    <t>-Onwwd6uzRMA3aCWofhj</t>
  </si>
  <si>
    <t>-OnxJ-hnVPjsRnjk2heb</t>
  </si>
  <si>
    <t>1081</t>
  </si>
  <si>
    <t>L17032026</t>
  </si>
  <si>
    <t xml:space="preserve">	2026PD00535</t>
  </si>
  <si>
    <t xml:space="preserve">	2026NE00078</t>
  </si>
  <si>
    <t>35260360147761000100550010000010811394579936</t>
  </si>
  <si>
    <t>2026-03-17 19:40:08</t>
  </si>
  <si>
    <t>-OnxJ-hnVPjsRnjk2hec</t>
  </si>
  <si>
    <t>-OnxLDQrNdtROlt5ADOR</t>
  </si>
  <si>
    <t>76</t>
  </si>
  <si>
    <t>L16032026</t>
  </si>
  <si>
    <t xml:space="preserve">	2026PD00528</t>
  </si>
  <si>
    <t>35260334484937000100550010000000761030017090</t>
  </si>
  <si>
    <t>2026-03-17 19:49:48</t>
  </si>
  <si>
    <t>-OnxLDQrNdtROlt5ADOS</t>
  </si>
  <si>
    <t>-OnxLDQrNdtROlt5ADOT</t>
  </si>
  <si>
    <t>-OnxLDQrNdtROlt5ADOU</t>
  </si>
  <si>
    <t>-OnxLDQrNdtROlt5ADOV</t>
  </si>
  <si>
    <t>-OnxLDQrNdtROlt5ADOW</t>
  </si>
  <si>
    <t>-OnxLDQrNdtROlt5ADOX</t>
  </si>
  <si>
    <t>-Oo0bpQ2DIWYut_BpN4M</t>
  </si>
  <si>
    <t>223</t>
  </si>
  <si>
    <t>19026</t>
  </si>
  <si>
    <t xml:space="preserve">	2026PD00524</t>
  </si>
  <si>
    <t xml:space="preserve">	2026NE00043</t>
  </si>
  <si>
    <t>35260161645926000129550010000001131300001208</t>
  </si>
  <si>
    <t>2026-03-18 15:45:12</t>
  </si>
  <si>
    <t>-Oo0bpQ3WIQqI-tYH1_2</t>
  </si>
  <si>
    <t>261103</t>
  </si>
  <si>
    <t>2027-08-25</t>
  </si>
  <si>
    <t>-Oo0c6vxhnNbeZZ-asJV</t>
  </si>
  <si>
    <t>222</t>
  </si>
  <si>
    <t>41518</t>
  </si>
  <si>
    <t xml:space="preserve">	2026PD00525</t>
  </si>
  <si>
    <t>2026NE00046</t>
  </si>
  <si>
    <t>2026-03-18 15:46:28</t>
  </si>
  <si>
    <t>-Oo1FRuPjZDxCvCcgJoy</t>
  </si>
  <si>
    <t>ÓLEO VEGETAL COMESTÍVEL - SOJA</t>
  </si>
  <si>
    <t>INOVA ALIMENTOS LTDA</t>
  </si>
  <si>
    <t>3213</t>
  </si>
  <si>
    <t>0226</t>
  </si>
  <si>
    <t>2027-01-22</t>
  </si>
  <si>
    <t xml:space="preserve">	2026PD00563</t>
  </si>
  <si>
    <t xml:space="preserve">	2026NE00208</t>
  </si>
  <si>
    <t>35260340712072000186550010000032131373564146</t>
  </si>
  <si>
    <t>2026-03-18 18:42:39</t>
  </si>
  <si>
    <t>-Oo1FskdlY28fKaAfj7D</t>
  </si>
  <si>
    <t>GELATINA ALIMENTÍCIA APRESENTAÇÃO: PÓ, SABOR: MORANGO</t>
  </si>
  <si>
    <t>HELIEZER TAILES MONTALVAO</t>
  </si>
  <si>
    <t>42600058CM</t>
  </si>
  <si>
    <t>2027-03-11</t>
  </si>
  <si>
    <t>2026PD00558</t>
  </si>
  <si>
    <t xml:space="preserve">	2026NE00207</t>
  </si>
  <si>
    <t>35260362953865000120550010000000641419674680</t>
  </si>
  <si>
    <t>2026-03-18 18:44:33</t>
  </si>
  <si>
    <t>-OoAGeLlYMfFoI9W6wql</t>
  </si>
  <si>
    <t>1085</t>
  </si>
  <si>
    <t>L17-03</t>
  </si>
  <si>
    <t xml:space="preserve">	2026PD00536</t>
  </si>
  <si>
    <t>2026NE0068</t>
  </si>
  <si>
    <t>35260360147761000100550010000010851474026827</t>
  </si>
  <si>
    <t>2026-03-20 12:44:35</t>
  </si>
  <si>
    <t>-OoAGeLlYMfFoI9W6wqm</t>
  </si>
  <si>
    <t>-OoAIaJswF039EjcWNCT</t>
  </si>
  <si>
    <t>20-03</t>
  </si>
  <si>
    <t>2026PD00517</t>
  </si>
  <si>
    <t>35260310517070000175550010000000071011400000</t>
  </si>
  <si>
    <t>2026-03-20 12:53:03</t>
  </si>
  <si>
    <t>-OoAIaJswF039EjcWNCU</t>
  </si>
  <si>
    <t>-OoAIaJswF039EjcWNCV</t>
  </si>
  <si>
    <t>-OoBW5qXKskiW-sG8u8_</t>
  </si>
  <si>
    <t>ACUCAR; CRISTAL</t>
  </si>
  <si>
    <t>REZLICIT COMÉRCIO DE ALIMENTOS LTDA</t>
  </si>
  <si>
    <t>329</t>
  </si>
  <si>
    <t>L260312</t>
  </si>
  <si>
    <t>2028-03-12</t>
  </si>
  <si>
    <t>2026PD00533</t>
  </si>
  <si>
    <t xml:space="preserve">	2026NE00145</t>
  </si>
  <si>
    <t>35260354703516000121550010000003291131629414</t>
  </si>
  <si>
    <t>2026-03-20 18:31:41</t>
  </si>
  <si>
    <t>-OoQ2nbpU33QOiNBRvJV</t>
  </si>
  <si>
    <t>2026-03-23 14:17:55</t>
  </si>
  <si>
    <t>-OoQ2nh-SHIynvuyGnVT</t>
  </si>
  <si>
    <t>2026-03-23 14:17:56</t>
  </si>
  <si>
    <t>-OoQ2nr_cd7ILm5v7RVK</t>
  </si>
  <si>
    <t>-OoQ4Ja5rWAWCzHUldlr</t>
  </si>
  <si>
    <t>344</t>
  </si>
  <si>
    <t>SAIDA_AVULSA</t>
  </si>
  <si>
    <t>2026-03-23 14:24:33</t>
  </si>
  <si>
    <t>-OoQ4JfLO09nEfLI_ief</t>
  </si>
  <si>
    <t>-OoQ4Jprb32lyE1rjiR8</t>
  </si>
  <si>
    <t>2026-03-23 14:24:34</t>
  </si>
  <si>
    <t>-OoQ4JuyyPvUVJHkqfmC</t>
  </si>
  <si>
    <t>-OoQ5pFSKA7mIYjP45Gw</t>
  </si>
  <si>
    <t>39</t>
  </si>
  <si>
    <t>lote 06/03/2026</t>
  </si>
  <si>
    <t>2026PD00493</t>
  </si>
  <si>
    <t>35260344187390000126550010000000391300000422</t>
  </si>
  <si>
    <t>2026-03-23 14:31:09</t>
  </si>
  <si>
    <t>-OoQ5vdCYP15rRsW8YcW</t>
  </si>
  <si>
    <t>152</t>
  </si>
  <si>
    <t>L06/03/2026</t>
  </si>
  <si>
    <t>35260308381828000149550010000001521000003049</t>
  </si>
  <si>
    <t>2026-03-23 14:31:35</t>
  </si>
  <si>
    <t>-OoQ5vikn8GeOKHWkKOD</t>
  </si>
  <si>
    <t>-OoQ5vtMj49B03OT68uA</t>
  </si>
  <si>
    <t>2026-03-23 14:31:36</t>
  </si>
  <si>
    <t>-OoQ5vynutCG1TAfSv92</t>
  </si>
  <si>
    <t>-OoQ7XOTnWc3aMhEHZHM</t>
  </si>
  <si>
    <t>2454</t>
  </si>
  <si>
    <t>090226</t>
  </si>
  <si>
    <t>2027-02-01</t>
  </si>
  <si>
    <t>2026PD00531</t>
  </si>
  <si>
    <t>41260324582776000125550020000024541891065902</t>
  </si>
  <si>
    <t>2026-03-23 14:38:35</t>
  </si>
  <si>
    <t>-OoQ7XOTnWc3aMhEHZHN</t>
  </si>
  <si>
    <t>13B2026</t>
  </si>
  <si>
    <t>2026-10-13</t>
  </si>
  <si>
    <t>-OoWL9cIYmhtqMBl_hGX</t>
  </si>
  <si>
    <t>TEMPERO TIPO: CALDO, APRESENTAÇÃO:PÓ, SABOR:GALINHA,</t>
  </si>
  <si>
    <t>MSP DOS SANTOS ARAÇATUBA LTDA</t>
  </si>
  <si>
    <t>1260</t>
  </si>
  <si>
    <t>L23/03/2026</t>
  </si>
  <si>
    <t>2027-03-23</t>
  </si>
  <si>
    <t xml:space="preserve">	2026PD00557</t>
  </si>
  <si>
    <t xml:space="preserve">	2026NE00191</t>
  </si>
  <si>
    <t>35260352561872000122550010000012601000013004</t>
  </si>
  <si>
    <t>2026-03-24 19:35:50</t>
  </si>
  <si>
    <t>-OoWL9cIYmhtqMBl_hGY</t>
  </si>
  <si>
    <t>TEMPERO TIPO: CALDO, APRESENTAÇÃO:PÓ, CARNE</t>
  </si>
  <si>
    <t>-OoWL9cIYmhtqMBl_hGZ</t>
  </si>
  <si>
    <t>FARINHA DE TRIGO GRUPO: DOMÉSTICO,TIPO: TIPO 1</t>
  </si>
  <si>
    <t>002/2026</t>
  </si>
  <si>
    <t>2026-11-01</t>
  </si>
  <si>
    <t>-OoWL9cIYmhtqMBl_hG_</t>
  </si>
  <si>
    <t>PÓ PUDIM SABOR: BAUNILHA</t>
  </si>
  <si>
    <t>026/40</t>
  </si>
  <si>
    <t>2027-02-04</t>
  </si>
  <si>
    <t>-Oo_sIi3HSOeEEYDsCiO</t>
  </si>
  <si>
    <t>4463</t>
  </si>
  <si>
    <t>L 190326</t>
  </si>
  <si>
    <t>2026PD00550</t>
  </si>
  <si>
    <t>35260343192676000137550010000044631622361065</t>
  </si>
  <si>
    <t>2026-03-25 16:43:30</t>
  </si>
  <si>
    <t>-OojZxh6XJwE_HflT0WZ</t>
  </si>
  <si>
    <t>8493</t>
  </si>
  <si>
    <t>L0503</t>
  </si>
  <si>
    <t>2026PD00560</t>
  </si>
  <si>
    <t>2026NE00209</t>
  </si>
  <si>
    <t>35260313386520000126550010000084931576959352</t>
  </si>
  <si>
    <t>2026-03-27 13:55:14</t>
  </si>
  <si>
    <t>-Oojh2dFq4O919Syhram</t>
  </si>
  <si>
    <t>353</t>
  </si>
  <si>
    <t>L26-03</t>
  </si>
  <si>
    <t>2026PD00554</t>
  </si>
  <si>
    <t>35260317130305000110550010000003531800052994</t>
  </si>
  <si>
    <t>2026-03-27 14:30:35</t>
  </si>
  <si>
    <t>-Oojh2dFq4O919Syhrap</t>
  </si>
  <si>
    <t>limão tahiti</t>
  </si>
  <si>
    <t>-Oojr7LGTloAFowupu5M</t>
  </si>
  <si>
    <t>MASSA DE TOMATE TIPO: MOLHO PRONTO</t>
  </si>
  <si>
    <t>90</t>
  </si>
  <si>
    <t>L 031225</t>
  </si>
  <si>
    <t>2026-12-03</t>
  </si>
  <si>
    <t xml:space="preserve">	2026PD00567</t>
  </si>
  <si>
    <t xml:space="preserve">	2026NE00213</t>
  </si>
  <si>
    <t>35260362953865000120550010000000901357874036</t>
  </si>
  <si>
    <t>2026-03-27 15:14:36</t>
  </si>
  <si>
    <t>-OoycOrM1Ghz2T8M-cw8</t>
  </si>
  <si>
    <t>9173</t>
  </si>
  <si>
    <t>L 05</t>
  </si>
  <si>
    <t xml:space="preserve">	2026PD00555</t>
  </si>
  <si>
    <t>35260312275456000143550010000091731979574642</t>
  </si>
  <si>
    <t>2026-03-30 12:04:32</t>
  </si>
  <si>
    <t>-OoydC9K5BquOVHWd1c1</t>
  </si>
  <si>
    <t>4481</t>
  </si>
  <si>
    <t>L 270326</t>
  </si>
  <si>
    <t>2026PD00556</t>
  </si>
  <si>
    <t>35260343192676000137550010000044811644161083</t>
  </si>
  <si>
    <t>2026-03-30 12:08:02</t>
  </si>
  <si>
    <t>-Ooyn3kC33jHZKvYUJXT</t>
  </si>
  <si>
    <t>CREME DE LEITETEORGORDURA</t>
  </si>
  <si>
    <t>2026-03-30 12:51:09</t>
  </si>
  <si>
    <t>-Op2kHg7GKJ131va23p8</t>
  </si>
  <si>
    <t>51219</t>
  </si>
  <si>
    <t>L170326</t>
  </si>
  <si>
    <t>2027-03-16</t>
  </si>
  <si>
    <t xml:space="preserve">	2026PD00566</t>
  </si>
  <si>
    <t>35260317088309000188550020000512191413177924</t>
  </si>
  <si>
    <t>2026-03-31 11:57:07</t>
  </si>
  <si>
    <t>-Op5OkaJHdTk4yEIeNP-</t>
  </si>
  <si>
    <t>078</t>
  </si>
  <si>
    <t>L18032026</t>
  </si>
  <si>
    <t>2026PD00668</t>
  </si>
  <si>
    <t>3526 0334 4849 3700 0100 5500 1000 0000 7810 3001 7094</t>
  </si>
  <si>
    <t>2026-04-01 00:17:33</t>
  </si>
  <si>
    <t>-Op5Opdan27XDdXlA9Jp</t>
  </si>
  <si>
    <t>084</t>
  </si>
  <si>
    <t>2026PD00669</t>
  </si>
  <si>
    <t>3526 0334 4849 3700 0100 5500 1000 0000 8410 3001 7091</t>
  </si>
  <si>
    <t>2026-04-01 00:17:54</t>
  </si>
  <si>
    <t>-Op5PFBBfftrMlu3mXkD</t>
  </si>
  <si>
    <t>2026-02-15</t>
  </si>
  <si>
    <t>L12022026</t>
  </si>
  <si>
    <t>2026-02-19</t>
  </si>
  <si>
    <t>35260208630513000198550010000000021000400001</t>
  </si>
  <si>
    <t>2026-04-01 00:19:43</t>
  </si>
  <si>
    <t>-Op5PFI5BGPfMOjxDQOU</t>
  </si>
  <si>
    <t>-Op5PFP5mpgH0I8eaUk-</t>
  </si>
  <si>
    <t>-Op5PFVHNRcpuPmse4aQ</t>
  </si>
  <si>
    <t>2026-04-01 00:19:44</t>
  </si>
  <si>
    <t>-Op5PFaKB1_D8HEbJDrd</t>
  </si>
  <si>
    <t>-Op5PFhHNbLiWONjGA1M</t>
  </si>
  <si>
    <t>2026-04-01 00:19:45</t>
  </si>
  <si>
    <t>-Op5PuLtc92EsjKHh3zg</t>
  </si>
  <si>
    <t>35260217130305000110550010000003441800052991</t>
  </si>
  <si>
    <t>2026-04-01 00:22:35</t>
  </si>
  <si>
    <t>-Op5PuUw7FTwDKz3s2Yl</t>
  </si>
  <si>
    <t>2026-04-01 00:22:36</t>
  </si>
  <si>
    <t>-Op5PuauOMscatbK7yUd</t>
  </si>
  <si>
    <t>-Op5PugTRyoJx_74c4pw</t>
  </si>
  <si>
    <t>2026-04-01 00:22:37</t>
  </si>
  <si>
    <t>-Op8Hn7MxnSmj3iso5WS</t>
  </si>
  <si>
    <t>2839</t>
  </si>
  <si>
    <t>L01-04-26</t>
  </si>
  <si>
    <t>0007-03-27</t>
  </si>
  <si>
    <t>2026PD00651</t>
  </si>
  <si>
    <t>35260354543018000169550010000028391254457586</t>
  </si>
  <si>
    <t>2026-04-01 13:45:57</t>
  </si>
  <si>
    <t>-OpXkN7q8N4ZnyxpnP5t</t>
  </si>
  <si>
    <t>542</t>
  </si>
  <si>
    <t>L06042026</t>
  </si>
  <si>
    <t>2026PD00655</t>
  </si>
  <si>
    <t>35260420672752000106550010000005421004330207</t>
  </si>
  <si>
    <t>2026-04-06 12:25:42</t>
  </si>
  <si>
    <t>-OpXllqDEqL3OIHGFmuL</t>
  </si>
  <si>
    <t>585</t>
  </si>
  <si>
    <t>2026PD00654</t>
  </si>
  <si>
    <t>2026NE00022</t>
  </si>
  <si>
    <t>35260417875886000110550010000005851810400216</t>
  </si>
  <si>
    <t>2026-04-06 12:31:49</t>
  </si>
  <si>
    <t>-OpXm0vD_Q7bLmcdd5V9</t>
  </si>
  <si>
    <t>878</t>
  </si>
  <si>
    <t>2026PD00653</t>
  </si>
  <si>
    <t>2026NE00023</t>
  </si>
  <si>
    <t>35260418107834000166550010000008781084008900</t>
  </si>
  <si>
    <t>2026-04-06 12:32:55</t>
  </si>
  <si>
    <t>-OpYlJVKysD4K3R0HC-5</t>
  </si>
  <si>
    <t>2026-04-06 17:09:28</t>
  </si>
  <si>
    <t>-OpYlJdnudxa7_-pZq5X</t>
  </si>
  <si>
    <t>-OpYlJnsW9wNO-Vl3Gr0</t>
  </si>
  <si>
    <t>2026-04-06 17:09:29</t>
  </si>
  <si>
    <t>-OpYlMrL4A8miDicjZ2a</t>
  </si>
  <si>
    <t>2026-04-06 17:09:42</t>
  </si>
  <si>
    <t>-OpYlRhDiLXk8a0qds0N</t>
  </si>
  <si>
    <t>2026-04-06 17:10:01</t>
  </si>
  <si>
    <t>-OpYlRok0vfwcRfNaQ49</t>
  </si>
  <si>
    <t>2026-04-06 17:10:02</t>
  </si>
  <si>
    <t>-OpYlRwXcKnY2vSjVL2C</t>
  </si>
  <si>
    <t>-OpYlYYjzluNC90F6zbS</t>
  </si>
  <si>
    <t>2026-04-06 17:10:30</t>
  </si>
  <si>
    <t>-OpYlYhWXOgVv3-ajOjI</t>
  </si>
  <si>
    <t>-OpYlYoGLQMb9YeCm3T9</t>
  </si>
  <si>
    <t>-OpYrdhTckt9P1CgbK_H</t>
  </si>
  <si>
    <t>4497</t>
  </si>
  <si>
    <t>300326</t>
  </si>
  <si>
    <t>2026PD00652</t>
  </si>
  <si>
    <t>2026NE00070</t>
  </si>
  <si>
    <t>35260443192676000137550010000044971654761141</t>
  </si>
  <si>
    <t>2026-04-06 17:37:05</t>
  </si>
  <si>
    <t>-Opr1FYnXrQp88KzWOBT</t>
  </si>
  <si>
    <t>1240</t>
  </si>
  <si>
    <t>L08042025</t>
  </si>
  <si>
    <t>2026PD00650</t>
  </si>
  <si>
    <t>35260460147761000100550010000012401950730275</t>
  </si>
  <si>
    <t>2026-04-10 10:56:13</t>
  </si>
  <si>
    <t>-Opr1FYnXrQp88KzWOBU</t>
  </si>
  <si>
    <t>L08042026</t>
  </si>
  <si>
    <t>-Opr4lIS7d5CxEuye2uk</t>
  </si>
  <si>
    <t>1245</t>
  </si>
  <si>
    <t>2026PD00649</t>
  </si>
  <si>
    <t>2026NE00068</t>
  </si>
  <si>
    <t>35260460147761000100550010000012451187593214</t>
  </si>
  <si>
    <t>2026-04-10 11:11:34</t>
  </si>
  <si>
    <t>-Opr4lIS7d5CxEuye2ul</t>
  </si>
  <si>
    <t>-Oq605TrQswhyunlYOrz</t>
  </si>
  <si>
    <t>EMBUTIDO TIPO: LINGUIÇA CALABRESA</t>
  </si>
  <si>
    <t>THAÍS ELIZANDRA GIBERTONI LTDA</t>
  </si>
  <si>
    <t>572</t>
  </si>
  <si>
    <t>L0804</t>
  </si>
  <si>
    <t>2026PD00680</t>
  </si>
  <si>
    <t xml:space="preserve">	2026NE00198</t>
  </si>
  <si>
    <t>35260415721949000158550010000005721630619010</t>
  </si>
  <si>
    <t>2026-04-13 13:25:05</t>
  </si>
  <si>
    <t>-Oq605TrQswhyunlYOs-</t>
  </si>
  <si>
    <t>FRIOS VARIEDADE: APRESUNTADO</t>
  </si>
  <si>
    <t>L0104</t>
  </si>
  <si>
    <t>-Oq605TrQswhyunlYOs0</t>
  </si>
  <si>
    <t>FRIOS VARIEDADE: MORTADELA</t>
  </si>
  <si>
    <t>-Oq63kGnUnPQfxtgUJEc</t>
  </si>
  <si>
    <t>50</t>
  </si>
  <si>
    <t>L17042026</t>
  </si>
  <si>
    <t>2026PD00695</t>
  </si>
  <si>
    <t>35260435957970000164550010000000501363204349</t>
  </si>
  <si>
    <t>2026-04-13 13:41:02</t>
  </si>
  <si>
    <t>-Oq63kGnUnPQfxtgUJEd</t>
  </si>
  <si>
    <t>-Oq63kGnUnPQfxtgUJEe</t>
  </si>
  <si>
    <t>-OqGTLmyxxYlQdQ1PbM5</t>
  </si>
  <si>
    <t>107</t>
  </si>
  <si>
    <t>2026PD00670</t>
  </si>
  <si>
    <t>35260447952921000118550010000001071402700211</t>
  </si>
  <si>
    <t>2026-04-15 14:09:07</t>
  </si>
  <si>
    <t>-OqGTLmyxxYlQdQ1PbM6</t>
  </si>
  <si>
    <t>-OqGTLmyxxYlQdQ1PbM7</t>
  </si>
  <si>
    <t>-OqGTLmyxxYlQdQ1PbM8</t>
  </si>
  <si>
    <t>-OqGTLmyxxYlQdQ1PbM9</t>
  </si>
  <si>
    <t>-OqGTLmyxxYlQdQ1PbMA</t>
  </si>
  <si>
    <t>-OqGTLmzVOctfi70aSeD</t>
  </si>
  <si>
    <t>-OqGTLmzVOctfi70aSeE</t>
  </si>
  <si>
    <t>-OqH7gg3U5O_KgvkoWf5</t>
  </si>
  <si>
    <t>43894</t>
  </si>
  <si>
    <t>150426</t>
  </si>
  <si>
    <t>35260404788913000175550010000438941000455275</t>
  </si>
  <si>
    <t>2026-04-15 17:14:06</t>
  </si>
  <si>
    <t>-OqH7gg4xv6ittgUXHtx</t>
  </si>
  <si>
    <t>-OqvogQX5tTRiXeGQLhs</t>
  </si>
  <si>
    <t>maça gala</t>
  </si>
  <si>
    <t>1339</t>
  </si>
  <si>
    <t>l22/04/2026</t>
  </si>
  <si>
    <t>2026PD00685</t>
  </si>
  <si>
    <t>35260460147761000100550010000013391555072206</t>
  </si>
  <si>
    <t>2026-04-23 19:31:47</t>
  </si>
  <si>
    <t>-OrUV11gexrIuaEkVLXn</t>
  </si>
  <si>
    <t>131</t>
  </si>
  <si>
    <t>2026PD00433</t>
  </si>
  <si>
    <t>2026-04-30 17:46:49</t>
  </si>
  <si>
    <t>-OrUXxPvlVURXFmtLtbT</t>
  </si>
  <si>
    <t>2026PD00455</t>
  </si>
  <si>
    <t>2026-04-30 17:59:36</t>
  </si>
  <si>
    <t>-OrUXxSdZkSra543WmVe</t>
  </si>
  <si>
    <t>2026-04-30 17:59:37</t>
  </si>
  <si>
    <t>-OrUYPTpkVAnmA10x6ch</t>
  </si>
  <si>
    <t>2026-01-31</t>
  </si>
  <si>
    <t>15609</t>
  </si>
  <si>
    <t>2026PD00438</t>
  </si>
  <si>
    <t>2026NE00044</t>
  </si>
  <si>
    <t>35260124744074000109550010000156091956741570</t>
  </si>
  <si>
    <t>2026-04-30 18:01:35</t>
  </si>
  <si>
    <t>-OrUZMCbplmfHjECXTli</t>
  </si>
  <si>
    <t>130</t>
  </si>
  <si>
    <t>2026PD00431</t>
  </si>
  <si>
    <t>2026-04-30 18:05:44</t>
  </si>
  <si>
    <t>-OrUZMFAcPLc6fMdqp3b</t>
  </si>
  <si>
    <t>-OrUZMHgYuan_230GuZ3</t>
  </si>
  <si>
    <t>-OrUa1H-YDNAaTWcGvxs</t>
  </si>
  <si>
    <t>2026-01-08</t>
  </si>
  <si>
    <t>41</t>
  </si>
  <si>
    <t>2026PD00334</t>
  </si>
  <si>
    <t>35260135957970000164550010000000411376421564</t>
  </si>
  <si>
    <t>2026-04-30 18:13:03</t>
  </si>
  <si>
    <t>-OrUa1JWa0vIjDck4ura</t>
  </si>
  <si>
    <t>-OrUgftpkXnSUNyZalNE</t>
  </si>
  <si>
    <t>3698</t>
  </si>
  <si>
    <t>2302</t>
  </si>
  <si>
    <t>2026-03-02</t>
  </si>
  <si>
    <t>2026PD00451</t>
  </si>
  <si>
    <t xml:space="preserve">	2026NE00042</t>
  </si>
  <si>
    <t>35260224201681000114550010000036981050002600</t>
  </si>
  <si>
    <t>2026-04-30 18:42:06</t>
  </si>
  <si>
    <t>-OrUhMQMI4r5piX6CWxw</t>
  </si>
  <si>
    <t>2026-04-30 18:45:04</t>
  </si>
  <si>
    <t>-OrUhh5GW7XeLZ0kMcWD</t>
  </si>
  <si>
    <t>LEITE PASTEURIZADO; INTEGRAL; COM TEOR DE  GORDURA MINIMO DE 3,0%; RESFRIADO;  TRANSPORTADO E CONSERVADO A TEMPERATURA  MAXIMA DE 7,0ºC; APRESENTADO COMO LIQUIDO  BRANCO OPALESCENTE HOMOGENEO E ODOR  CARACTERISTICO; NAO DEVE APRESENTAR SUBSTANCIAS  ESTRANHAS A SUA COMPOSICAO, COMO AGENTES  INIBIDORES DE CRESCIMENTO; NEUTRALIZANTES DA  ACIDEZ E RECONSTITUINTE DA DENSIDADE, E OUTRAS  NAO PERMITIDAS; EMBALAGEM PRIMARIA SACO  PLASTICO, ATOXICO E APROPRIADO AO PRODUTO; COM  VALIDADE MINIMA DE 04 DIAS NA DATA DA  ENTREGA; E SUAS CONDICOES DEVERAO ESTAR DE  ACORDO COM DECRETO 9.013/17, INSTRUCAO  NORMATIVA 76/18, INSTRUCAO NORMATIVA 77/18,  RDC 12/01, RDC 259/02; RDC 360/03 E ALTERACOES  POSTERIORES; PRODUTO SUJEITO A VERIFICACAO NO ATO  DA ENTREGA AOS PROCED. ADM. DETERMINADOS PELO  MAPA E ANVISA;</t>
  </si>
  <si>
    <t>3684</t>
  </si>
  <si>
    <t>2026PD00379</t>
  </si>
  <si>
    <t>2026-04-30 18:46:33</t>
  </si>
  <si>
    <t>-OreEr6m3nMHkeZBqbTb</t>
  </si>
  <si>
    <t>leite pasteurizado</t>
  </si>
  <si>
    <t>A6WG9KGOD</t>
  </si>
  <si>
    <t>2026-05-02 19:52:00</t>
  </si>
  <si>
    <t>-OrnpySfg-Vy-o0QSh2f</t>
  </si>
  <si>
    <t>suco de uva</t>
  </si>
  <si>
    <t>127</t>
  </si>
  <si>
    <t>2027-05-07</t>
  </si>
  <si>
    <t>20269D00728</t>
  </si>
  <si>
    <t xml:space="preserve">	2026NE00380</t>
  </si>
  <si>
    <t>35260462953865000120550010000001271228496480</t>
  </si>
  <si>
    <t>2026-05-04 16:35:06</t>
  </si>
  <si>
    <t>-OrnpyVA47mG_ACo0dTU</t>
  </si>
  <si>
    <t>suco de tangerina</t>
  </si>
  <si>
    <t>-OrnqlOYZ79D5PjfGOpj</t>
  </si>
  <si>
    <t>molho de tomate</t>
  </si>
  <si>
    <t>128</t>
  </si>
  <si>
    <t>LOTE</t>
  </si>
  <si>
    <t>2027-05-03</t>
  </si>
  <si>
    <t>2026PD00727</t>
  </si>
  <si>
    <t>2026NE00213</t>
  </si>
  <si>
    <t>35260462953865000120550010000001281207147042</t>
  </si>
  <si>
    <t>2026-05-04 16:38:34</t>
  </si>
  <si>
    <t>-OrnqlR2cXJ8SuBHYzKe</t>
  </si>
  <si>
    <t>achocolatado em pó</t>
  </si>
  <si>
    <t>LOTE:</t>
  </si>
  <si>
    <t>2026-05-04 16:38:35</t>
  </si>
  <si>
    <t>-OrnrMpi5aErfhul1Vmm</t>
  </si>
  <si>
    <t>creme de leite</t>
  </si>
  <si>
    <t>1327</t>
  </si>
  <si>
    <t>L03032026</t>
  </si>
  <si>
    <t>2027-03-03</t>
  </si>
  <si>
    <t>2026PD00726</t>
  </si>
  <si>
    <t>35260452561872000122550010000013271000013696</t>
  </si>
  <si>
    <t>2026-05-04 16:41:12</t>
  </si>
  <si>
    <t>-OrntW38N30RaQLpLwPP</t>
  </si>
  <si>
    <t>231</t>
  </si>
  <si>
    <t>2026PD00722</t>
  </si>
  <si>
    <t xml:space="preserve">	2026NE00065</t>
  </si>
  <si>
    <t>2026-05-04 16:50:34</t>
  </si>
  <si>
    <t>-Oro-aucX4OgZvUSMSnb</t>
  </si>
  <si>
    <t>pernil suino sem osso</t>
  </si>
  <si>
    <t>2890</t>
  </si>
  <si>
    <t>2026PD0000713</t>
  </si>
  <si>
    <t>2026NE00071</t>
  </si>
  <si>
    <t>35260454543018000169550010000028901787030773</t>
  </si>
  <si>
    <t>2026-05-04 17:21:33</t>
  </si>
  <si>
    <t>-Oro0ztoiGAawEpug5HS</t>
  </si>
  <si>
    <t>335</t>
  </si>
  <si>
    <t>2026PD00712</t>
  </si>
  <si>
    <t>35260408103614000100550010000003351290001388</t>
  </si>
  <si>
    <t>2026-05-04 17:27:37</t>
  </si>
  <si>
    <t>-Oro2HunFab-L0WSdCfZ</t>
  </si>
  <si>
    <t>360</t>
  </si>
  <si>
    <t>26062026</t>
  </si>
  <si>
    <t>2026-07-12</t>
  </si>
  <si>
    <t>2026PD00700</t>
  </si>
  <si>
    <t>2026NE00063</t>
  </si>
  <si>
    <t>35260417130305000110550010000003601070000164</t>
  </si>
  <si>
    <t>2026-05-04 17:33:17</t>
  </si>
  <si>
    <t>-Oro2I1HM11-ZBQJuicI</t>
  </si>
  <si>
    <t>2026-05-04 17:33:18</t>
  </si>
  <si>
    <t>-Oro3Yk2Fd5qqEsygCEI</t>
  </si>
  <si>
    <t>35260412275456000143550010000093701709872376</t>
  </si>
  <si>
    <t>2026-05-04 17:38:49</t>
  </si>
  <si>
    <t>-Oro4377BwjOB3kBArJ-</t>
  </si>
  <si>
    <t>9370</t>
  </si>
  <si>
    <t>2026PD00710</t>
  </si>
  <si>
    <t xml:space="preserve">	2026NE00041</t>
  </si>
  <si>
    <t>2026-05-04 17:41:01</t>
  </si>
  <si>
    <t>-Oro5Q9xr6CSaFNh8r3b</t>
  </si>
  <si>
    <t>OLEO DE SOJA</t>
  </si>
  <si>
    <t>3321</t>
  </si>
  <si>
    <t>525000166</t>
  </si>
  <si>
    <t>2027-02-11</t>
  </si>
  <si>
    <t>2026PD00703</t>
  </si>
  <si>
    <t>2026NE00381</t>
  </si>
  <si>
    <t>7896279600538</t>
  </si>
  <si>
    <t>2026-05-04 17:46:58</t>
  </si>
  <si>
    <t>-Oro6rov4d-DN8vvzlOj</t>
  </si>
  <si>
    <t>187</t>
  </si>
  <si>
    <t>2026PD00704</t>
  </si>
  <si>
    <t>35260409372299000180550010000001871300000545</t>
  </si>
  <si>
    <t>2026-05-04 17:53:17</t>
  </si>
  <si>
    <t>-Oro6rrQpKxDINhZIpp1</t>
  </si>
  <si>
    <t>-Oro9tTyuab4Ibpl2YAA</t>
  </si>
  <si>
    <t>PALETA BOV. S/ MUSCULO</t>
  </si>
  <si>
    <t>4553</t>
  </si>
  <si>
    <t>2026PD00706</t>
  </si>
  <si>
    <t>35260443192676000137550010000045531713361397</t>
  </si>
  <si>
    <t>2026-05-04 18:06:30</t>
  </si>
  <si>
    <t>-Oro9tWTpvY4idx53JiO</t>
  </si>
  <si>
    <t>COXÃO DURO</t>
  </si>
  <si>
    <t>2026-05-04 18:06:31</t>
  </si>
  <si>
    <t>-OroAw_2Exlttl-YdK_b</t>
  </si>
  <si>
    <t>COUVE; MANTEIGA DE PRIMEIRA; PESO POR UNIDADE  MENOR QUE 580G; NA COR VERDE E NERVURA  BRANCO ESVERDEADA; O LOTE DEVERA APRESENTAR  HOMOGENEIDADE VISUAL DE TAMANHO; NAO  APRESENTAR OS DEFEITOS COMO: FERIMENTO E  PODRIDAO; DEVENDO SER ENTREGUE EM EMBALAGEM  SUB MULƟPLA DE 1,00 X1,20M; CONTER  IDENƟFICACAO DO PRODUTO, PESO LIQUIDO, NOME E  TELEFONE DO FORNECEDOR; E SUAS CONDICOES  DEVERAO ESTAR DE ACORDO COM A INSTRUCAO  NORMAƟVA CONJUUNTA 09/02,(SARC, ANVISA,  INMETRO), RDC 12/01 E ALTERACOES POSTERIORES;  PRODUTO SUJEITO A VERIFICACAO NO ATO DA ENTREGA  AOS PROC.ADMINISTRAƟVOS DETERMINADOS PELA  ANVISA; DEVENDO OBEDECER AS INFORMACOES  CONƟDAS EM NORMAS E PADROES DO SITE BEC.SP. GOV.BR</t>
  </si>
  <si>
    <t>100426</t>
  </si>
  <si>
    <t>2026PD00662</t>
  </si>
  <si>
    <t xml:space="preserve">	2026NE00189</t>
  </si>
  <si>
    <t>35260444187390000126550010000000411300000459</t>
  </si>
  <si>
    <t>2026-05-04 18:11:05</t>
  </si>
  <si>
    <t>-OroAwbXAXxy2MsCpNLs</t>
  </si>
  <si>
    <t>ESCAROLA; EXTRA (TIPO 18), COM PESO UNITARIO  SUPERIOR A 500GRAMAS; COM FOLHAS VERDE-CLARAS  E O CENTRO VERDE-AMARELADO; DEVENDO O LOTE  APRESENTAR HOMOGENEIDADE VISUAL DETAMANHO E  COLORACAO; NÃO APRESENTAR DEFEITOS COMO  MURCHO, PODRIDAO OU APARENCIA AMARELADA;  DEVENDO SER ENTREGUE EM EMBALAGEM  SUBMULTIPLA DE 1,00X1,20M; CONTENDO  IDENTIFICACAO DO PRODUTO, PESO LIQUIDO, NOME E  TELEFONE DO FORNECEDOR; E SUAS CONDIÇÕES  DEVERAO ESTAR DE ACORDO COM A INSTRUÇÃO  NORMATIVA CONJUNTA 09/02 (SARC, ANVISA,  INMETRO), RDC 12/01 E ALTERACOES POSTERIORES;  PRODUTO SUJEITO A VERIFICACAO NO ATO DA ENTREGA  AOS PROCEDIMENTOS ADMIN. DETERMINADOS PELA  ANVISA. DEVENDO OBEDECER AS INFORMACOES  CONTIDAS EM NORMAS E PADROES DO SITE BEC.SP. GOV.BR;</t>
  </si>
  <si>
    <t>-OroFpXdU4RJhgAn4fiI</t>
  </si>
  <si>
    <t>FILE PEITO 1/2 S/SASSAMI</t>
  </si>
  <si>
    <t>210106</t>
  </si>
  <si>
    <t>2026PD00699</t>
  </si>
  <si>
    <t xml:space="preserve">	2026NE00143</t>
  </si>
  <si>
    <t>35260452657483000103550010002101061350261393</t>
  </si>
  <si>
    <t>2026-05-04 18:32:27</t>
  </si>
  <si>
    <t>-OroFp_7l6IFroR3VyTu</t>
  </si>
  <si>
    <t xml:space="preserve">CUPIM RED </t>
  </si>
  <si>
    <t>151323</t>
  </si>
  <si>
    <t>2027-04-10</t>
  </si>
  <si>
    <t>-OroFpbikDO4WMCA95Jw</t>
  </si>
  <si>
    <t>BACON PAPADA SUINO</t>
  </si>
  <si>
    <t>-OroFpeClA9UkDifEqKr</t>
  </si>
  <si>
    <t xml:space="preserve">BACON PAPADA </t>
  </si>
  <si>
    <t>2026-05-04 18:32:28</t>
  </si>
  <si>
    <t>-OroFpghQ4rW_88yzIvb</t>
  </si>
  <si>
    <t>MUSSARELA IMPERADOR</t>
  </si>
  <si>
    <t>-OroFpjBYc4tA6s4dtTw</t>
  </si>
  <si>
    <t>-OroIfZ6vVTiQhCJ4LMv</t>
  </si>
  <si>
    <t>OVOS TIPO GRANDE BRANCO A GRANEL</t>
  </si>
  <si>
    <t>43952</t>
  </si>
  <si>
    <t>2026PD00697</t>
  </si>
  <si>
    <t>35260404788913000175550010000439521000455874</t>
  </si>
  <si>
    <t>2026-05-04 18:44:53</t>
  </si>
  <si>
    <t>-OroKJ-r4IdbmmyxACpZ</t>
  </si>
  <si>
    <t>FERMENTO GRAN SECO</t>
  </si>
  <si>
    <t>4618</t>
  </si>
  <si>
    <t>2026PD00696</t>
  </si>
  <si>
    <t>35260400840591000105550010000046181000000810</t>
  </si>
  <si>
    <t>2026-05-04 18:52:01</t>
  </si>
  <si>
    <t>-OroKJ2LcZCpqRY-x-_E</t>
  </si>
  <si>
    <t>BISACOITO DOCE TIPO MARIA</t>
  </si>
  <si>
    <t>-OroKJ4qglBrtpYIzuhE</t>
  </si>
  <si>
    <t>FERMENTO EM PÓ</t>
  </si>
  <si>
    <t>3S588</t>
  </si>
  <si>
    <t>2027-06-20</t>
  </si>
  <si>
    <t>-OroQ5evbmMuF3obI3Ni</t>
  </si>
  <si>
    <t>108</t>
  </si>
  <si>
    <t>2026PD00692</t>
  </si>
  <si>
    <t>35260434484937000100550010000001081200600563</t>
  </si>
  <si>
    <t>2026-05-04 19:17:19</t>
  </si>
  <si>
    <t>-OroQ5jmyvdHKobhPUIe</t>
  </si>
  <si>
    <t>BETERRABA</t>
  </si>
  <si>
    <t>-OroQ5mGK4VH18VY1-v2</t>
  </si>
  <si>
    <t>-OroQ5olqWSKvaJquj1D</t>
  </si>
  <si>
    <t>-OroQ5rJQP72oS-N8rWw</t>
  </si>
  <si>
    <t>PEPINO</t>
  </si>
  <si>
    <t>2026-05-04 19:17:20</t>
  </si>
  <si>
    <t>-OroQ5tndllKvMKKBL4t</t>
  </si>
  <si>
    <t>BATATA ROSA</t>
  </si>
  <si>
    <t>-OroQ5wJ7fRLx4MxVfw7</t>
  </si>
  <si>
    <t>COUVE MANTEGA</t>
  </si>
  <si>
    <t>-OroR0IonPEwCoH5mQZE</t>
  </si>
  <si>
    <t>CALABRESA</t>
  </si>
  <si>
    <t>583</t>
  </si>
  <si>
    <t>0804</t>
  </si>
  <si>
    <t>2026PD00691</t>
  </si>
  <si>
    <t>35260415721949000158550010000005831068410609</t>
  </si>
  <si>
    <t>2026-05-04 19:21:19</t>
  </si>
  <si>
    <t>-OroR0LJCFjtlqnJ8t77</t>
  </si>
  <si>
    <t>APRESUNTADO</t>
  </si>
  <si>
    <t>2303</t>
  </si>
  <si>
    <t>-OroR0NpMHbL_JMSWB7g</t>
  </si>
  <si>
    <t>MORTADELA</t>
  </si>
  <si>
    <t>-OroRon33ztglZw5FthI</t>
  </si>
  <si>
    <t>2026-04-21</t>
  </si>
  <si>
    <t>LINGUIÇA TOSCANA</t>
  </si>
  <si>
    <t>957</t>
  </si>
  <si>
    <t>2026PD00689</t>
  </si>
  <si>
    <t>2026NE00376</t>
  </si>
  <si>
    <t>3526045835685100015155001000009571000010985</t>
  </si>
  <si>
    <t>2026-05-04 19:24:50</t>
  </si>
  <si>
    <t>-OroSw-nGEO_5_VXAYSI</t>
  </si>
  <si>
    <t>CABOTIA</t>
  </si>
  <si>
    <t>21</t>
  </si>
  <si>
    <t>2026PD00688</t>
  </si>
  <si>
    <t xml:space="preserve">	2026NE00027</t>
  </si>
  <si>
    <t>35260427885120000170550010000000211300000262</t>
  </si>
  <si>
    <t>2026-05-04 19:29:41</t>
  </si>
  <si>
    <t>-OroTY-QJE5YP-cDDpYm</t>
  </si>
  <si>
    <t>MAÇÃ GALA</t>
  </si>
  <si>
    <t>1361</t>
  </si>
  <si>
    <t>2026PD00684</t>
  </si>
  <si>
    <t>35260460147761000100550010000013611125022824</t>
  </si>
  <si>
    <t>2026-05-04 19:32:21</t>
  </si>
  <si>
    <t>-OroTY1vmIPn7_Q0xXpn</t>
  </si>
  <si>
    <t>ALHO</t>
  </si>
  <si>
    <t>-OrxAEv7zK6YBy9oBaQ0</t>
  </si>
  <si>
    <t>46630</t>
  </si>
  <si>
    <t>2026PD00456</t>
  </si>
  <si>
    <t>2026-05-06 12:04:38</t>
  </si>
  <si>
    <t>-OrxAEy4_Ve3TWYliNdt</t>
  </si>
  <si>
    <t>-OrxIpzcB6GU25M18Hqv</t>
  </si>
  <si>
    <t>batata especial</t>
  </si>
  <si>
    <t>1362</t>
  </si>
  <si>
    <t>2026PD00686</t>
  </si>
  <si>
    <t>35260460147761000100550010000013621549409057</t>
  </si>
  <si>
    <t>2026-05-06 12:42:11</t>
  </si>
  <si>
    <t>-OrxIq1_yaq5oWNL69Qb</t>
  </si>
  <si>
    <t>-OrxK2rL4b6yOtFaTPlY</t>
  </si>
  <si>
    <t>batat especial</t>
  </si>
  <si>
    <t>1340</t>
  </si>
  <si>
    <t>35260460147761000100550010000013401941265781</t>
  </si>
  <si>
    <t>2026-05-06 12:47:30</t>
  </si>
  <si>
    <t>-OrxK2wqr8PxCoYVFMj-</t>
  </si>
  <si>
    <t>-OrxKXxBfwcKix3xjK_G</t>
  </si>
  <si>
    <t>couve</t>
  </si>
  <si>
    <t>106</t>
  </si>
  <si>
    <t>2026PD00681</t>
  </si>
  <si>
    <t>35260434484937000100550010000001061072490006</t>
  </si>
  <si>
    <t>2026-05-06 12:49:37</t>
  </si>
  <si>
    <t>-OrxODFUnx0TQmpnIKh8</t>
  </si>
  <si>
    <t>04R5TCIOR</t>
  </si>
  <si>
    <t>2026-05-06 13:05:41</t>
  </si>
  <si>
    <t>-OrxODIT1_AXF-lJFZ61</t>
  </si>
  <si>
    <t>NA4E6XTFB</t>
  </si>
  <si>
    <t>-OrxODLBHHWngCu3uX7V</t>
  </si>
  <si>
    <t>VI037569M</t>
  </si>
  <si>
    <t>-OrxPGbdJf6fD44Jas5A</t>
  </si>
  <si>
    <t>CALDO DE CARNE PCT DE 01 KG</t>
  </si>
  <si>
    <t>1292</t>
  </si>
  <si>
    <t>03032026</t>
  </si>
  <si>
    <t>2026PD00679</t>
  </si>
  <si>
    <t>2026NE00191</t>
  </si>
  <si>
    <t>35260452561872000122550010000012921000013338</t>
  </si>
  <si>
    <t>2026-05-06 13:10:17</t>
  </si>
  <si>
    <t>-OrxPGef55V1x7ci6u5O</t>
  </si>
  <si>
    <t>CALDO DE GALINHA PCT DE 01 KG</t>
  </si>
  <si>
    <t>LOTE 002/2026</t>
  </si>
  <si>
    <t>-OrxPGhV7hcljhtBvbpb</t>
  </si>
  <si>
    <t>FARINHA DE TRICO PCT 1 KG</t>
  </si>
  <si>
    <t>-OrxPGkMvU8imgK2SFCQ</t>
  </si>
  <si>
    <t>PUDIM BAUNILHA KG</t>
  </si>
  <si>
    <t>260140</t>
  </si>
  <si>
    <t>-OrxRi_RoinW2ECBOhXF</t>
  </si>
  <si>
    <t>51253</t>
  </si>
  <si>
    <t>2026PD00672</t>
  </si>
  <si>
    <t>35260417088309000188550020000512531429659708</t>
  </si>
  <si>
    <t>2026-05-06 13:21:00</t>
  </si>
  <si>
    <t>-OrxRtSnh2c8KcJZKDNQ</t>
  </si>
  <si>
    <t>000000006</t>
  </si>
  <si>
    <t>2026PD00671</t>
  </si>
  <si>
    <t>35260408630513000198550010000000061000150206</t>
  </si>
  <si>
    <t>2026-05-06 13:21:44</t>
  </si>
  <si>
    <t>-OrxRtWdER5uP_HvsOKy</t>
  </si>
  <si>
    <t>2026-05-06 13:21:45</t>
  </si>
  <si>
    <t>-OrxRt_C8rnZImvHI5jQ</t>
  </si>
  <si>
    <t>-OrxRtceu4AxNhfG3PkC</t>
  </si>
  <si>
    <t>-OrxRtfxta6sH7thSK5F</t>
  </si>
  <si>
    <t>-OrxRtldvgHJsvrUM78l</t>
  </si>
  <si>
    <t>2026-05-06 13:21:46</t>
  </si>
  <si>
    <t>-OrxShU_U-WrtvhUVRMm</t>
  </si>
  <si>
    <t>3789</t>
  </si>
  <si>
    <t xml:space="preserve">	2026PD00667</t>
  </si>
  <si>
    <t>2026NE00042</t>
  </si>
  <si>
    <t>35260424201681000114550010000037891000747087</t>
  </si>
  <si>
    <t>2026-05-06 13:25:18</t>
  </si>
  <si>
    <t>-OrxSpJXWU-sco_5FOuE</t>
  </si>
  <si>
    <t>3787</t>
  </si>
  <si>
    <t>2026PD00666</t>
  </si>
  <si>
    <t>35260424201681000114550010000037871102300079</t>
  </si>
  <si>
    <t>2026-05-06 13:25:50</t>
  </si>
  <si>
    <t>-OrxTZaZWMZ2sSIaZru9</t>
  </si>
  <si>
    <t>3776</t>
  </si>
  <si>
    <t>2026PD00660</t>
  </si>
  <si>
    <t>35260424201681000114550010000037761050002605</t>
  </si>
  <si>
    <t>2026-05-06 13:29:03</t>
  </si>
  <si>
    <t>-OrxTiY3yIMqlTeSL4cX</t>
  </si>
  <si>
    <t>2026-05-06 13:29:44</t>
  </si>
  <si>
    <t>-OrxURiCzdGLchpQ-H-z</t>
  </si>
  <si>
    <t>100/26</t>
  </si>
  <si>
    <t>2026PD00656</t>
  </si>
  <si>
    <t>2026NE00047</t>
  </si>
  <si>
    <t>3526 0347 9529 2100 0118 5500 1000 0001 0013 0601 1031</t>
  </si>
  <si>
    <t>2026-05-06 13:32:53</t>
  </si>
  <si>
    <t>-OrxV5Z18iRMP4I0TkWH</t>
  </si>
  <si>
    <t>CHRISTOVAM</t>
  </si>
  <si>
    <t>2026PD00658</t>
  </si>
  <si>
    <t>2026NE00147</t>
  </si>
  <si>
    <t>35260309206039000134550010000001081300001082</t>
  </si>
  <si>
    <t>2026-05-06 13:35:44</t>
  </si>
  <si>
    <t>-OrxVDmdb0Y2EkP1JcPi</t>
  </si>
  <si>
    <t>3770</t>
  </si>
  <si>
    <t xml:space="preserve">	2026PD00659</t>
  </si>
  <si>
    <t>35260424201681000114550010000037701050002601</t>
  </si>
  <si>
    <t>2026-05-06 13:36:18</t>
  </si>
  <si>
    <t>-OrxVNai8D-ERKW0Zrgr</t>
  </si>
  <si>
    <t>3783</t>
  </si>
  <si>
    <t xml:space="preserve">	2026PD00661</t>
  </si>
  <si>
    <t>35260424201681000114550010000037831050002600</t>
  </si>
  <si>
    <t>2026-05-06 13:36:58</t>
  </si>
  <si>
    <t>-OrxVc1y2GlQpYSdlQT2</t>
  </si>
  <si>
    <t>NF 257</t>
  </si>
  <si>
    <t>2026PD00657</t>
  </si>
  <si>
    <t>35260408477476000120550010000002571000004495</t>
  </si>
  <si>
    <t>2026-05-06 13:38:02</t>
  </si>
  <si>
    <t>-OrxVc5LzQ12R6s7WKFf</t>
  </si>
  <si>
    <t>-OsR4tuPuu-0CooNAK58</t>
  </si>
  <si>
    <t>2026PD00378</t>
  </si>
  <si>
    <t>82LXJ4URN</t>
  </si>
  <si>
    <t>2026-05-12 12:09:30</t>
  </si>
  <si>
    <t>-OsR64kW0H88h9EpiOl2</t>
  </si>
  <si>
    <t>2026-02-26</t>
  </si>
  <si>
    <t>2026PD00448</t>
  </si>
  <si>
    <t>2026-05-12 12:14:40</t>
  </si>
  <si>
    <t>-OsR6lbspdpXCGy1laCX</t>
  </si>
  <si>
    <t>2026PD00442</t>
  </si>
  <si>
    <t>DY6LWLZ1D</t>
  </si>
  <si>
    <t>2026-05-12 12:17:40</t>
  </si>
  <si>
    <t>-OsR88rZysZbyPfujVD6</t>
  </si>
  <si>
    <t>leite pasteurizado.</t>
  </si>
  <si>
    <t>2026PD00429</t>
  </si>
  <si>
    <t>2026-05-12 12:23:42</t>
  </si>
  <si>
    <t>-OsR9SRTT4c-Erbe3buc</t>
  </si>
  <si>
    <t>2026PD00357</t>
  </si>
  <si>
    <t>NK5NTCZXH</t>
  </si>
  <si>
    <t>2026-05-12 12:29:24</t>
  </si>
  <si>
    <t>-OsR9hp8Tqsm1CIDy899</t>
  </si>
  <si>
    <t>2026PD00355</t>
  </si>
  <si>
    <t>FHDRGH57W</t>
  </si>
  <si>
    <t>2026-05-12 12:30:31</t>
  </si>
  <si>
    <t>-OsR9v96topuNJdRi6P7</t>
  </si>
  <si>
    <t>2026-01-26</t>
  </si>
  <si>
    <t>2026PD00356</t>
  </si>
  <si>
    <t>HEKCBD6G5</t>
  </si>
  <si>
    <t>2026-05-12 12:31:26</t>
  </si>
  <si>
    <t>-OsRAXd08tkOXAiUKnu2</t>
  </si>
  <si>
    <t>2026PD00351</t>
  </si>
  <si>
    <t>2026-05-12 12:34:07</t>
  </si>
  <si>
    <t>-OsS6C4QQBZBLyfztNW1</t>
  </si>
  <si>
    <t xml:space="preserve">	2026PD00350</t>
  </si>
  <si>
    <t>2026-05-12 16:54:47</t>
  </si>
  <si>
    <t>-OsS6QrPkyJQSH121vAZ</t>
  </si>
  <si>
    <t>leite pasreurizado</t>
  </si>
  <si>
    <t>9024</t>
  </si>
  <si>
    <t>2026PD00449</t>
  </si>
  <si>
    <t>35230212275456000143550010000090241615772797</t>
  </si>
  <si>
    <t>2026-05-12 16:55:48</t>
  </si>
  <si>
    <t>-OsS7Ju33n2lWcx940Ip</t>
  </si>
  <si>
    <t>2026-05-12 16:59:42</t>
  </si>
  <si>
    <t>-OsSDNYQ5xYiOTDW7Yns</t>
  </si>
  <si>
    <t>2026PD00443</t>
  </si>
  <si>
    <t xml:space="preserve">	2026NE00040</t>
  </si>
  <si>
    <t>35260210517070000175550010000000051011400001</t>
  </si>
  <si>
    <t>2026-05-12 17:26:09</t>
  </si>
  <si>
    <t>-OsSDN_tLTvsjNBeF2_-</t>
  </si>
  <si>
    <t>2026-05-12 17:26:10</t>
  </si>
  <si>
    <t>-OsSDNcL7nEdSI8_or36</t>
  </si>
  <si>
    <t>-OsSFo2pHlJS1BVGYC6l</t>
  </si>
  <si>
    <t>333</t>
  </si>
  <si>
    <t>2026PD00453</t>
  </si>
  <si>
    <t>2026-05-12 17:36:48</t>
  </si>
  <si>
    <t>-OsSFo5NoJh1ndNOCVuV</t>
  </si>
  <si>
    <t>-OsSFo7rJteV1G1o6FuN</t>
  </si>
  <si>
    <t>-OsSLMHwW7dLLDdhsoUj</t>
  </si>
  <si>
    <t>arroz branco quero tudo</t>
  </si>
  <si>
    <t>16824</t>
  </si>
  <si>
    <t>2026PD00849</t>
  </si>
  <si>
    <t>35260424744074000109550010000168241722139246</t>
  </si>
  <si>
    <t>2026-05-12 18:00:57</t>
  </si>
  <si>
    <t>-OsW0m7HI6JiI04fzzkG</t>
  </si>
  <si>
    <t>2026-05-13 11:09:36</t>
  </si>
  <si>
    <t>-OsW1uhl6OPEq79V5xEA</t>
  </si>
  <si>
    <t>2026-05-13 11:14:33</t>
  </si>
  <si>
    <t>-OsW446TQnFkhMrbIUn8</t>
  </si>
  <si>
    <t>2026pd00430</t>
  </si>
  <si>
    <t>2026-05-13 11:24:00</t>
  </si>
  <si>
    <t>-OsW4braVmUgAfH3ZQgf</t>
  </si>
  <si>
    <t>2026pd00358</t>
  </si>
  <si>
    <t>2026-05-13 11:26:22</t>
  </si>
  <si>
    <t>-OsW6Ihg3veyM8vp29_h</t>
  </si>
  <si>
    <t>2026pd0354</t>
  </si>
  <si>
    <t>2026-05-13 11:33:44</t>
  </si>
  <si>
    <t>-OsW6y2AsN9tciQFaEng</t>
  </si>
  <si>
    <t>2026pd00353</t>
  </si>
  <si>
    <t>2026-05-13 11:36:37</t>
  </si>
  <si>
    <t>-OsW7UwYtuwKXHhcG8yN</t>
  </si>
  <si>
    <t>2026-01-15</t>
  </si>
  <si>
    <t>2026pd00352</t>
  </si>
  <si>
    <t>2026-05-13 11:38:56</t>
  </si>
  <si>
    <t>-OsW9lFcRW2sMSU6roMp</t>
  </si>
  <si>
    <t>abobora japonesa</t>
  </si>
  <si>
    <t>2026-05-13 11:48:51</t>
  </si>
  <si>
    <t>-OsWBYySbLReis2YLwSC</t>
  </si>
  <si>
    <t>goiba vermelha</t>
  </si>
  <si>
    <t>2026-05-13 11:56:41</t>
  </si>
  <si>
    <t>-OsWEQwJPeneQ3kMm6En</t>
  </si>
  <si>
    <t>CENOURA; VARIEDADE NANTES; EXTRA A, COM  COMPRIMENTO UNITARIO ENTRE 160 E 200 MM;  CASCA C/ COLORACAO ALARANJADA ESCURA, TEXTURA  LISA; FORMATO CILINDRICO E CORACAO POUCO  EVIDENTE; O LOTE DEVERA APRESENTAR  HOMOGENEIDADE VISUAL DE TAMANHO E COLORACAO;  NAO APRESENTAR OS DEFEITOS PODRIDAO, DANO POR  PRAGA, MURCHO, FERIMENTO; OMBRO VERDE OU  ROXO, LENHOSO, DEFORMACAO GRAVE OU  QUEBRADO; DEVENDO SER ENTREGUE EM  EMBALAGEM SUB MULTIPLA DE 1,00 X 1,20M;  CONTENDO IDENTIFICACAO DO PRODUTO, PESO  LIQUIDO, NOME E TELEFONE DO FORNECEDOR; E SUAS  CONDICOES DEVERAO ESTAR DE ACORDO COM A  INSTRUCAO NORMATIVA CONJUNTA 09/02 (SARC,  ANVISA, INMETRO), RDC 12/01 E ALTERACOES  POSTERIORES; PRODUTO SUJEITO A VERIFICACAO NO ATO  DA ENTREGA AOS PROCEDIMENTOS ADM.  DETERMINADOS PELA ANVISA; OBEDECER AS  INFORMACOES CONTIDAS EM NORMAS E PADROES DO  SITE WWW.BEC.SP.GOV.BR;</t>
  </si>
  <si>
    <t>373</t>
  </si>
  <si>
    <t>lote 07052026</t>
  </si>
  <si>
    <t>2026PD00888</t>
  </si>
  <si>
    <t>2026NE00681</t>
  </si>
  <si>
    <t>35260517130305000110550010000003731010090045</t>
  </si>
  <si>
    <t>2026-05-13 12:09:09</t>
  </si>
  <si>
    <t>-OsWHD5f-RjJ9TCzKmWM</t>
  </si>
  <si>
    <t>2026-05-13 12:21:25</t>
  </si>
  <si>
    <t>-OsWHDR-1ZueSLTrRMEg</t>
  </si>
  <si>
    <t>repollho verde</t>
  </si>
  <si>
    <t>2026-05-13 12:21:26</t>
  </si>
  <si>
    <t>-OsWOrD8ZGF1aEGgYtyK</t>
  </si>
  <si>
    <t>leite fluido origem de vaca tipo a</t>
  </si>
  <si>
    <t>2026PD00454</t>
  </si>
  <si>
    <t xml:space="preserve">	2026NE00147</t>
  </si>
  <si>
    <t>2026-05-13 12:54:48</t>
  </si>
  <si>
    <t>-OsX-NTySVToD1CovWba</t>
  </si>
  <si>
    <t>06</t>
  </si>
  <si>
    <t>2026pd00721</t>
  </si>
  <si>
    <t xml:space="preserve">	2026NE00017</t>
  </si>
  <si>
    <t>35260456701918000112550010000000061182919636</t>
  </si>
  <si>
    <t>2026-05-13 15:43:06</t>
  </si>
  <si>
    <t>-OsX-OYavmk6hODVdsFc</t>
  </si>
  <si>
    <t>2026-05-13 15:43:10</t>
  </si>
  <si>
    <t>-OsX-PcVP6u7677TAQFj</t>
  </si>
  <si>
    <t>2026-05-13 15:43:14</t>
  </si>
  <si>
    <t>-OsX9tAYOirQFhxT3VHO</t>
  </si>
  <si>
    <t>ABOBRINHA</t>
  </si>
  <si>
    <t>011</t>
  </si>
  <si>
    <t>2026PD00718</t>
  </si>
  <si>
    <t>35260410517070000175550010000000111100501401</t>
  </si>
  <si>
    <t>2026-05-13 16:29:01</t>
  </si>
  <si>
    <t>-OsX9tKbHfvaKqhz0fFZ</t>
  </si>
  <si>
    <t>-OsX9tUcvbwWIHR7cDUD</t>
  </si>
  <si>
    <t>REPOLHO</t>
  </si>
  <si>
    <t>2026-05-13 16:29:02</t>
  </si>
  <si>
    <t>-OsXGxGZfVS5fBFCI8bA</t>
  </si>
  <si>
    <t>embutido tipo linguiça calabresa</t>
  </si>
  <si>
    <t>532</t>
  </si>
  <si>
    <t>2026PD00508</t>
  </si>
  <si>
    <t>35260215721949000158550010000005321000050040</t>
  </si>
  <si>
    <t>2026-05-13 16:59:53</t>
  </si>
  <si>
    <t>-OsXGxRatJJRLlig9yXt</t>
  </si>
  <si>
    <t>frios variedade apresuntado</t>
  </si>
  <si>
    <t>-OsXL-g5xD9flIfHbM_v</t>
  </si>
  <si>
    <t>CARNE DE AVE IN NATURA: PEITO DE FRANGO</t>
  </si>
  <si>
    <t>208.187</t>
  </si>
  <si>
    <t>2026PD00445</t>
  </si>
  <si>
    <t>35260252657483000103550010002081871199260765</t>
  </si>
  <si>
    <t>2026-05-13 17:17:35</t>
  </si>
  <si>
    <t>-OsXL-nT9MCB7a2VjsQx</t>
  </si>
  <si>
    <t>CARNE BOVINA: CUPIM</t>
  </si>
  <si>
    <t>2026-05-13 17:17:36</t>
  </si>
  <si>
    <t>-OsXL-uFq3PXIWf3JWmD</t>
  </si>
  <si>
    <t>QUEIJO ORIGEM DE VACA VARIEDADE MUÇARELA</t>
  </si>
  <si>
    <t>-OsXL009ScmPXLRCwfBz</t>
  </si>
  <si>
    <t>CARNE SALGADA TIPO CORTE TOUCINHO</t>
  </si>
  <si>
    <t>-OsXM1joGsMi-252mNr5</t>
  </si>
  <si>
    <t>HAMBURGUER CARNE BOVINA CONGELADO</t>
  </si>
  <si>
    <t>NAÇÕES DISTRIBUIDORA DE ALIMENTOS LTDA</t>
  </si>
  <si>
    <t>1655</t>
  </si>
  <si>
    <t>2026PD00561</t>
  </si>
  <si>
    <t xml:space="preserve">	2026NE00211</t>
  </si>
  <si>
    <t>35260353274780000124550010000016551193915932</t>
  </si>
  <si>
    <t>2026-05-13 17:22:06</t>
  </si>
  <si>
    <t>-OsaVJK4kEwE3dRGpk_0</t>
  </si>
  <si>
    <t>COUVE</t>
  </si>
  <si>
    <t>36</t>
  </si>
  <si>
    <t>35260144187390000126550010000000361300000385</t>
  </si>
  <si>
    <t>2026-05-14 12:41:05</t>
  </si>
  <si>
    <t>-Osb10cBXVbrT4zpS8PF</t>
  </si>
  <si>
    <t>4358</t>
  </si>
  <si>
    <t>2026PD00450</t>
  </si>
  <si>
    <t>35260243192676000137550010000043581516860801</t>
  </si>
  <si>
    <t>2026-05-14 15:08:22</t>
  </si>
  <si>
    <t>-Osb10jk3tMkK6z8xmh0</t>
  </si>
  <si>
    <t>PALETA BOVINA</t>
  </si>
  <si>
    <t>2026-05-14 15:08:23</t>
  </si>
  <si>
    <t>-OsbCdlIeMnE24RKPT2v</t>
  </si>
  <si>
    <t>217</t>
  </si>
  <si>
    <t xml:space="preserve">	2026PD00494</t>
  </si>
  <si>
    <t>35260244008927000143550010000002171300002095</t>
  </si>
  <si>
    <t>2026-05-14 15:59:10</t>
  </si>
  <si>
    <t>-OsbCe05Er413WzWs2t7</t>
  </si>
  <si>
    <t>2026-05-14 15:59:12</t>
  </si>
  <si>
    <t>-OsvvfVrrR75YnqPTKjC</t>
  </si>
  <si>
    <t>MANDIOCA; BRANCA, GRAUDA; UNIDADE COM  DIAMETRO MAIOR QUE 50 MM; COLORACAO DA  CASCA MARROM, TEXTURA SEMI RUGOSA,POLPA  BRANCA AMARELADA; O LOTE DEVERA APRESENTAR  HOMOGENEIDADE VISUAL DE TAMANHO E COLORACAO;  NAO APRESENTAR OS DEFEITOS COMO: PASSADO, ESCURECIDO E DEFORMACAO GRAVE; DEVENDO SER  ENTREGUE EM EMBALAGEM SUB MULTIPLA DE 1,00 X  1,20M; CONTENDO IDENTIFICACAO DO PRODUTO, PESO  LIQUIDO, NOME E TELEFONE DO FORNECEDOR;  INSTRUCAO NORMATIVA CONJUNTA 09/02 (SARC,  ANVISA,INMETRO)RDC 12/01 E ALTERACOES  POSTERIORES; PRODUTO SUJEITO A VERIFICACAO NO ATO  DA ENTREGA AOS PROCEDIMENTOS ADM.  DETERMINADOS PELA ANVISA; DEVENDO OBEDERCER  AS INFORMACOES CONTIDAS EM NORMAS E PADROES  DO SITE WWW.BEC.SP.GOV.BR;</t>
  </si>
  <si>
    <t>24</t>
  </si>
  <si>
    <t>lote12052026</t>
  </si>
  <si>
    <t>2026PD00885</t>
  </si>
  <si>
    <t>2026NE00665</t>
  </si>
  <si>
    <t>35260527885120000170550010000000241300000292</t>
  </si>
  <si>
    <t>2026-05-18 16:32:41</t>
  </si>
  <si>
    <t>-OsvvfVrrR75YnqPTKjD</t>
  </si>
  <si>
    <t>REPOLHO; VERDE, CABECA ARREDONDADA; PESO POR  UNIDADE VARIANDO DE 1,7 A 3,0KG; APRESENTANDO  COLORACAO DAS FOLHAS VERDE E TEXTURA LISA; O  LOTE DEVERA APRESENTAR HOMOGENEIDADE VISUAL  DE TAMANHO E COLORACAO; NAO APRESENTAR OS  DEFEITOS COMO: FERIMENTO, PODRIDAO, DANO POR  PRAGA; DEVENDO SER ENTREGUE EM EMBALAGEM  SUB MULTIPLA DE 1,00 X 1,20M (COM 16  UNIDADES); CONTENDO IDENTIFICACAO DO PRODUTO,  PESO LIQUIDO, NOME E TELEFONE DO FORNECEDOR; E  SUAS CONDICOES DEVERAO ESTAR DE ACORDO COM A  INSTRUCAO NORMATIVA CONJUNTA 09/02 (SARC,  ANVISA,INMETRO)RDC 12/01 E ALTERACOES  POSTERIORES; PRODUTO SUJEITO A VERIFICACAO NO ATO  DA ENTREGA AOS PROCEDIMENTOS ADM.  DETERMINADOS PELA ANVISA; OBEDECER AS  INFORMACOES CONTIDAS EM NORMAS E PADROES DO  SITE WWW.BEC.SP.GOV.BR</t>
  </si>
  <si>
    <t>-OsvvfVrrR75YnqPTKjE</t>
  </si>
  <si>
    <t>BETERRABA; EXTRA A (COM DIAMETRO ENTRE 50 E  90MM); FORMATO GLOBULAR; CASCA C/ COLORACAO  VERMELHO ARROXEADO; O LOTE DEVERA APRESENTAR  HOMOGENEIDADE VISUAL DE TAMANHO E COLORACAO;  NAO APRESENTAR OS DEFEITOS PODRIDAO, PASSADO,  MURCHO E FERIMENTO; DEVENDO SER ENTREGUE EM  EMBALAGEM SUB MULTIPLA DE 1,00X1,20M;  CONTENDO IDENTIFICACAO DO PRODUTO, PESO  LIQUIDO, NOME E TELEFONE DO FORNECEDOR; E SUAS  CONDICOES DEVERAO ESTAR DE ACORDO COM A  INSTRUCAO NORMATIVA CONJUNTA 09/02 (SARC,  ANVISA, INMETRO), RDC 12/01 E ALTERACOES  POSTERIORES; PRODUTO SUJEITO A VERIFICACAO NO ATO  DA ENTREGA AOS PROCEDIMENTOS ADM.  DETERMINADOS PELA ANVISA; OBEDECER AS  INFORMACOES CONTIDAS EM NORMAS E PADROES DO  SITE WWW.BEC.SP.GOV.BR;</t>
  </si>
  <si>
    <t>-Osw9CZCWuWgF8XtVcqd</t>
  </si>
  <si>
    <t>235</t>
  </si>
  <si>
    <t>2026PD00694</t>
  </si>
  <si>
    <t>2026NE00025</t>
  </si>
  <si>
    <t>35260419718296000109550010000002351000004701</t>
  </si>
  <si>
    <t>2026-05-18 17:36:10</t>
  </si>
  <si>
    <t>-OtEYLkckzxTkmLZZnHN</t>
  </si>
  <si>
    <t>LARANJA; PERA; COM DIAMETRO MAIOR QUE  71MM; FORMATO ESFERICO, CASCA C/ COLORACAO  VERDE ALARANJADA; TEXTURA LEVEMENTE ASPERA E  AUSENCIA DE UMBIGO; O LOTE DEVERA APRESENTAR  5 DE 10 10 HOMOGENEIDADE VISUAL DE TAMANHO E COLORACAO;  NAO APRESENTAR OS DEFEITOS PODRIDAO, DANO POR  PRAGA, FERIMENTO; MURCHO E IMATURO; DEVENDO  SER ENTREGUE EM EMBALAGEM SUB MULTIPLA DE  1,00X1,20M; CONTENDO IDENTIFICACAO DO PRODUTO,  PESO LIQUIDO, NOME E TELEFONE DO FORNECEDOR; E  SUAS CONDICOES DEVERAO ESTAR DE ACORDO COM A  INSTRUCAO NORMATIVA CONJUNTA 09/02 (SARC,  ANVISA, INMETRO), RDC 12/01 E ALTERACOES  POSTERIORES; PRODUTO SUJEITO A VERIFICACAO NO ATO  DA ENTREGA AOS PROCEDIMENTOS ADM.  DETERMINADOS PELA ANVISA; OBEDECER AS  INFORMACOES CONTIDAS EM NORMAS E PADROES DO  SITE WWW.BEC.SP.GOV.BR;</t>
  </si>
  <si>
    <t>277</t>
  </si>
  <si>
    <t>L-19052026</t>
  </si>
  <si>
    <t>2026PD00880</t>
  </si>
  <si>
    <t>2026NE00675</t>
  </si>
  <si>
    <t>35260508477476000120550010000002771000004840</t>
  </si>
  <si>
    <t>2026-05-22 11:58:49</t>
  </si>
  <si>
    <t>-OtEYTyEGqgmX6jx4-NO</t>
  </si>
  <si>
    <t>2026-05-22 11:59:23</t>
  </si>
  <si>
    <t>-OtEooio37d3wuNBg00J</t>
  </si>
  <si>
    <t>2026-05-22 13:15:09</t>
  </si>
  <si>
    <t>-OtEooio37d3wuNBg00K</t>
  </si>
  <si>
    <t>0000009275270</t>
  </si>
  <si>
    <t>-OtFdh8j1PgmYHInmroR</t>
  </si>
  <si>
    <t>IARA MENEZES DA SILVA</t>
  </si>
  <si>
    <t>L-17052026</t>
  </si>
  <si>
    <t>2026PD00883/84</t>
  </si>
  <si>
    <t>2026NE00674</t>
  </si>
  <si>
    <t>35260566769911000196550010000000011200400062</t>
  </si>
  <si>
    <t>2026-05-22 17:06:11</t>
  </si>
  <si>
    <t>-OtFm8zXlzaHpP7UqjKs</t>
  </si>
  <si>
    <t>ABOBORA; JAPONESA; COM PESO UNITARIO  VARIANDO DE 1 A 2 KG; FORMATO GLOBULAR  ACHATADO, CASCA GROSSA, RUGOSA E DE COLORACAO  VERDE ESCURA E POLPA AMARELO-INTENSO; DEVENDO  O LOTE APRESENTAR HOMOGENEIDADE VISUAL DE  TAMANHO E COLORACAO; NAO APRESENTAR OS  DEFEITOS FERIMENTO, MANCHADO OU PODRIDAO;  DEVENDO SER ENTREGUE EM EMBALAGEM  SUBMULTIPLA DE 1,00X1,20M; CONTENDO  IDENTIFICACAO DO PRODUTO, PESO LIQUIDO, NOME E  TELEFONE DO FORNECEDOR; E SUAS CONDICOES  DEVERAO ESTAR DE ACORDO COM A INSTRUCAO  NORMATIVA CONJUNTA 09/02 (SARC, ANVISA,  INMETRO), RDC 12/01 E ALTERACOES POSTERIORES;  PRODUTO SUJEITO A VERIFICACAO NO ATO DA ENTREGA  AOS PROCEDIMENTOS ADMIN. DETERMINADOS PELA  ANVISA; OBEDECER AS INFORMACOES CONTIDAS EM  NORMAS E PADROES DO SITE WWW.BEC.SP.GOV.BR;</t>
  </si>
  <si>
    <t>116</t>
  </si>
  <si>
    <t>lote190526</t>
  </si>
  <si>
    <t>2026PD00890</t>
  </si>
  <si>
    <t>2026NE00679</t>
  </si>
  <si>
    <t>35260547952921000118550010000001161000000552</t>
  </si>
  <si>
    <t>2026-05-22 17:43:06</t>
  </si>
  <si>
    <t>-OtFm9ATRnzIVhiPYRDw</t>
  </si>
  <si>
    <t>2026-05-22 17:43:07</t>
  </si>
  <si>
    <t>-OtFm9M3O2vC7NwlSjSZ</t>
  </si>
  <si>
    <t xml:space="preserve">lote190526 </t>
  </si>
  <si>
    <t>2026-05-22 17:43:08</t>
  </si>
  <si>
    <t>-OtFm9XsThIfPaCNgWIc</t>
  </si>
  <si>
    <t>BATATA DOCE; ROSADA; EXTRA AA (PESO UNITARIO  ENTRE 150 E 300G); CASCA C/ COLORACAO ROSADA;  POLPA C/ COLORACAO CREME; O LOTE DEVERA  APRESENTAR HOMOGENEIDADE VISUAL DE TAMANHO E  COLORACAO; NAO APRESENTAR OS DEFEITOS PODRIDAO,  DEFORMACAO GRAVE, DANO POR PRAGA,  ESVERDEAMENTO; MURCHO, PASSADO, QUEIMADO DE  SOL GRAVE, FERIMENTO, BROTADO; DEVENDO SER  ENTREGUE EM EMBALAGEM SUB MULTIPLA DE 1,00X1, 20M; CONTENDO IDENTIFICACAO DO PRODUTO, PESO  LIQUIDO, NOME E TELEFONE DO FORNECEDOR; E SUAS  CONDICOES DEVERAO ESTAR DE ACORDO COM A  INSTRUCAO NORMATIVA CONJUNTA 09/02 (SARC,  ANVISA, INMETRO), RDC 12/01 E ALTERACOES  POSTERIORES; PRODUTO SUJEITO A VERIFICACAO NO ATO  DA ENTREGA AOS PROCEDIMENTOS ADM.  DETERMINADOS PELA ANVISA; OBEDECER AS  INFORMACOES CONTIDAS EM NORMAS E PADROES DO  SITE WWW.BEC.SP.GOV.BR;</t>
  </si>
  <si>
    <t>-OtFm9iX_OSOqjKpeU3d</t>
  </si>
  <si>
    <t>2026-05-22 17:43:09</t>
  </si>
  <si>
    <t>-OtFm9uRk1478pgvadLy</t>
  </si>
  <si>
    <t>CHUCHU; VERDE CLARO; EXTRA A (PESO UNITARIO  ENTRE 250 E 450G); O LOTE DEVERA APRESENTAR  HOMOGENEIDADE VISUAL DE TAMANHO E COLORACAO;  NAO APRESENTAR OS DEFEITOS PODRIDAO, MURCHO,  PASSADO; DEFORMACAO GRAVE, FERIMENTO;  DEVENDO SER ENTREGUE EM EMBALAGEM SUB  MULTIPLA DE 1,00X1,20M; CONTENDO IDENTIFICACAO  DO PRODUTO, PESO LIQUIDO, NOME E TELEFONE DO  FORNECEDOR; E SUAS CONDICOES DEVERAO ESTAR DE  ACORDO COM A INSTRUCAO NORMATIVA CONJUNTA 09 /02 (SARC, ANVISA, INMETRO), RDC 12/01 E  ALTERACOES POSTERIORES; PRODUTO SUJEITO A  VERIFICACAO NO ATO DA ENTREGA AOS  PROCEDIMENTOS ADM. DETERMINADOS PELA ANVISA;  OBEDECER AS INFORMACOES CONTIDAS EM NORMAS E  PADROES DO SITE WWW.BEC.SP.GOV.BR;</t>
  </si>
  <si>
    <t>2026-05-22 17:43:10</t>
  </si>
  <si>
    <t>-OtFmA5W4vQv2MkNGU-2</t>
  </si>
  <si>
    <t>2026-05-22 17:43:11</t>
  </si>
  <si>
    <t>-OtFmAHXiaHVVsolLJel</t>
  </si>
  <si>
    <t>PEPINO; COMUM; EXTRA AA (COMPRIMENTO ENTRE  16 E 20CM); CASCA C/ COLORACAO VERDE ESCURA,  TEXTURA DA POLPA MACIA; O LOTE DEVERA  APRESENTAR HOMOGENEIDADE VISUAL DE TAMANHO E  COLORACAO; NAO APRESENTAR OS DEFEITOS PODRIDAO,  FERIMENTO, DEFORMACAO GRAVE; PASSADO, VIROSE,  MURCHO; DEVENDO SER ENTREGUE EM EMBALAGEM  SUB MULTIPLA DE 1,00X1,20M; CONTENDO  IDENTIFICACAO DO PRODUTO, PESO LIQUIDO, NOME E  TELEFONE DO FORNECEDOR; E SUAS CONDICOES  DEVERAO ESTAR DE ACORDO COM A INSTRUCAO  NORMATIVA CONJUNTA 09/02 (SARC, ANVISA,  INMETRO), RDC 12/01 E ALTERACOES POSTERIORES;  PRODUTO SUJEITO A VERIFICACAO NO ATO DA ENTREGA  AOS PROCEDIMENTOS ADM. DETERMINADOS PELA  ANVISA; OBEDECER AS INFORMACOES CONTIDAS EM  NORMAS E PADROES DO SITE WWW.BEC.SP.GOV.BR;</t>
  </si>
  <si>
    <t>-OtGGPu-s-unltr94bYY</t>
  </si>
  <si>
    <t>239</t>
  </si>
  <si>
    <t>L12052026</t>
  </si>
  <si>
    <t>2026PD00879</t>
  </si>
  <si>
    <t>2026NE00663</t>
  </si>
  <si>
    <t>35260519718296000109550010000002391000004780</t>
  </si>
  <si>
    <t>2026-05-22 19:59:42</t>
  </si>
  <si>
    <t>-OtGGPu-s-unltr94bYZ</t>
  </si>
  <si>
    <t>-OtGGPu-s-unltr94bY_</t>
  </si>
  <si>
    <t>-OtGGPu-s-unltr94bYa</t>
  </si>
  <si>
    <t>BANANA; NANICA DE SEGUNDA; COMPRIMENTO  MENOR QUE 20 CM E DIAMETRO MENOR QUE 35  MM; COLORACAO DA CASCA AMARELO ESVERDEADA,  ESPESSURA FINA E POLPA BRANCA CREME; O LOTE  DEVERA APRESENTAR HOMOGENEIDADE VISUAL DE  TAMANHO E COLORACAO; NAO APRESENTAR DEFEITOS  COMO: PASSADA, DANO POR PRAGA, PODRIDAO E  FERIMENTO EM MAIS QUE TRES DEDOS DA PENCA E;  DOIS DEDOS SE FOR BUQUE; DEVENDO SER ENTREGUE  EM EMBALAGEM SUB MULTIPLA DE 1,00 X 1,20M;  CONTENDO IDENTIFICACAO DO PRODUTO, PESO  LIQUIDO, NOME E TELEFONE DO FORNECEDOR; E SUAS  CONDICOES DEVERAO ESTAR DE ACORDO COM A  INSTRUCAO NORMATIVA CONJUNTA 09/02 (SARC,  ANVISA,INMETRO)RDC 12/01 E ALTERACOES  POSTERIORES; PRODUTO SUJEITO A VERIFICACAO NO ATO  DA ENTREGA AOS PROCEDIMENTOS ADMDETERMINADOS PELA ANVISA; DEVENDO OBEDECER  AS INFORMACOES CONTIDAS EM NORMAS E PADROES  DO SITE WWW.BEC.SP.GOV.BR;</t>
  </si>
  <si>
    <t>-OtIL8z9g4gvEPrzGXX2</t>
  </si>
  <si>
    <t xml:space="preserve">lote 12052026 </t>
  </si>
  <si>
    <t>2026-05-23 05:39:37</t>
  </si>
  <si>
    <t>-OtIM21YqArotY0wm76V</t>
  </si>
  <si>
    <t>162</t>
  </si>
  <si>
    <t>LOTE120526</t>
  </si>
  <si>
    <t>2026PD00886</t>
  </si>
  <si>
    <t>2026NE00666</t>
  </si>
  <si>
    <t>35260508381828000149550010000001621000003247</t>
  </si>
  <si>
    <t>2026-05-23 05:43:31</t>
  </si>
  <si>
    <t>-OtIMDZr9M1CLW40KiCf</t>
  </si>
  <si>
    <t>2026-05-23 05:44:18</t>
  </si>
  <si>
    <t>-OtIMTgytV2eKeL-q04r</t>
  </si>
  <si>
    <t>2026-05-23 05:45:24</t>
  </si>
  <si>
    <t>-OtIMTgz0v2OpTlefKGo</t>
  </si>
  <si>
    <t>-OtINZv9cgkzV46cmiUl</t>
  </si>
  <si>
    <t>l-17052026</t>
  </si>
  <si>
    <t>2026-05-23 05:50:12</t>
  </si>
  <si>
    <t>-OtINZv9cgkzV46cmiUm</t>
  </si>
  <si>
    <t>-OtINZvAibu_9ArSFmwH</t>
  </si>
  <si>
    <t>-OtIOFL1rV3s2tt3MVi4</t>
  </si>
  <si>
    <t>2026-05-23 05:53:10</t>
  </si>
  <si>
    <t>-OtIOFL1rV3s2tt3MVi5</t>
  </si>
  <si>
    <t>TOMATE; LONGA VIDA (ACHATADO); 3A/2A, COM  DIAMETRO EQUATORIAL MAIOR QUE 70MM; COM  GRAU DE MATURACAO MADURO; O LOTE DEVERA  APRESENTAR HOMOGENEIDADE VISUAL DE TAMANHO E  COLORACAO; NAO APRESENTAR OS DEFEITOS PODRIDAO,  PASSADO, VIROSE, DANO POR PRAGA, FERIMENTO,  QUEIMADO DE SOL GRAVE, IMATURO; DEVENDO SER  ENTREGUE EM EMBALAGEM SUB MULTIPLA DE 1,00 X  1,20M; CONTENDO IDENTIFICACAO DO PRODUTO, PESO  LIQUIDO, NOME E TELEFONE DO FORNECEDOR; E SUAS  CONDICOES DEVERAO ESTAR DE ACORDO COM A  INSTRUCAO NORMATIVA CONJUNTA 09/02 (SARC,  ANVISA,INMETRO), RDC 12/01 E ALTERACOES  POSTERIORES; PRODUTO SUJEITO A VERIFICACAO NO ATO  DA ENTREGA AOS PROCEDIMENTOS ADM.  DETERMINADOS PELA ANVISA; OBEDECER AS  INFORMACOES CONTIDAS EM NORMAS E PADROES DO  SITE WWW.BEC.SP.GOV.BR;</t>
  </si>
  <si>
    <t>-OtIOFL1rV3s2tt3MVi6</t>
  </si>
  <si>
    <t>-OtIOFL1rV3s2tt3MVi7</t>
  </si>
  <si>
    <t>-OtIOuXCRwldTXhGqJok</t>
  </si>
  <si>
    <t>2026-05-23 05:56:02</t>
  </si>
  <si>
    <t>-OtIOuXDBufqXhxKJ2Ob</t>
  </si>
  <si>
    <t>-OtIOuXLiUbo3u4gSiEX</t>
  </si>
  <si>
    <t>CEBOLA; GRUPO VARIETAL VERMELHO; MEDIA, COM  DIAMETRO EQUATORIAL ENTRE 51 E 70MM;  APRESENTANDO CASCA C/ COLORACAO VERMELHA E  POLPA C/ COLORACAO AMARELA; O LOTE DEVERA  APRESENTAR HOMOGENEIDADE VISUAL DE TAMANHO E  COLORACAO; NAO APRESENTAR OS DEFEITOS BROTADO,  FERIMENTO, PERDA DE CATAFILO INTERNO OU  PODRIDAO; DEVENDO SER ENTREGUE EM EMBALAGEM  SUB MULTIPLA DE 1,00 X 1,20M; CONTENDO  IDENTIFICACAO DO PRODUTO, PESO LIQUIDO, NOME E  TELEFONE DO FORNECEDOR; E SUAS CONDICOES  DEVERAO ESTAR DE ACORDO COM A INSTRUCAO  NORMATIVA CONJUNTA 09/02 (SARC, ANVISA,  INMETRO), RDC 12/01 E ALTERACOES POSTERIORES;  PRODUTO SUJEITO A VERIFICACAO NO ATO DA ENTREGA  AOS PROCEDIMENTOS ADM. DETERMINADOS PELA  ANVISA; OBEDECER AS INFORMACOES CONTIDAS EM  NORMAS E PADROES DO SITE WWW.BEC.SP.GOV.BR;</t>
  </si>
  <si>
    <t>-OtIOuXLiUbo3u4gSiEY</t>
  </si>
  <si>
    <t>-OtIP7tHVqrtYyHc1bMU</t>
  </si>
  <si>
    <t>2026-05-23 05:57:01</t>
  </si>
  <si>
    <t>-OtIQnLTg7UJPCCKsjiu</t>
  </si>
  <si>
    <t>MARCIA BENEDITA DE OLIVEIRA PEREIRA</t>
  </si>
  <si>
    <t>LOTE060526</t>
  </si>
  <si>
    <t>2026PD00889</t>
  </si>
  <si>
    <t>2026NE00678</t>
  </si>
  <si>
    <t>35260559532685000160550010000000391020100206</t>
  </si>
  <si>
    <t>2026-05-23 06:04:17</t>
  </si>
  <si>
    <t>-OtIQnLTg7UJPCCKsjiv</t>
  </si>
  <si>
    <t>-OtIQnLTg7UJPCCKsjiw</t>
  </si>
  <si>
    <t>-OtIQnLUo4F_ORBBGBlV</t>
  </si>
  <si>
    <t>-OtIQnLUo4F_ORBBGBlW</t>
  </si>
  <si>
    <t>-OtIQnLUo4F_ORBBGBlX</t>
  </si>
  <si>
    <t>-OtTv92J56hXWY2ZqhFf</t>
  </si>
  <si>
    <t>EVERTON THIAGO CHIAVELLI</t>
  </si>
  <si>
    <t>L22/05/2026</t>
  </si>
  <si>
    <t>2026PD00891</t>
  </si>
  <si>
    <t>2026NE00669</t>
  </si>
  <si>
    <t>35260537635494000190550010000006891000012056</t>
  </si>
  <si>
    <t>2026-05-25 11:37:07</t>
  </si>
  <si>
    <t>-OtTv92J56hXWY2ZqhFg</t>
  </si>
  <si>
    <t>-OtTvdg5Pky8YRd00j67</t>
  </si>
  <si>
    <t>608</t>
  </si>
  <si>
    <t>LOTE180526</t>
  </si>
  <si>
    <t>2026PD00887</t>
  </si>
  <si>
    <t>2026NE00664</t>
  </si>
  <si>
    <t>35260517875886000110550010000006081000900009</t>
  </si>
  <si>
    <t>2026-05-25 11:39:16</t>
  </si>
  <si>
    <t>-OtTvm_uiMeA6VGiJof0</t>
  </si>
  <si>
    <t>565</t>
  </si>
  <si>
    <t>LOTE170526</t>
  </si>
  <si>
    <t>2026PD00878</t>
  </si>
  <si>
    <t>2026NE00667</t>
  </si>
  <si>
    <t>35260520672752000106550010000005651020480011</t>
  </si>
  <si>
    <t>2026-05-25 11:39:53</t>
  </si>
  <si>
    <t>-OtTxXbWzNOVtMmnkJKP</t>
  </si>
  <si>
    <t>905</t>
  </si>
  <si>
    <t>lote180526</t>
  </si>
  <si>
    <t>2026PD00881</t>
  </si>
  <si>
    <t>2026NE00670</t>
  </si>
  <si>
    <t>35260518107834000166550010000009051000095140</t>
  </si>
  <si>
    <t>2026-05-25 11:47:32</t>
  </si>
  <si>
    <t>-OtU7GSgUTB-ny19ASA0</t>
  </si>
  <si>
    <t xml:space="preserve">PERNIL , APRESENTAÇÃO: PEÇA INTEIRA , PROCESSAMENTO: SEM OSSO, SEM PELE , ESTADO DE CONSERVAÇÃO: RESFRIADO(A)
</t>
  </si>
  <si>
    <t>NA TRANSPORTES E COMERCIO DE ALIMENTOS LTDA</t>
  </si>
  <si>
    <t>3998</t>
  </si>
  <si>
    <t>lote130526</t>
  </si>
  <si>
    <t>2026PD00865</t>
  </si>
  <si>
    <t>2026NE00402</t>
  </si>
  <si>
    <t>35260544441407000120550010000039981636083793</t>
  </si>
  <si>
    <t>2026-05-25 12:34:25</t>
  </si>
  <si>
    <t>-OtUElSDV276pFs0sMoY</t>
  </si>
  <si>
    <t>feijão carioca tipo 1</t>
  </si>
  <si>
    <t>35260405098638000120550010000216851961642284</t>
  </si>
  <si>
    <t>2026-05-25 13:07:11</t>
  </si>
  <si>
    <t>-OtUElq3AYBpK6JfvIyl</t>
  </si>
  <si>
    <t>feijão preto tipo 1</t>
  </si>
  <si>
    <t>2026-05-25 13:07:13</t>
  </si>
  <si>
    <t>-OtUF19Y6WYGK6edj8Jv</t>
  </si>
  <si>
    <t>S/N</t>
  </si>
  <si>
    <t>2026PD00665</t>
  </si>
  <si>
    <t>2026-05-25 13:08:19</t>
  </si>
  <si>
    <t>-OtUFN45cXulPwZtVLwL</t>
  </si>
  <si>
    <t>2026-05-25 13:09:49</t>
  </si>
  <si>
    <t>-OtUIjaoqz1bAUh4I1rC</t>
  </si>
  <si>
    <t>3798</t>
  </si>
  <si>
    <t>2026PD00678</t>
  </si>
  <si>
    <t>35260424201681000114550010000037981001809700</t>
  </si>
  <si>
    <t>2026-05-25 13:24:32</t>
  </si>
  <si>
    <t>-OtUIyJ6QAoklS2aYCxP</t>
  </si>
  <si>
    <t>158</t>
  </si>
  <si>
    <t>2026PD00693</t>
  </si>
  <si>
    <t>2026-05-25 13:25:32</t>
  </si>
  <si>
    <t>-OtUIyJ6QAoklS2aYCxQ</t>
  </si>
  <si>
    <t>-OtUIyJ6QAoklS2aYCxR</t>
  </si>
  <si>
    <t>-OtUIyJ6QAoklS2aYCxS</t>
  </si>
  <si>
    <t>-OtUJEj9NLaxqdmiuv52</t>
  </si>
  <si>
    <t>2026-05-25 13:26:44</t>
  </si>
  <si>
    <t>-OtUJEj9NLaxqdmiuv53</t>
  </si>
  <si>
    <t>-OtUK6YlBNlXAjRXj6oH</t>
  </si>
  <si>
    <t>3804</t>
  </si>
  <si>
    <t xml:space="preserve">	2026PD00676</t>
  </si>
  <si>
    <t>35260424201681000114550010000038041000000893</t>
  </si>
  <si>
    <t>2026-05-25 13:30:32</t>
  </si>
  <si>
    <t>-OtUKR_oZbkl_OXkmQlr</t>
  </si>
  <si>
    <t>3801</t>
  </si>
  <si>
    <t>2026PD00676</t>
  </si>
  <si>
    <t>35260424201681000114550010000038011066909812</t>
  </si>
  <si>
    <t>2026-05-25 13:31:58</t>
  </si>
  <si>
    <t>-OtUKYmZdoQdlEm6wyYy</t>
  </si>
  <si>
    <t>3823</t>
  </si>
  <si>
    <t>2026PD00677</t>
  </si>
  <si>
    <t>35260424201681000114550010000038231008002203</t>
  </si>
  <si>
    <t>2026-05-25 13:32:28</t>
  </si>
  <si>
    <t>-OtUN5Lol-OFQFJ9zfua</t>
  </si>
  <si>
    <t>3826</t>
  </si>
  <si>
    <t>2026PD00687</t>
  </si>
  <si>
    <t>35260424201681000114550010000038261506050635</t>
  </si>
  <si>
    <t>2026-05-25 13:43:34</t>
  </si>
  <si>
    <t>-OtUNQQES4gssMH2m0Th</t>
  </si>
  <si>
    <t>43</t>
  </si>
  <si>
    <t>2026PD00707</t>
  </si>
  <si>
    <t>35260444187390000126550010000000431300000470</t>
  </si>
  <si>
    <t>2026-05-25 13:45:00</t>
  </si>
  <si>
    <t>-OtUNQQES4gssMH2m0Ti</t>
  </si>
  <si>
    <t>-OtUORzNYkM13Z_YYNb-</t>
  </si>
  <si>
    <t>2026-05-25 13:49:29</t>
  </si>
  <si>
    <t>-OtUORzNYkM13Z_YYNb0</t>
  </si>
  <si>
    <t>-OtUORzNYkM13Z_YYNb1</t>
  </si>
  <si>
    <t>-OtUORzNYkM13Z_YYNb2</t>
  </si>
  <si>
    <t>-OtUPLic4JwJ37An7Fsc</t>
  </si>
  <si>
    <t>3830</t>
  </si>
  <si>
    <t>2026PD00698</t>
  </si>
  <si>
    <t>35260424201681000114550010000038301080504001</t>
  </si>
  <si>
    <t>2026-05-25 13:53:25</t>
  </si>
  <si>
    <t>-OtV3ntg7NwDXeiTh1hW</t>
  </si>
  <si>
    <t>2026-05-25 16:58:54</t>
  </si>
  <si>
    <t>-OtV3ntg7NwDXeiTh1hX</t>
  </si>
  <si>
    <t>-OtV4qXYFUnXTZTnUDlz</t>
  </si>
  <si>
    <t>008</t>
  </si>
  <si>
    <t>2026PD00702</t>
  </si>
  <si>
    <t>35260408499693000200550010000000081163524123</t>
  </si>
  <si>
    <t>2026-05-25 17:03:27</t>
  </si>
  <si>
    <t>-OtV4qXYFUnXTZTnUDm-</t>
  </si>
  <si>
    <t>-OtV5rYXPYNRS3X90UpR</t>
  </si>
  <si>
    <t>017</t>
  </si>
  <si>
    <t>2026PD00701</t>
  </si>
  <si>
    <t>2026NE00016</t>
  </si>
  <si>
    <t>35260410274255000104550010000000171298769931</t>
  </si>
  <si>
    <t>2026-05-25 17:07:53</t>
  </si>
  <si>
    <t>-OtV5rYXPYNRS3X90UpS</t>
  </si>
  <si>
    <t>-OtV6Adgn8pyEUkabUim</t>
  </si>
  <si>
    <t>3837</t>
  </si>
  <si>
    <t>2026PD00709</t>
  </si>
  <si>
    <t>35260424201681000114550010000038371400020604</t>
  </si>
  <si>
    <t>2026-05-25 17:09:16</t>
  </si>
  <si>
    <t>-OtV6bkZ61_-3IAEFGb6</t>
  </si>
  <si>
    <t>2026-05-25 17:11:11</t>
  </si>
  <si>
    <t>-OtV6bk_BgT2OG7gYX9I</t>
  </si>
  <si>
    <t>-OtV855RQhkazjazK_BD</t>
  </si>
  <si>
    <t>35260444008927000143550010000002311300002245</t>
  </si>
  <si>
    <t>2026-05-25 17:17:37</t>
  </si>
  <si>
    <t>-OtV855RQhkazjazK_BE</t>
  </si>
  <si>
    <t>-OtZF1B2EV_1Aa2e3Y4U</t>
  </si>
  <si>
    <t xml:space="preserve">OVO GRANDE, PESANDO NO MINIMO 55 GRAMAS POR UN IDADE, ISENTO DE SUJIDADES,FUNGOS E SUBSTANCIAS TOXICAS,
ACONDICIONADO EM EMB ALAGEM APROPRIADA, 15 DIAS DO SEU ACONDICIONAMENTO, E SUAS CONDICOES DEVERAO ESTAR DE ACORDO COM A RIISPOA/MA,RES.01
DE 05/07/9</t>
  </si>
  <si>
    <t>44130</t>
  </si>
  <si>
    <t>LOTE290426</t>
  </si>
  <si>
    <t>2026PD00872</t>
  </si>
  <si>
    <t>2026NE00658</t>
  </si>
  <si>
    <t>35260504788913000175550010000441301000457696</t>
  </si>
  <si>
    <t>2026-05-26 12:26:24</t>
  </si>
  <si>
    <t>-OtZF1B2EV_1Aa2e3Y4V</t>
  </si>
  <si>
    <t>OVO MEDIO; PESANDO NO MINIMO 50 GRAMAS POR UNIDADE; ISENTO DE SUJIDADES,FUNGOS E SUBSTANCIAS TOXICAS; ACONDICIONADO EM EMBALAGEM APROPRIADA; 15 DIAS DO SEU ACONDICIONAMENTO; E SUAS CONDICOES DEVERAO ESTAR DE ACORDO COM A RIISPOA /MA,RES.01 DE 05/07/91;</t>
  </si>
  <si>
    <t>-OtZOwMqGMjgIFhTslzy</t>
  </si>
  <si>
    <t>LEITE CONDENSADO TIPO: INTEGRAL , INGREDIENTE,BÁSICO: LEITE IN NATURA , PRAZO VALIDADE MÍNIMO: 12 MESES</t>
  </si>
  <si>
    <t>LGP DE CASTRO - EIRELLI- ME</t>
  </si>
  <si>
    <t>26059</t>
  </si>
  <si>
    <t>lp28036</t>
  </si>
  <si>
    <t>2026-09-28</t>
  </si>
  <si>
    <t>2026PD00892</t>
  </si>
  <si>
    <t>2026NE00680</t>
  </si>
  <si>
    <t>35170918713218000159550010000002461000005800</t>
  </si>
  <si>
    <t>2026-05-26 13:09:42</t>
  </si>
  <si>
    <t>-OtZOwMqGMjgIFhTslzz</t>
  </si>
  <si>
    <t>CREME DE LEITETEOR GORDURA: ATÉ20%DE GORDURA,PROCESSAMENTO: UHT, TRATAMENTO:HOMOGENEIZADO.</t>
  </si>
  <si>
    <t>l6001aa</t>
  </si>
  <si>
    <t>-OtZOwMqGMjgIFhTsm--</t>
  </si>
  <si>
    <t>VINAGRE MATÉRIA-PRIMA: VINHO TINTO, TIPO: NEUTRO,ACIDEZ: 4 PER, ASPECTO FÍSICO: LÍQUIDO, ASPECTO VISUAL: LÍMPIDO E SEM DEPÓSITOS</t>
  </si>
  <si>
    <t>l26234</t>
  </si>
  <si>
    <t>2027-10-21</t>
  </si>
  <si>
    <t>-OtZOwMqGMjgIFhTsm-0</t>
  </si>
  <si>
    <t xml:space="preserve">VINAGRE; DE VINHO BRANCO; COMPOSTO DEFERMENTADO ACETICO DE VINHO BRANCO, AGUA E CONSERVANTE; COM ACIDEZ VOLATIL MINIMA DE 4%;ISENTO DE SUJIDADES E  OUTROSMATERIAISESTRANHOS;EMBALAGEM PRIMARIA HERMETICAMENTE FECHADA E
ATOXICA; COM VALIDADE MINIMA DE 10 MESES NADATA DA ENTREGA; E SUAS CONDICOES DEVERAO ESTAR DE ACORDO COM A INSTRUCAO NORMATIVA 55/02,DECRETO 6.871/09, RDC 259/02 E ALTERACOES POSTERIORES; PRODUTO SUJEITO A VERIFICACAO NO ATODA ENTREGA AOS PROCED. ADM.DETERMINADOS PELO MAPA E ANVISA</t>
  </si>
  <si>
    <t>-OtZOwMqGMjgIFhTsm-1</t>
  </si>
  <si>
    <t>MOLHO DE MESA TIPO: MAIONESE, COMPOSIÇÃO:TRADICIONAL,APRESENTAÇÃO: CREME</t>
  </si>
  <si>
    <t>l260320</t>
  </si>
  <si>
    <t>2027-03-01</t>
  </si>
  <si>
    <t>-OtZR5P2zwbmUKypBU_B</t>
  </si>
  <si>
    <t>filé de peite congelado</t>
  </si>
  <si>
    <t>8568</t>
  </si>
  <si>
    <t>2026PD00861</t>
  </si>
  <si>
    <t>2026NE00383</t>
  </si>
  <si>
    <t>35260413386520000126550010000085681712701265</t>
  </si>
  <si>
    <t>2026-05-26 13:19:07</t>
  </si>
  <si>
    <t>-OtZRqP01S0Ig8MFphD3</t>
  </si>
  <si>
    <t>hamburguer bovino</t>
  </si>
  <si>
    <t>1722</t>
  </si>
  <si>
    <t>2026PD00859</t>
  </si>
  <si>
    <t xml:space="preserve">	2026NE00384</t>
  </si>
  <si>
    <t>35260453274780000124550010000017221115574985</t>
  </si>
  <si>
    <t>2026-05-26 13:22:25</t>
  </si>
  <si>
    <t>-OtZSQRu55zqYH4x7Cki</t>
  </si>
  <si>
    <t>café torrado e moido 500kg</t>
  </si>
  <si>
    <t>CAFÉ RAINHA DA SERRA LTDA</t>
  </si>
  <si>
    <t>1189</t>
  </si>
  <si>
    <t>0776</t>
  </si>
  <si>
    <t>2027-07-24</t>
  </si>
  <si>
    <t>2026PD00860</t>
  </si>
  <si>
    <t xml:space="preserve">	2026NE00382</t>
  </si>
  <si>
    <t>35260434473095000182550010000011891133020008</t>
  </si>
  <si>
    <t>2026-05-26 13:24:56</t>
  </si>
  <si>
    <t>-Ot_5su-jKzj84mNyaAz</t>
  </si>
  <si>
    <t>GORDURA VEGETAL TIPO: MARGARINA, SUBTIPO: CREMOSA, COMPOSIÇÃO BÁSICA: MÍNIMO DE 80% DE GORDURA, SABOR: COM SAL</t>
  </si>
  <si>
    <t>4814</t>
  </si>
  <si>
    <t>L 03146</t>
  </si>
  <si>
    <t>2027-01-20</t>
  </si>
  <si>
    <t>2026PD00871</t>
  </si>
  <si>
    <t>2026NE00659</t>
  </si>
  <si>
    <t>35260500840591000105550010000048141000001447</t>
  </si>
  <si>
    <t>2026-05-26 16:26:04</t>
  </si>
  <si>
    <t>-Ot_5su-jKzj84mNyaB-</t>
  </si>
  <si>
    <t>COLORIFICO, EM PO, OBTIDO DE SEMENTES DE ESPECIMES GENUINOS, COM COLORACAO VE RMELHO INTENSO, COM SABOR PROPRIO, ISENTO DE SUJIDADES E OUTROSMATERIAIS EST RANHOS, EMBALAGEM PRIMARIA SACO PLASTICO ATOXICO E LACRADO, EMBALAGEM SECUNDA RIA CAIXA DE PAPELAO REFORCADA, E SUAS CONDICOES DEVERAO ESTAR DE ACORDO COM A RDC 12/01, RDC 259/02, RDC 276/05, RDC 14/14 E ALTERACOES POSTERIORES, PROD UTO SUJEITO A VERIFICACAO NO ATO DA ENTREGA AOS PROCEDIMENTOS ADM. DETERMINAD OS PELA ANVISA, COM VALIDADE MINIMA DE 7 MESES NA DATA DA ENTREGA</t>
  </si>
  <si>
    <t>2028-05-06</t>
  </si>
  <si>
    <t>-Ot_b5S6S7E_ynZLftfM</t>
  </si>
  <si>
    <t>ALMÔNDEGAS, TIPO: BOVINO, SABOR: TEMPERADO, ESTADO DE CONSERVAÇÃO: CONGELADO(A)</t>
  </si>
  <si>
    <t>VAREJÃO DAS CARNES INDÚSTRIAS E COMÉRCIO DE PRODUTOS ALIMENTICIOS EIRELI</t>
  </si>
  <si>
    <t>1306</t>
  </si>
  <si>
    <t>LOTE150526</t>
  </si>
  <si>
    <t>2027-05-15</t>
  </si>
  <si>
    <t>2026PD00864</t>
  </si>
  <si>
    <t>2026NE00405</t>
  </si>
  <si>
    <t>35260529725258000137550010000013061901463125</t>
  </si>
  <si>
    <t>2026-05-26 18:46:48</t>
  </si>
  <si>
    <t>-Ot_tk7d-Ror_07q0tsN</t>
  </si>
  <si>
    <t>3885</t>
  </si>
  <si>
    <t>LOTE260526</t>
  </si>
  <si>
    <t xml:space="preserve">	2026PD00907</t>
  </si>
  <si>
    <t>2026NE00682</t>
  </si>
  <si>
    <t>3526 0524 2016 8100 0114 5500 1000 0038 8519 0700 0005</t>
  </si>
  <si>
    <t>2026-05-26 20:08:19</t>
  </si>
  <si>
    <t>-Otd5ubH5LeN4AcaJ1sk</t>
  </si>
  <si>
    <t>2026-05-27 11:04:41</t>
  </si>
  <si>
    <t>-Otd5ubH5LeN4AcaJ1sl</t>
  </si>
  <si>
    <t>-Otd61yGtgnLkbCB5dV9</t>
  </si>
  <si>
    <t>01/01/2026</t>
  </si>
  <si>
    <t>2026-01-01</t>
  </si>
  <si>
    <t>2026PD00328</t>
  </si>
  <si>
    <t>2026-05-27 11:05:15</t>
  </si>
  <si>
    <t>-Otd61yGtgnLkbCB5dVA</t>
  </si>
  <si>
    <t>0001-01-01</t>
  </si>
  <si>
    <t>-Otd68ANichjyA90Mc9H</t>
  </si>
  <si>
    <t>2026PD00327</t>
  </si>
  <si>
    <t>2026NE00015</t>
  </si>
  <si>
    <t>2026-05-27 11:05:40</t>
  </si>
  <si>
    <t>-Otd68ANichjyA90Mc9I</t>
  </si>
  <si>
    <t>-Otd6rT7CwPjjqLku05V</t>
  </si>
  <si>
    <t>139</t>
  </si>
  <si>
    <t>Lote 26-01-2026</t>
  </si>
  <si>
    <t>2026PD00335</t>
  </si>
  <si>
    <t xml:space="preserve">	2026NE00019</t>
  </si>
  <si>
    <t>2026-05-27 11:08:50</t>
  </si>
  <si>
    <t>-Otd7cWElwf6RWyiXeBX</t>
  </si>
  <si>
    <t xml:space="preserve">HAMBURGUER; CARNE BOVINA; CONGELADO; COMPOSTO DE CARNE BOVINA, AGUA, GORDURA BOVINA, SAL, CÂMARA NACIONAL DE MODELOS DE LICITAÇÕES E CONTRATOS DA CONSULTORIA-GERAL DA UNIÃO MODELO DE AQUISIÇÕES — ATUALIZAÇÃO: MAIO/2023 APROVADO PELA SECRETARIA DE GESTÃO E INOVAÇÃO 3 DE 10  PROTEINADE SOJA, ACUCAR, ESTABILIZANTE; ANTIOXIDANTE, ACIDULANTE E OUTROS
INGREDIENTES PERMITIDOS; TRANSPORTADO E CONSERVADO EM TEMPERATURA DE -12 ºC OU MAIS FRIO; PESANDO 120G CADA; EMBALAGEM PRIMARIA PLASTICA, ATOXICA E
TERMOSSOLDADA; COM VALIDADE MINIMA DE 05 MESES NA DATA DA ENTREGA; E SUAS CONDICOES DEVERAO ESTAR DE ACORDO COM RDC 724/22, IN 161/22 (ANVISA), RDC 727/22, RDC 360 /03; DECRETO 9.013/17, INSTRUCAO
NORMATIVA 20/00 (MAPA) E ALTERACOES POSTERIORES; PRODUTO SUJEITO A
VERIFICACAO NO ATO DA ENTREGA AOS PROCED. ADM. DETERMINADOS PELO MAPA E ANVISA;
</t>
  </si>
  <si>
    <t>RF FOODS DERIVADOS DE CARNE LTDA - ME</t>
  </si>
  <si>
    <t>7361</t>
  </si>
  <si>
    <t>LOTE160226</t>
  </si>
  <si>
    <t>2026PD00873</t>
  </si>
  <si>
    <t xml:space="preserve"> 2026NE00404</t>
  </si>
  <si>
    <t>35260520002779000191550010000073611092799900</t>
  </si>
  <si>
    <t>2026-05-27 11:12:11</t>
  </si>
  <si>
    <t>-Otd7qsEdKbu8T7pHrUd</t>
  </si>
  <si>
    <t xml:space="preserve">FILÉ DE PEITO ,APRESENTAÇÃO: FATIADO , ESTADO DECONSERVAÇÃO: RESFRIADO(A) , PROCESSAMENTO: SEM PELE,
SEM OSSO</t>
  </si>
  <si>
    <t>QUARTZO COBRANÇA E ALIMENTOS LTDA</t>
  </si>
  <si>
    <t>8244</t>
  </si>
  <si>
    <t>lote12052025</t>
  </si>
  <si>
    <t>2027-05-12</t>
  </si>
  <si>
    <t>2026PD00875</t>
  </si>
  <si>
    <t>2026NE00406</t>
  </si>
  <si>
    <t>35260541255020000190550010000082441225643439</t>
  </si>
  <si>
    <t>2026-05-27 11:13:10</t>
  </si>
  <si>
    <t>-OteHAijNWJPfIo0lwyv</t>
  </si>
  <si>
    <t>WALACE CAMINHAS RIBEIRO</t>
  </si>
  <si>
    <t>2026PD00877</t>
  </si>
  <si>
    <t>2026NE00668</t>
  </si>
  <si>
    <t>35260557093110000162550010000000171600050033</t>
  </si>
  <si>
    <t>2026-05-27 16:33:31</t>
  </si>
  <si>
    <t>-OteHAijNWJPfIo0lwyw</t>
  </si>
  <si>
    <t>-OteJiuK3PimrA8eQ7e1</t>
  </si>
  <si>
    <t>2026-05-27 16:44:40</t>
  </si>
  <si>
    <t>-OteJiuK3PimrA8eQ7e2</t>
  </si>
  <si>
    <t>-Oteb2OAIWq6cH5qQdu6</t>
  </si>
  <si>
    <t>156</t>
  </si>
  <si>
    <t>L27052026</t>
  </si>
  <si>
    <t>2026PD00909</t>
  </si>
  <si>
    <t>2026NE00672</t>
  </si>
  <si>
    <t>35260514339601000138550010000001561016000765</t>
  </si>
  <si>
    <t>2026-05-27 18:04:42</t>
  </si>
  <si>
    <t>-OtehyjowZ-FEORUSeWs</t>
  </si>
  <si>
    <t>LEGUMINOSA VARIEDADE: FEIJÃO PRETO, TIPO: TIPO 1</t>
  </si>
  <si>
    <t>SUPRI + COMERCIO DE ALIMENTOS LTDA</t>
  </si>
  <si>
    <t>297</t>
  </si>
  <si>
    <t>LOTE81</t>
  </si>
  <si>
    <t>2026-12-25</t>
  </si>
  <si>
    <t>2026PD00866</t>
  </si>
  <si>
    <t>2026NE00661</t>
  </si>
  <si>
    <t>35260556429225000112550010000002971078132160</t>
  </si>
  <si>
    <t>2026-05-27 18:34:58</t>
  </si>
  <si>
    <t>-OtehzQSSk2sHJciMdnu</t>
  </si>
  <si>
    <t>LEGUMINOSA VARIEDADE: FEIJÃO CARIOCA , TIPO: TIPO 1</t>
  </si>
  <si>
    <t>LOTE 73</t>
  </si>
  <si>
    <t>2026-12-02</t>
  </si>
  <si>
    <t>2026-05-27 18:35:01</t>
  </si>
  <si>
    <t>-Otei3kNFXgILrlxVQUa</t>
  </si>
  <si>
    <t xml:space="preserve">ARROZ BENEFICIADO TIPO: AGULHINHA/BRANCO, SUBGRUPO: POLIDO, CLASSE: LONGO FINO,
QUALIDADE: TIPO 1</t>
  </si>
  <si>
    <t>LOTE 68</t>
  </si>
  <si>
    <t>2027-03-21</t>
  </si>
  <si>
    <t>2026-05-27 18:35:23</t>
  </si>
  <si>
    <t>-Otew3g9LSbOpIdmsnBG</t>
  </si>
  <si>
    <t xml:space="preserve">COXAO DURO; PECA INTEIRA; RESFRIADA;TRANSPORTADA E CONSERVADA EM TEMPERATURA NAO SUPERIOR A 7ºC; COM COR, SABOR E ODOR PROPRIOS DA CARNE, FIRME, CONSISTENTE E NAO PEGAJOSA, SEM MANCHAS
ESVERDEADAS; DEVENDO APRESENTAR-SE LIVRE DE PARASITAS E DE QUALQUER SUBSTANCIA CONTAMINANTE; QUE POSSA ALTERA-LA OU ENCOBRIR ALGUMA ALTERACAO; EMBALAGEM PRIMARIA SACO PLASTICO, TERMOENCOLHIVEL, COM
FECHAMENTO A VACUO, ATOXICO, TRANSPARENTE E RESISTENTE; EMBALAGEM SECUNDARIA CAIXA DE PAPELAO REFORCADO; COM VALIDADE UASG 380852
CÂMARA NACIONAL DE MODELOS DE LICITAÇÕES E CONTRATOS DA CONSULTORIA-GERAL DA UNIÃO MODELO DE AQUISIÇÕES — ATUALIZAÇÃO: MAIO/2023 APROVADO PELA SECRETARIA DE GESTÃO E INOVAÇÃO 2 DE 10 MINIMA DE 48 DIAS    NA DATA DA ENTREGA; E SUAS CONDICOES DEVERAO ESTAR DE ACORDO COM DECRETO 9.013
/17, INSTRUCAO NORMATIVA 22/05, PORTARIA 304/96; RDC 12 /01, RDC 259 /02 E ALTERACOES POSTERIORES; PRODUTO SUJEITO A VERIFICACAO NO ATO DA ENTREGA AOS PROCED. ADM. DETERMINADOS PELO MAPA E ANVISA</t>
  </si>
  <si>
    <t>INTEGRADO DISTRIBUIDOR FRIGORÍFICO LTDA</t>
  </si>
  <si>
    <t>210574</t>
  </si>
  <si>
    <t>LOTE150426</t>
  </si>
  <si>
    <t>2026PD00874</t>
  </si>
  <si>
    <t xml:space="preserve"> 2026NE00394</t>
  </si>
  <si>
    <t>35260552657483000103550010002105741874161547</t>
  </si>
  <si>
    <t>2026-05-27 19:36:32</t>
  </si>
  <si>
    <t>-Otew3g9LSbOpIdmsnBH</t>
  </si>
  <si>
    <t>COXA E SOBRECOXA , APRESENTAÇÃO: INTEIRO ,ESTADO DE CONSERVAÇÃO: CONGELADO(A) , PROCESSAMENTO: COM PELE, COM OSSO</t>
  </si>
  <si>
    <t>LOTE90426</t>
  </si>
  <si>
    <t>2027-04-09</t>
  </si>
  <si>
    <t>-Otew3g9LSbOpIdmsnBI</t>
  </si>
  <si>
    <t>CARNE SALGADA TIPO CORTE: TOUCINHO , ORIGEM: SUÍNA , APRESENTAÇÃO: EM MANTAS , ESTADO DE CONSERVAÇÃO: RESFRIADO(A</t>
  </si>
  <si>
    <t>LOTE100426</t>
  </si>
  <si>
    <t>-OtjSv2u44imRNRoEkFK</t>
  </si>
  <si>
    <t>A156092C-C</t>
  </si>
  <si>
    <t>2026-05-28 16:42:57</t>
  </si>
  <si>
    <t>-Otja40IfNZOtZ4EIN40</t>
  </si>
  <si>
    <t>IZILDA FATIMA BRUGNOLLE</t>
  </si>
  <si>
    <t>247</t>
  </si>
  <si>
    <t>LOTE270526</t>
  </si>
  <si>
    <t>2026-06-07</t>
  </si>
  <si>
    <t>2026PD00876</t>
  </si>
  <si>
    <t>2026NE00676</t>
  </si>
  <si>
    <t>35260526488587000113550010000002471000004327</t>
  </si>
  <si>
    <t>2026-05-28 17:18:33</t>
  </si>
  <si>
    <t>-Otja40IfNZOtZ4EIN41</t>
  </si>
  <si>
    <t>-OtoXTtwmKHQbS4iq-fg</t>
  </si>
  <si>
    <t>QUEIJO ORIGEM: DE VACA , VARIEDADE:MUÇARELA , APRESENTAÇÃO: PEÇA</t>
  </si>
  <si>
    <t>HG DISTRIBUIDORA DE ALIMENTOS LTDA</t>
  </si>
  <si>
    <t>3108</t>
  </si>
  <si>
    <t>LOTE 270526</t>
  </si>
  <si>
    <t>2026PD00894</t>
  </si>
  <si>
    <t>2026NE00422</t>
  </si>
  <si>
    <t>35260557493580000113550010000031081822955027</t>
  </si>
  <si>
    <t>2026-05-29 16:20:57</t>
  </si>
  <si>
    <t>-OtoXV7E-i2D0Ms57cK6</t>
  </si>
  <si>
    <t>SALSICHA HOT DOG , TIPO PREPARAÇÃO: COZIDA , ESTADO DE CONSERVAÇÃO: CONGELADO(A)</t>
  </si>
  <si>
    <t>2027-07-27</t>
  </si>
  <si>
    <t>2026-05-29 16:21:02</t>
  </si>
  <si>
    <t>-Ou39wxOcwKh4_22dtKb</t>
  </si>
  <si>
    <t>46</t>
  </si>
  <si>
    <t>lOTE 11052026</t>
  </si>
  <si>
    <t>2026PD00882</t>
  </si>
  <si>
    <t>2026NE00656</t>
  </si>
  <si>
    <t>35260544187390000126550010000000461300000505</t>
  </si>
  <si>
    <t>2026-06-01 17:12:05</t>
  </si>
  <si>
    <t>-Ou39wxOcwKh4_22dtKc</t>
  </si>
  <si>
    <t>LOTE 11052026</t>
  </si>
  <si>
    <t>-Ou92eh_JFI5_IH2hg4F</t>
  </si>
  <si>
    <t>JOSE BATISTA SOUSA MARTINS</t>
  </si>
  <si>
    <t>LOTE072526</t>
  </si>
  <si>
    <t>2026PD00897</t>
  </si>
  <si>
    <t>2026NE00683</t>
  </si>
  <si>
    <t>35260514776051000114550010000000601000590980</t>
  </si>
  <si>
    <t>2026-06-02 20:37:59</t>
  </si>
  <si>
    <t>-Ou92eh_JFI5_IH2hg4G</t>
  </si>
  <si>
    <t>-Ou92eh_JFI5_IH2hg4H</t>
  </si>
  <si>
    <t>-Ou92eh_JFI5_IH2hg4I</t>
  </si>
  <si>
    <t>-Ou92eh_JFI5_IH2hg4J</t>
  </si>
  <si>
    <t>-Ou92eh_JFI5_IH2hg4K</t>
  </si>
  <si>
    <t>-Ou92eh_JFI5_IH2hg4L</t>
  </si>
  <si>
    <t>-Ou92eh_JFI5_IH2hg4M</t>
  </si>
  <si>
    <t>-Ou92eh_JFI5_IH2hg4N</t>
  </si>
  <si>
    <t>-Ou92eh_JFI5_IH2hg4O</t>
  </si>
  <si>
    <t>-Ou92eh_JFI5_IH2hg4P</t>
  </si>
  <si>
    <t>-Ou92eh_JFI5_IH2hg4Q</t>
  </si>
  <si>
    <t>-Ou92eh_JFI5_IH2hg4R</t>
  </si>
  <si>
    <t>-OubkmTLsMP5-tLiOE89</t>
  </si>
  <si>
    <t>LINGUIÇA TOSCANA , TAMANHO: GROSSA , TIPO PREPARAÇÃO: FRESCA , ESTADO DE CONSERVAÇÃO: RESFRIADO(A)</t>
  </si>
  <si>
    <t>SANDRA CRISTINA BERNARDINO GIBERYTONI - LTDA</t>
  </si>
  <si>
    <t>784</t>
  </si>
  <si>
    <t>LOTE 160226</t>
  </si>
  <si>
    <t>2026PD00908</t>
  </si>
  <si>
    <t xml:space="preserve">	2026NE00393</t>
  </si>
  <si>
    <t>35260505336786000136550030000007841940500919</t>
  </si>
  <si>
    <t>2026-06-08 15:04:05</t>
  </si>
  <si>
    <t>-OucAgGPVQeZr3pJ2vWp</t>
  </si>
  <si>
    <t>RENATO APARECIDO DE OLIVEIRA</t>
  </si>
  <si>
    <t>230</t>
  </si>
  <si>
    <t>LOTE010626</t>
  </si>
  <si>
    <t>2026PD01046</t>
  </si>
  <si>
    <t>2026NE00705</t>
  </si>
  <si>
    <t>35260659067351000163550010000002301698468097</t>
  </si>
  <si>
    <t>2026-06-08 17:01:40</t>
  </si>
  <si>
    <t>-OucB3ZWxnNsn1nIMUb3</t>
  </si>
  <si>
    <t>ISRAEL FRANCISCO BANDEIRA</t>
  </si>
  <si>
    <t>71</t>
  </si>
  <si>
    <t>lote030626</t>
  </si>
  <si>
    <t>2026PD01047</t>
  </si>
  <si>
    <t>2026NED00706</t>
  </si>
  <si>
    <t>35260610877596000166550010000000711660495200</t>
  </si>
  <si>
    <t>2026-06-08 17:03:17</t>
  </si>
  <si>
    <t>-OucBJbn844DTDMA7koS</t>
  </si>
  <si>
    <t>JOSE FERNANDES DE OLIVEIRA</t>
  </si>
  <si>
    <t>lote010626</t>
  </si>
  <si>
    <t>2026PD01045</t>
  </si>
  <si>
    <t>2026NE00708</t>
  </si>
  <si>
    <t>35260610877575000140550010000000421455446270</t>
  </si>
  <si>
    <t>2026-06-08 17:04:23</t>
  </si>
  <si>
    <t>-OucBdndI3BIpXPar5Ym</t>
  </si>
  <si>
    <t>EDIVALDO NUNES BANDEIRA</t>
  </si>
  <si>
    <t>180</t>
  </si>
  <si>
    <t>2026PD01044</t>
  </si>
  <si>
    <t>2026NE00707</t>
  </si>
  <si>
    <t>35260656052055000108550010000001801785233414</t>
  </si>
  <si>
    <t>2026-06-08 17:05:50</t>
  </si>
  <si>
    <t>-OucJllDVoiMafgYsEyI</t>
  </si>
  <si>
    <t>211.090</t>
  </si>
  <si>
    <t>lote151968</t>
  </si>
  <si>
    <t>2027-01-18</t>
  </si>
  <si>
    <t>D	2026PD01028</t>
  </si>
  <si>
    <t>2026NE00394</t>
  </si>
  <si>
    <t>35260652657483000103550010002110901488161746</t>
  </si>
  <si>
    <t>2026-06-08 17:41:21</t>
  </si>
  <si>
    <t>-OucJnSaYfgfyaylyiIR</t>
  </si>
  <si>
    <t>lote100426</t>
  </si>
  <si>
    <t>2026-06-08 17:41:27</t>
  </si>
  <si>
    <t>-OucK19aTXBNWD5t1g1V</t>
  </si>
  <si>
    <t>lote280526</t>
  </si>
  <si>
    <t>2026-06-08 17:42:26</t>
  </si>
  <si>
    <t>-Ouh9NMB0aEHVq20310s</t>
  </si>
  <si>
    <t>PEIXE IN NATURA VARIEDADE: MERLUZA ,TIPO CORTE: FILÉ , APRESENTAÇÃO: SEM PELE , ESTADO DE CONSERVAÇÃO: CONGELADO(A)</t>
  </si>
  <si>
    <t>BRASIL SOLUÇÕES COMERCIAIS LTDA</t>
  </si>
  <si>
    <t>08062026MP</t>
  </si>
  <si>
    <t>2027-06-08</t>
  </si>
  <si>
    <t xml:space="preserve">	2026PD01026</t>
  </si>
  <si>
    <t xml:space="preserve">	2026NE00403</t>
  </si>
  <si>
    <t>35260654401485000154550010000002201282318629</t>
  </si>
  <si>
    <t>2026-06-09 16:14:00</t>
  </si>
  <si>
    <t>-OulXf-kiURhXOCFDWbG</t>
  </si>
  <si>
    <t>44226</t>
  </si>
  <si>
    <t>l10062026</t>
  </si>
  <si>
    <t xml:space="preserve">	2026PD01030</t>
  </si>
  <si>
    <t xml:space="preserve">	2026NE00658</t>
  </si>
  <si>
    <t>35260504788913000175550010000442261000458679</t>
  </si>
  <si>
    <t>2026-06-10 12:38:36</t>
  </si>
  <si>
    <t>-Ould2zoc-FBqI2BX8z8</t>
  </si>
  <si>
    <t>283</t>
  </si>
  <si>
    <t>072025</t>
  </si>
  <si>
    <t>2028-01-14</t>
  </si>
  <si>
    <t xml:space="preserve">	2026PD00533</t>
  </si>
  <si>
    <t>2026NE00145</t>
  </si>
  <si>
    <t>35260254703516000121550010000002831101411300</t>
  </si>
  <si>
    <t>2026-06-10 13:06:31</t>
  </si>
  <si>
    <t>-Ould2zoc-FBqI2BX8z9</t>
  </si>
  <si>
    <t>SAL TIPO: REFINADO</t>
  </si>
  <si>
    <t>260207</t>
  </si>
  <si>
    <t>2028-02-07</t>
  </si>
  <si>
    <t>-OulhevLWh_c5G3RLmf6</t>
  </si>
  <si>
    <t>l080626</t>
  </si>
  <si>
    <t>2026-06-10 13:26:41</t>
  </si>
  <si>
    <t>-OumVr1L7E0sep3Ppoou</t>
  </si>
  <si>
    <t>221</t>
  </si>
  <si>
    <t>13/02/2026</t>
  </si>
  <si>
    <t>2026PD00519</t>
  </si>
  <si>
    <t>35260219718296000109550010000002211000004423</t>
  </si>
  <si>
    <t>2026-06-10 17:10:20</t>
  </si>
  <si>
    <t>-OumVr1L7E0sep3Ppoov</t>
  </si>
  <si>
    <t>-OumVr1L7E0sep3Ppoow</t>
  </si>
  <si>
    <t>-OumVr1L7E0sep3Ppoox</t>
  </si>
  <si>
    <t>-OumYcca0P8Hau8gp6wk</t>
  </si>
  <si>
    <t xml:space="preserve">	2026PD00500</t>
  </si>
  <si>
    <t>35260320672752000106550010000005321100005702</t>
  </si>
  <si>
    <t>2026-06-10 17:22:27</t>
  </si>
  <si>
    <t>-OumZC_qu-rJUT3XKD5N</t>
  </si>
  <si>
    <t>2026-06-10 17:24:59</t>
  </si>
  <si>
    <t>-OumZC_qu-rJUT3XKD5O</t>
  </si>
  <si>
    <t>-OumZC_qu-rJUT3XKD5P</t>
  </si>
  <si>
    <t>-OumZC_qu-rJUT3XKD5Q</t>
  </si>
  <si>
    <t>-OumZC_qu-rJUT3XKD5R</t>
  </si>
  <si>
    <t>-Oum_erq52LNaZmY7g9n</t>
  </si>
  <si>
    <t>96</t>
  </si>
  <si>
    <t>0403</t>
  </si>
  <si>
    <t xml:space="preserve">	2026PD00503</t>
  </si>
  <si>
    <t>35260347952921000118550010000000961306011037</t>
  </si>
  <si>
    <t>2026-06-10 17:31:21</t>
  </si>
  <si>
    <t>-Oum_errNd6K_EJ0IyFs</t>
  </si>
  <si>
    <t>-Oum_errNd6K_EJ0IyFu</t>
  </si>
  <si>
    <t>-Oum_errNd6K_EJ0IyFv</t>
  </si>
  <si>
    <t>-Oum_errNd6K_EJ0IyFw</t>
  </si>
  <si>
    <t>-Oum_errNd6K_EJ0IyFx</t>
  </si>
  <si>
    <t>-OumazvzTPbmvDSIFuXF</t>
  </si>
  <si>
    <t>2026-06-10 17:37:09</t>
  </si>
  <si>
    <t>-Oumd5op_u2TAF5tmRtW</t>
  </si>
  <si>
    <t xml:space="preserve">	2026PD00516</t>
  </si>
  <si>
    <t>35260308499693000200550010000000041459782132</t>
  </si>
  <si>
    <t>2026-06-10 17:46:22</t>
  </si>
  <si>
    <t>-Oumd5op_u2TAF5tmRtX</t>
  </si>
  <si>
    <t>-OumdXdkiku9Xyg7Dn7y</t>
  </si>
  <si>
    <t>007</t>
  </si>
  <si>
    <t xml:space="preserve">	2026PD00515</t>
  </si>
  <si>
    <t>35260310274255000104550010000000071127967780</t>
  </si>
  <si>
    <t>2026-06-10 17:48:16</t>
  </si>
  <si>
    <t>-OumdXdkiku9Xyg7Dn7z</t>
  </si>
  <si>
    <t>-OumesUOnDRzPNJr_BgR</t>
  </si>
  <si>
    <t>147</t>
  </si>
  <si>
    <t>2026PD00514</t>
  </si>
  <si>
    <t>35260314339601000138550010000001471596685010</t>
  </si>
  <si>
    <t>2026-06-10 17:54:07</t>
  </si>
  <si>
    <t>-OumoXbCzFJgZUsNPzBB</t>
  </si>
  <si>
    <t>43818</t>
  </si>
  <si>
    <t>2026PD0663</t>
  </si>
  <si>
    <t>3526030478891300017555001000438181000454460</t>
  </si>
  <si>
    <t>2026-06-10 18:36:19</t>
  </si>
  <si>
    <t>-OumoXbCzFJgZUsNPzBC</t>
  </si>
  <si>
    <t>-OumorB3V1feZq7l-tbw</t>
  </si>
  <si>
    <t>43738</t>
  </si>
  <si>
    <t>18-03</t>
  </si>
  <si>
    <t xml:space="preserve">	2026PD00541</t>
  </si>
  <si>
    <t>35260304788913000175550010000437381000453649</t>
  </si>
  <si>
    <t>2026-06-10 18:37:43</t>
  </si>
  <si>
    <t>-OumorB3V1feZq7l-tbx</t>
  </si>
  <si>
    <t>-Oums0KqtmyCxjhRZwF5</t>
  </si>
  <si>
    <t>184</t>
  </si>
  <si>
    <t xml:space="preserve">	2026PD00492</t>
  </si>
  <si>
    <t>2026-06-10 18:51:31</t>
  </si>
  <si>
    <t>-OuqlpEGO3XqaXihWgwI</t>
  </si>
  <si>
    <t>241</t>
  </si>
  <si>
    <t>LOTE100626</t>
  </si>
  <si>
    <t>2026PD01048</t>
  </si>
  <si>
    <t>2026NE00711</t>
  </si>
  <si>
    <t>35260619718296000109550010000002411000004820</t>
  </si>
  <si>
    <t>2026-06-11 13:02:58</t>
  </si>
  <si>
    <t>-OuqlpEHtohiruXGbxrz</t>
  </si>
  <si>
    <t>-OuqlpEHtohiruXGbxs0</t>
  </si>
  <si>
    <t>-OuqmK8ve2YTm4dDFIXs</t>
  </si>
  <si>
    <t>167</t>
  </si>
  <si>
    <t>2026PD01049</t>
  </si>
  <si>
    <t>2026NE00709</t>
  </si>
  <si>
    <t>2026-06-11 13:05:09</t>
  </si>
  <si>
    <t>-OuqmK8ve2YTm4dDFIXt</t>
  </si>
  <si>
    <t>-OuqmK8ve2YTm4dDFIXu</t>
  </si>
  <si>
    <t>-OuqmK8ve2YTm4dDFIXv</t>
  </si>
  <si>
    <t>-OuqthFGzdk7Z3pcIfl_</t>
  </si>
  <si>
    <t xml:space="preserve">ALHO PROCESSADO; BRANCO; PUROEMPASTA;TRANSPORTADO E CONSERVADO TEMPERATURA
AMBIENTE; ISENTO DE SUJIDADES, PARASITAS, LARVAS E OUTROS MATERIAIS ESTRANHOS; EMBALAGEM PRIMARIA BALDE PLASTICO, ATOXICO E LACRADO EMBALAGEMSECUNDARIA CAIXA DE PAPELAO REFORCADA; COMVALIDADE MINIMA DE 5 MESES NA DATA DA ENTREGA; E
SUAS CONDICOES DEVERAO ESTAR DE ACORDO COM A RDC 12/01, RDC 259 /02, RDC 360/03, RDC 218 /05, RDC 14/14 E ALTERACOES POSTERIORES; PRODUTOSUJEITO A VERIFICACAO NO ATO DA ENTREGA AOSPROCEDIMENTOS ADM. DETERMINADOS PELA ANVISA;</t>
  </si>
  <si>
    <t>1344</t>
  </si>
  <si>
    <t>LOTE220526</t>
  </si>
  <si>
    <t>2026-12-05</t>
  </si>
  <si>
    <t>2026PD00893</t>
  </si>
  <si>
    <t>2026NE00660</t>
  </si>
  <si>
    <t>35260557812230000172550010000013441900001346</t>
  </si>
  <si>
    <t>2026-06-11 13:37:22</t>
  </si>
  <si>
    <t>-OuqthFH_NmJFGdBRhUX</t>
  </si>
  <si>
    <t>OLEAGINOSA TIPO: AMENDOIM , APRESENTAÇÃO: NATURAL , ADICIONAL: SEM CASCA</t>
  </si>
  <si>
    <t>2012</t>
  </si>
  <si>
    <t>2026-12-20</t>
  </si>
  <si>
    <t>-OuqthFH_NmJFGdBRhUY</t>
  </si>
  <si>
    <t>MISTURA ALIMENTÍCIA INGREDIENTES: FARINHA DE TRIGO,SAL, ESTABILIZANTE ETXXV, ENZI - , SABOR: NATURAL ,APLICAÇÃO: PÃO FRANCÊS</t>
  </si>
  <si>
    <t>LOTEJN28J8</t>
  </si>
  <si>
    <t>2028-07-20</t>
  </si>
  <si>
    <t>-OuqthFH_NmJFGdBRhUZ</t>
  </si>
  <si>
    <t>MACARRÃO TEOR DE UMIDADE: MASSA SECA, BASE DA MASSA: DE FARINHA DE TRIGO, INGREDIENTES ADICIONAIS: COM OVOS, APRESENTAÇÃO: PARAFUSO</t>
  </si>
  <si>
    <t>175957378</t>
  </si>
  <si>
    <t>2026-09-27</t>
  </si>
  <si>
    <t>-OuqthFH_NmJFGdBRhU_</t>
  </si>
  <si>
    <t>LEGUME EM CONSERVA TIPO: MILHO VERDE, ADICIONAL: À VÁCUO</t>
  </si>
  <si>
    <t>2534320469</t>
  </si>
  <si>
    <t>2028-06-12</t>
  </si>
  <si>
    <t>-OuqthFH_NmJFGdBRhUa</t>
  </si>
  <si>
    <t>CONDIMENTO TIPO: ORÉGANO, APRESENTAÇÃO: DESIDRATADO</t>
  </si>
  <si>
    <t>LOTE 04</t>
  </si>
  <si>
    <t>2028-03-03</t>
  </si>
  <si>
    <t>-OurU9DW8da_P_ZRVYCa</t>
  </si>
  <si>
    <t>000.000.020</t>
  </si>
  <si>
    <t>L11062026</t>
  </si>
  <si>
    <t>2026PD01050</t>
  </si>
  <si>
    <t>2026NE00710</t>
  </si>
  <si>
    <t>35260657093110000162550010000000201090308815</t>
  </si>
  <si>
    <t>2026-06-11 16:20:58</t>
  </si>
  <si>
    <t>-OurU9DXLKVsHz3igTg0</t>
  </si>
  <si>
    <t>-Ourc2lrfJ1ZBhu4jNwr</t>
  </si>
  <si>
    <t>26194</t>
  </si>
  <si>
    <t>L260320</t>
  </si>
  <si>
    <t>2026PD01038</t>
  </si>
  <si>
    <t>2026NE00715</t>
  </si>
  <si>
    <t>AD179C63-5</t>
  </si>
  <si>
    <t>2026-06-11 16:59:51</t>
  </si>
  <si>
    <t>-Ourc2lrfJ1ZBhu4jNws</t>
  </si>
  <si>
    <t>LP19056</t>
  </si>
  <si>
    <t>2026-11-19</t>
  </si>
  <si>
    <t>7A5FF07D-5</t>
  </si>
  <si>
    <t>-Ourc2lrfJ1ZBhu4jNwt</t>
  </si>
  <si>
    <t>LT6001</t>
  </si>
  <si>
    <t>2027-01-10</t>
  </si>
  <si>
    <t>F49F5503-1</t>
  </si>
  <si>
    <t>-Ourc2lrfJ1ZBhu4jNwu</t>
  </si>
  <si>
    <t>2027-11-13</t>
  </si>
  <si>
    <t>F359B31A-2</t>
  </si>
  <si>
    <t>-OurfjALHmXMO4b95zKT</t>
  </si>
  <si>
    <t>LT933</t>
  </si>
  <si>
    <t>5CAA89AD-D</t>
  </si>
  <si>
    <t>2026-06-11 17:15:55</t>
  </si>
  <si>
    <t>-OurxAi5O_Vm7NkEhq8Y</t>
  </si>
  <si>
    <t>539</t>
  </si>
  <si>
    <t>2026PD00340</t>
  </si>
  <si>
    <t>35260117875886000110550010000005391400003051</t>
  </si>
  <si>
    <t>2026-06-11 18:32:09</t>
  </si>
  <si>
    <t>-OurxYnr75T8MQasHSe5</t>
  </si>
  <si>
    <t>2026-06-11 18:33:48</t>
  </si>
  <si>
    <t>-Ous65YKoYcMYR08ptjy</t>
  </si>
  <si>
    <t>2026-06-11 19:15:29</t>
  </si>
  <si>
    <t>-Ous65YKoYcMYR08ptjz</t>
  </si>
  <si>
    <t>-Ous65YKoYcMYR08ptk-</t>
  </si>
  <si>
    <t>-Ous65YKoYcMYR08ptk0</t>
  </si>
  <si>
    <t>-Ous65YKoYcMYR08ptk1</t>
  </si>
  <si>
    <t>-OuwNsurtY7XxcYN0QZT</t>
  </si>
  <si>
    <t>2026-06-12 15:11:38</t>
  </si>
  <si>
    <t>-OuwTwIjpes0y307N84-</t>
  </si>
  <si>
    <t>05</t>
  </si>
  <si>
    <t>L1062026</t>
  </si>
  <si>
    <t>2026PD01055</t>
  </si>
  <si>
    <t>2026NE00712</t>
  </si>
  <si>
    <t>35260647952921000118550010000001211000827302</t>
  </si>
  <si>
    <t>2026-06-12 15:38:05</t>
  </si>
  <si>
    <t>-OuwTwIjpes0y307N840</t>
  </si>
  <si>
    <t>35260666769911000196550010000000051600800001</t>
  </si>
  <si>
    <t>-OuwTwIkQ5CZDdhHYX-q</t>
  </si>
  <si>
    <t>-OuwTwIkQ5CZDdhHYX-r</t>
  </si>
  <si>
    <t>-OuwTwIkQ5CZDdhHYX-s</t>
  </si>
  <si>
    <t>-OuwTwIkQ5CZDdhHYX-t</t>
  </si>
  <si>
    <t>-OuwTwIkQ5CZDdhHYX-u</t>
  </si>
  <si>
    <t>-OuwTwIkQ5CZDdhHYX-v</t>
  </si>
  <si>
    <t>-OuwTwIkQ5CZDdhHYX-w</t>
  </si>
  <si>
    <t>-OuwTwIkQ5CZDdhHYX-x</t>
  </si>
  <si>
    <t>-OuwTwIkQ5CZDdhHYX-y</t>
  </si>
  <si>
    <t>-OuwTwIkQ5CZDdhHYX-z</t>
  </si>
  <si>
    <t>-OuwTwIkQ5CZDdhHYX0-</t>
  </si>
  <si>
    <t>-OuwZpTtJksjVP43akn_</t>
  </si>
  <si>
    <t>L12062026</t>
  </si>
  <si>
    <t>2026PD00708</t>
  </si>
  <si>
    <t>35260414339601000138550010000001521192040798</t>
  </si>
  <si>
    <t>2026-06-12 16:03:53</t>
  </si>
  <si>
    <t>-OuxE3W5UqONOz9_KCuS</t>
  </si>
  <si>
    <t>TETSE</t>
  </si>
  <si>
    <t>2026-06-12 19:08:22</t>
  </si>
  <si>
    <t>-OvA-KeUhppoErk8VlxM</t>
  </si>
  <si>
    <t>11</t>
  </si>
  <si>
    <t>2026PD00545</t>
  </si>
  <si>
    <t>35260227885120000170550010000000111300000153</t>
  </si>
  <si>
    <t>2026-06-15 11:18:43</t>
  </si>
  <si>
    <t>-OvA-KeUhppoErk8VlxN</t>
  </si>
  <si>
    <t>-OvA-KeUhppoErk8VlxO</t>
  </si>
  <si>
    <t>-OvA-KeUhppoErk8VlxP</t>
  </si>
  <si>
    <t>-OvA-KeVlV2jU7Tvu3t-</t>
  </si>
  <si>
    <t>-OvA1EQNsY7-WA5MYGoL</t>
  </si>
  <si>
    <t>2026-06-15 11:27:02</t>
  </si>
  <si>
    <t>-OvACg351yBNom-yXwGl</t>
  </si>
  <si>
    <t xml:space="preserve">	2026PD00909</t>
  </si>
  <si>
    <t xml:space="preserve">	2026NE00672</t>
  </si>
  <si>
    <t>2026-06-15 12:17:03</t>
  </si>
  <si>
    <t>-OvBEd3vcVa9maVTP5lu</t>
  </si>
  <si>
    <t>2026PD00430</t>
  </si>
  <si>
    <t>2026-06-15 17:05:12</t>
  </si>
  <si>
    <t>-OvBOMQSimb7FJXZvjqP</t>
  </si>
  <si>
    <t>000000044</t>
  </si>
  <si>
    <t>10062026</t>
  </si>
  <si>
    <t>2026PD01043</t>
  </si>
  <si>
    <t>2026NE00714</t>
  </si>
  <si>
    <t>35260659532685000160550010000000441060001326</t>
  </si>
  <si>
    <t>2026-06-15 17:47:41</t>
  </si>
  <si>
    <t>-OvBOMQSimb7FJXZvjqQ</t>
  </si>
  <si>
    <t>-OvBOMQSimb7FJXZvjqR</t>
  </si>
  <si>
    <t>-OvBOMQSimb7FJXZvjqS</t>
  </si>
  <si>
    <t>-OvBOMQSimb7FJXZvjqT</t>
  </si>
  <si>
    <t>-OvBOMQSimb7FJXZvjqU</t>
  </si>
  <si>
    <t>-OvBe3LvVBT4MfYuN9e4</t>
  </si>
  <si>
    <t>121</t>
  </si>
  <si>
    <t>2026PD01051</t>
  </si>
  <si>
    <t>2026NE00713</t>
  </si>
  <si>
    <t>2026-06-15 19:00:45</t>
  </si>
  <si>
    <t>-OvBhjge0B6-e6nElQ6P</t>
  </si>
  <si>
    <t>GILSOMAR BENIGNO BARBOSA</t>
  </si>
  <si>
    <t>L09062026</t>
  </si>
  <si>
    <t>2026PD01057</t>
  </si>
  <si>
    <t>2026NE00735</t>
  </si>
  <si>
    <t>35260663134694000170550010000000091844737920</t>
  </si>
  <si>
    <t>2026-06-15 19:16:49</t>
  </si>
  <si>
    <t>-OvBhjge0B6-e6nElQ6Q</t>
  </si>
  <si>
    <t>-OvBhjge0B6-e6nElQ6R</t>
  </si>
  <si>
    <t>-OvBhjge0B6-e6nElQ6S</t>
  </si>
  <si>
    <t>-OvBhjge0B6-e6nElQ6T</t>
  </si>
  <si>
    <t>-OvBhjge0B6-e6nElQ6U</t>
  </si>
  <si>
    <t>ACELGA; ALONGADA, EXTRA; PESO POR UNIDADE MAIOR QUE 1,5 KG; APRESENTANDO CABECA ALONGADA, COMPACTA E BASE ESTREITA, FOLHA GRANDE, ESPESSA; ALONGADA COM COLORACAO VERDE MEDIA, COLORACAO INTERNA BRANCO CREMEE  NERVURAS BRANCAS; O LOTE DEVERA APRESENTAR  HOMOGENEIDADE VISUAL DE TAMANHO; NAO PODENDO APRESENTAR OS DEFEITOS COMO PODRIDAO, MANCHADO E MURCHO; DEVENDO SER ENTREGUE EM EMBALAGEM SUB MULƟPLA DE 1,00 X  1,20M; CONTENDO IDENƟFICACAO DO PRODUTO,PESO  LIQUIDO, NOME E TELEFONE DO FORNECEDOR;E SUAS  CONDICOES DEVERAO ESTAR DE ACORDO COMA INSTRUCAO NORMAƟVA CONJUNTA 09/02 (SARC,  ANVISA,INMETRO) RDC 724/22 E  ALTERACOESPOSTERIORES; PRODUTO SUJEITO A  VERIFICACAO NO ATO DA ENTREGA AOS  PROCEDIMENTOS ADM.DETERMINADOS PELA ANVISA;  DEVENDOOBEDECERAS AS INFORMACOES CONƟDAS  EM NORMAS EPADROES DO SITE WWW.BEC.SP.GOV.BR</t>
  </si>
  <si>
    <t>-OvBiAHPGVWIcQ4sNNne</t>
  </si>
  <si>
    <t>236</t>
  </si>
  <si>
    <t>2026NE00733</t>
  </si>
  <si>
    <t>2026PD01056</t>
  </si>
  <si>
    <t>35260644008927000143550010000002351924283365</t>
  </si>
  <si>
    <t>2026-06-15 19:18:42</t>
  </si>
  <si>
    <t>-OvBiAHPGVWIcQ4sNNnf</t>
  </si>
  <si>
    <t>-OvBiAHPGVWIcQ4sNNng</t>
  </si>
  <si>
    <t>-OvBiAHPGVWIcQ4sNNnh</t>
  </si>
  <si>
    <t>-OvBiAHPGVWIcQ4sNNni</t>
  </si>
  <si>
    <t>-OvG_DRdAX4S9a8FuJBI</t>
  </si>
  <si>
    <t>LEITE FLUIDO ORIGEM: DE VACA, TIPO: A , TEOR GORDURA: INTEGRAL , PROCESSAMENTO: UHT</t>
  </si>
  <si>
    <t>125</t>
  </si>
  <si>
    <t>079v404i</t>
  </si>
  <si>
    <t>2026-10-06</t>
  </si>
  <si>
    <t xml:space="preserve">	2026PD01037</t>
  </si>
  <si>
    <t>2026NE00716</t>
  </si>
  <si>
    <t>35260609206039000134550010000001251300001254</t>
  </si>
  <si>
    <t>2026-06-16 17:57:36</t>
  </si>
  <si>
    <t>-OvPYvT3g-eCJZhJEJTu</t>
  </si>
  <si>
    <t xml:space="preserve">	2026PD01056</t>
  </si>
  <si>
    <t>2026-06-18 11:48:33</t>
  </si>
  <si>
    <t>-OvPYwutwDma8KD5iXSg</t>
  </si>
  <si>
    <t>2026-06-18 11:48:37</t>
  </si>
  <si>
    <t>-OvPYy4Q86uaw9Cztx-v</t>
  </si>
  <si>
    <t>2026-06-18 11:48:42</t>
  </si>
  <si>
    <t>-OvPYzQzeYf8e4ZaSFWe</t>
  </si>
  <si>
    <t>2026-06-18 11:48:48</t>
  </si>
  <si>
    <t>-OvPZ0B9pasq_BoUFgKe</t>
  </si>
  <si>
    <t>2026-06-18 11:48:55</t>
  </si>
  <si>
    <t>-OvPjBiWekzBs4QRf7zf</t>
  </si>
  <si>
    <t>9</t>
  </si>
  <si>
    <t xml:space="preserve">	2026PD01057</t>
  </si>
  <si>
    <t>2026-06-18 12:37:46</t>
  </si>
  <si>
    <t>-OvPjCsHGKHJeijF7p5z</t>
  </si>
  <si>
    <t>2026-06-18 12:37:50</t>
  </si>
  <si>
    <t>-OvPjE-tj_AASh5myUKK</t>
  </si>
  <si>
    <t>2026-06-18 12:37:55</t>
  </si>
  <si>
    <t>-OvPjFaWzEm8R8BJkoTN</t>
  </si>
  <si>
    <t>2026-06-18 12:38:01</t>
  </si>
  <si>
    <t>-OvPjHKwecO9GfpJcQvK</t>
  </si>
  <si>
    <t>2026-06-18 12:38:09</t>
  </si>
  <si>
    <t>-OvPjKKPl4GpAy8jNz_j</t>
  </si>
  <si>
    <t>2026-06-18 12:38:21</t>
  </si>
  <si>
    <t>-OvPysZaFP9oPlrBhcC2</t>
  </si>
  <si>
    <t>293</t>
  </si>
  <si>
    <t xml:space="preserve">	2026PD01041</t>
  </si>
  <si>
    <t>2026NE00736</t>
  </si>
  <si>
    <t>35260608477476000120550010000002931000005126</t>
  </si>
  <si>
    <t>2026-06-18 13:46:18</t>
  </si>
  <si>
    <t>-OvPytf9iLKVb8O3vMPZ</t>
  </si>
  <si>
    <t>17062026</t>
  </si>
  <si>
    <t>2026-06-18 13:46:22</t>
  </si>
  <si>
    <t>-OvQYihPMcdIHSlD7MkM</t>
  </si>
  <si>
    <t>PERNIL sem osso</t>
  </si>
  <si>
    <t>4073</t>
  </si>
  <si>
    <t>11062026</t>
  </si>
  <si>
    <t>2027-06-11</t>
  </si>
  <si>
    <t xml:space="preserve">	2026PD01034</t>
  </si>
  <si>
    <t xml:space="preserve">	2026NE00402</t>
  </si>
  <si>
    <t>35260644441407000120550010000040731892681904</t>
  </si>
  <si>
    <t>2026-06-18 16:27:09</t>
  </si>
  <si>
    <t>-OvQdZTuqvuHBLuZaayR</t>
  </si>
  <si>
    <t>311</t>
  </si>
  <si>
    <t>lote 83</t>
  </si>
  <si>
    <t>2026-12-08</t>
  </si>
  <si>
    <t>2026PD01035</t>
  </si>
  <si>
    <t>35260656429225000112550010000003111845375861</t>
  </si>
  <si>
    <t>2026-06-18 16:52:47</t>
  </si>
  <si>
    <t>-OvQd_xB-_f9m0536J8y</t>
  </si>
  <si>
    <t>lote 01</t>
  </si>
  <si>
    <t>2026-11-25</t>
  </si>
  <si>
    <t>2026-06-18 16:52:53</t>
  </si>
  <si>
    <t>-OvQdy-gE0hPb0D-eUQx</t>
  </si>
  <si>
    <t>lote 72</t>
  </si>
  <si>
    <t>2027-04-13</t>
  </si>
  <si>
    <t>2026-06-18 16:54:31</t>
  </si>
  <si>
    <t>-OvSV9KHeU2jilQ-YZX4</t>
  </si>
  <si>
    <t>Desconhecido</t>
  </si>
  <si>
    <t>69DB0D6D-4</t>
  </si>
  <si>
    <t>2026-06-19 01:30:56</t>
  </si>
  <si>
    <t>-OvUsg5xB0wFhUxXOgEP</t>
  </si>
  <si>
    <t xml:space="preserve">DOCE DE LEITE, TIPO: TRADICIONAL </t>
  </si>
  <si>
    <t xml:space="preserve">IXPRIX LOGÍSTICA, IMPORTAÇÃO, DISTRIBUIÇÃO E COMÉRCIO LTDA </t>
  </si>
  <si>
    <t>85</t>
  </si>
  <si>
    <t>lote 16517757</t>
  </si>
  <si>
    <t>2027-04-28</t>
  </si>
  <si>
    <t xml:space="preserve">	2026PD01039</t>
  </si>
  <si>
    <t>2026NE00737</t>
  </si>
  <si>
    <t>35260661580443000193550120000000851955431334</t>
  </si>
  <si>
    <t>2026-06-19 12:37:20</t>
  </si>
  <si>
    <t>-OvUsgnR6P0WLRitcs0n</t>
  </si>
  <si>
    <t xml:space="preserve">DOCE NÃO CONFEITADO TIPO: CREMOSO, SABOR: ABÓBORA FORMA APRESENTAÇÃO: CORAÇÃO </t>
  </si>
  <si>
    <t>lote 09r18</t>
  </si>
  <si>
    <t>2026-12-28</t>
  </si>
  <si>
    <t>2026-06-19 12:37:23</t>
  </si>
  <si>
    <t>-OvV2aL8xm6JXdBU7KWG</t>
  </si>
  <si>
    <t>MISTURA ALIMENTICIA INGREDIENTE FARINHA DE TRIGO, SAL ESTABILIZANTE ETXXV, ENZI SABOR:NATURAL APLICAÇÃO PÃO FRANCES</t>
  </si>
  <si>
    <t>LOTE 4</t>
  </si>
  <si>
    <t>2026-06-19 13:24:59</t>
  </si>
  <si>
    <t>-OvW7VwxwlE6Y_-vxxYU</t>
  </si>
  <si>
    <t>3318</t>
  </si>
  <si>
    <t>l 01030626</t>
  </si>
  <si>
    <t>2026-10-03</t>
  </si>
  <si>
    <t xml:space="preserve">	2026PD01036</t>
  </si>
  <si>
    <t>35260657493580000113550010000033181923581590</t>
  </si>
  <si>
    <t>2026-06-19 18:26:08</t>
  </si>
  <si>
    <t>-OvW7wo0JLQ36uwxBam_</t>
  </si>
  <si>
    <t>L A V</t>
  </si>
  <si>
    <t>2027-03-20</t>
  </si>
  <si>
    <t>2026-06-19 18:28:02</t>
  </si>
  <si>
    <t>-Ovj4Ou4CSxbVhAMzodg</t>
  </si>
  <si>
    <t>623</t>
  </si>
  <si>
    <t>2026PD01064</t>
  </si>
  <si>
    <t>2026NE00953</t>
  </si>
  <si>
    <t>35260617875886000110550010000006231307013011</t>
  </si>
  <si>
    <t>2026-06-22 11:27:11</t>
  </si>
  <si>
    <t>-Ovj8yMew4-ysobryN2c</t>
  </si>
  <si>
    <t>2026PD01063</t>
  </si>
  <si>
    <t>2026NE00954</t>
  </si>
  <si>
    <t>35260618107834000166550010000009221097000403</t>
  </si>
  <si>
    <t>2026-06-22 11:47:09</t>
  </si>
  <si>
    <t>-OvjD7O0hoeHM7VObGFc</t>
  </si>
  <si>
    <t>584</t>
  </si>
  <si>
    <t>21062026</t>
  </si>
  <si>
    <t>2026PD01065</t>
  </si>
  <si>
    <t>2026NE00952</t>
  </si>
  <si>
    <t>35260620672752000106550010000005841340004066</t>
  </si>
  <si>
    <t>2026-06-22 12:05:19</t>
  </si>
  <si>
    <t>-Ovk5ILMSGHyDYzafAsz</t>
  </si>
  <si>
    <t>8373</t>
  </si>
  <si>
    <t>l 19/05/26</t>
  </si>
  <si>
    <t>2027-05-19</t>
  </si>
  <si>
    <t xml:space="preserve">	2026PD01033</t>
  </si>
  <si>
    <t xml:space="preserve">	2026NE00406</t>
  </si>
  <si>
    <t>35260641255020000190550010000083731418067880</t>
  </si>
  <si>
    <t>2026-06-22 16:10:44</t>
  </si>
  <si>
    <t>-Ovk5PSj1LHcInnmnWOb</t>
  </si>
  <si>
    <t>7415</t>
  </si>
  <si>
    <t>2026-12-10</t>
  </si>
  <si>
    <t xml:space="preserve">	2026PD01032</t>
  </si>
  <si>
    <t xml:space="preserve">	2026NE00404</t>
  </si>
  <si>
    <t>35260620002779000191550010000074151706887514</t>
  </si>
  <si>
    <t>2026-06-22 16:11:13</t>
  </si>
  <si>
    <t>-Ovk5VMyGFQZXnWQRY66</t>
  </si>
  <si>
    <t>1434</t>
  </si>
  <si>
    <t>l09062026</t>
  </si>
  <si>
    <t xml:space="preserve">	2026PD01031</t>
  </si>
  <si>
    <t xml:space="preserve">	2026NE00405</t>
  </si>
  <si>
    <t>35260629725258000137550010000014341243034827</t>
  </si>
  <si>
    <t>2026-06-22 16:11:37</t>
  </si>
  <si>
    <t>-Ovog_v7piG4cek_j12X</t>
  </si>
  <si>
    <t>2026-06-23 13:36:30</t>
  </si>
  <si>
    <t>-Ovt_l_00Uay6TIMs4x-</t>
  </si>
  <si>
    <t>44404</t>
  </si>
  <si>
    <t>265170Y</t>
  </si>
  <si>
    <t>2026PD01058</t>
  </si>
  <si>
    <t>35260604788913000175550010000444041000460484</t>
  </si>
  <si>
    <t>2026-06-24 12:24:36</t>
  </si>
  <si>
    <t>-OvyXmJW7VBCR_yVDnxL</t>
  </si>
  <si>
    <t>2026-06-25 11:29:51</t>
  </si>
  <si>
    <t>-OwIK6YN36Gbu0Xg_0-6</t>
  </si>
  <si>
    <t>000.000.336</t>
  </si>
  <si>
    <t>25062026</t>
  </si>
  <si>
    <t>2026PD01068</t>
  </si>
  <si>
    <t>2026NE00958</t>
  </si>
  <si>
    <t>35260608103614000100550010000003361800070003</t>
  </si>
  <si>
    <t>2026-06-29 12:22:09</t>
  </si>
  <si>
    <t>-OwIK6YOJnSIdoLJrMss</t>
  </si>
  <si>
    <t>-OwIK6YOJnSIdoLJrMst</t>
  </si>
  <si>
    <t>-OwN4Y42XpOLNHiYSsbo</t>
  </si>
  <si>
    <t>MACA; GALA NACIONAL; COM PESO UNITARIO ENTRE 100E 130 GRAMAS; APRESENTANDO COLORACAO DA CASCAVERMELHA COM ESTRIAS E POLPA BRANCO CREME; OLOTE DEVERA APRESENTAR HOMOGENEIDADE VISUAL DETAMANHO E COLORACAO; NAO APRESENTAR OS DEFEITOSCOMO: FERIMENTO, PODRIDAO, AMASSADO OU DEFEITODE POLPA; DEVENDO SER ENTREGUE EM EMBALAGEMSUB MULTIPLA DE 1,00 X 1,20M; CONTENDOIDENTIFICACAO DO PRODUTO, PESO LIQUIDO, NOME ETELEFONE DO FORNECEDOR; E SUAS CONDICOES DEVERAO ESTAR DE ACORDO COM A INSTRUCAONORMATIVA CONJUNTA 09/02 (SARC, ANVISA,INMETRO),RDC 12 /01 E ALTERACOES POSTERIORES; PRODUTOSUJEITO A VERIFICACAO NO ATO DA ENTREGA AOSPROCEDIMENTOS ADM. DETERMINADOS PELA ANVISA; OBEDECER AS INFORMACOES CONTIDAS EM NORMAS E PADROES DO SITE WWW.BEC.SP.GOV.BR;</t>
  </si>
  <si>
    <t>WINDMILL LTDA</t>
  </si>
  <si>
    <t>826</t>
  </si>
  <si>
    <t>29/06/26</t>
  </si>
  <si>
    <t>2026PD01072</t>
  </si>
  <si>
    <t>2026NE00956</t>
  </si>
  <si>
    <t>35260656037267000108550010000008261920626729</t>
  </si>
  <si>
    <t>2026-06-30 10:32:16</t>
  </si>
  <si>
    <t>-OwNu3TlaaJtKjD2UpMi</t>
  </si>
  <si>
    <t>257</t>
  </si>
  <si>
    <t>2026PD01067</t>
  </si>
  <si>
    <t>2026NE00955</t>
  </si>
  <si>
    <t>35260626488587000113550010000002571000004491</t>
  </si>
  <si>
    <t>2026-06-30 14:21:44</t>
  </si>
  <si>
    <t>-OwNu3TlaaJtKjD2UpMj</t>
  </si>
  <si>
    <t>-OwNu3TlaaJtKjD2UpMk</t>
  </si>
  <si>
    <t>-OwNxtcvzXrAILDCK43F</t>
  </si>
  <si>
    <t>WALDIVINO BARBOSA DA SILVA</t>
  </si>
  <si>
    <t>2026PD01074</t>
  </si>
  <si>
    <t>2026NE00963</t>
  </si>
  <si>
    <t>35260609063467000155550020000000041300000049</t>
  </si>
  <si>
    <t>2026-06-30 14:38:28</t>
  </si>
  <si>
    <t>-OwNxtcweFG3PSwZCnG8</t>
  </si>
  <si>
    <t>-OwNxtcweFG3PSwZCnG9</t>
  </si>
  <si>
    <t>-OwNxtcweFG3PSwZCnGA</t>
  </si>
  <si>
    <t>-OwNxtcweFG3PSwZCnGB</t>
  </si>
  <si>
    <t>-OwNxtcweFG3PSwZCnGC</t>
  </si>
  <si>
    <t>-OwOPA2Qz20X6789b-2f</t>
  </si>
  <si>
    <t>710</t>
  </si>
  <si>
    <t>2026PD01071</t>
  </si>
  <si>
    <t>2026NE00961</t>
  </si>
  <si>
    <t>35260637635494000190550010000007101000012420</t>
  </si>
  <si>
    <t>2026-06-30 16:41:59</t>
  </si>
  <si>
    <t>-OwOPA2Qz20X6789b-2g</t>
  </si>
  <si>
    <t>-OwOPA2Qz20X6789b-2h</t>
  </si>
  <si>
    <t>-OwOR_vL5Pfi5btwXAMh</t>
  </si>
  <si>
    <t>53</t>
  </si>
  <si>
    <t>2026PD01070</t>
  </si>
  <si>
    <t>2026NE00960</t>
  </si>
  <si>
    <t>35260644187390000126550010000000531300000570</t>
  </si>
  <si>
    <t>2026-06-30 16:52:33</t>
  </si>
  <si>
    <t>-OwOR_vL5Pfi5btwXAMi</t>
  </si>
  <si>
    <t>-OwOT3o3wNFb6UXv5iRS</t>
  </si>
  <si>
    <t>3960</t>
  </si>
  <si>
    <t>2026PD01091/2026PD01092</t>
  </si>
  <si>
    <t>2026NE00967</t>
  </si>
  <si>
    <t>35260624201681000114550010000039601070055893</t>
  </si>
  <si>
    <t>2026-06-30 16:59:02</t>
  </si>
  <si>
    <t>-OwOUn3PLmnmLShh_XIZ</t>
  </si>
  <si>
    <t>29</t>
  </si>
  <si>
    <t>2026PD01075</t>
  </si>
  <si>
    <t>2026NE00962</t>
  </si>
  <si>
    <t>35260627885120000170550010000000291300000349</t>
  </si>
  <si>
    <t>2026-06-30 17:06:34</t>
  </si>
  <si>
    <t>-OwOUn3PLmnmLShh_XI_</t>
  </si>
  <si>
    <t>-OwOUn3PLmnmLShh_XIa</t>
  </si>
  <si>
    <t>-OwOUn3PLmnmLShh_XIb</t>
  </si>
  <si>
    <t>-OwOWw9MU55cyOx6HUyb</t>
  </si>
  <si>
    <t>ALHO; BRANCO; INTEIRO; CLASSE 7, COM DIAMETRO DOBULBO MAIOR QUE 70MM; APRESENTANDO COLORACAODO CATAFILO EXTERNO BRANCAC/ LISTRAS ROXAS;COLORACAO DA PELICULA DO BULBILHO BRANCA E BAIXO PODER DE CONDIMENTACAO; O LOTE DEVERA APRESENTAR HOMOGENEIDADE VISUAL DE TAMANHO E COLORACAO; NAO APRESENTAR OS DEFEITOS BROTADO,CHOCHO, PODRIDAO, MURCHO, FERIMENTO; PASSADO OUQUEBRADO GRAVE (AUSENCIA DE MAIS DE 50%DOSBULBILHOS); DEVENDO SER ENTREGUE EM EMBALAGEM SUB MULTIPLA DE 1,00 X 1,20M; CONTENDOIDENTIFICACAO DO PRODUTO, PESO LIQUIDO, NOME ETELEFONE DO FORNECEDOR; E SUAS CONDICOES DEVERAO ESTAR DE ACORDO COM A INSTRUCAONORMATIVA CONJUNTA 09/02 (SARC, ANVISA,INMETRO),RDC 12 /01 E ALTERACOES POSTERIORES; PRODUTOSUJEITO A VERIFICACAO NO ATO DA ENTREGA AOSPROCEDIMENTOS ADM. DETERMINADOS PELA ANVISA; OBEDECER AS INFORMACOES CONTIDAS EM NORMAS EPADROES DO SITE WWW.BEC.SP.GOV.BR;</t>
  </si>
  <si>
    <t>28062026</t>
  </si>
  <si>
    <t>2026-06-30 17:15:55</t>
  </si>
  <si>
    <t>-OwOuV9TdUZsAxDYt3HQ</t>
  </si>
  <si>
    <t>79</t>
  </si>
  <si>
    <t>2026PD01069</t>
  </si>
  <si>
    <t>2026NE00959</t>
  </si>
  <si>
    <t>35260610877596000166550010000000791761961434</t>
  </si>
  <si>
    <t>2026-06-30 19:03:14</t>
  </si>
  <si>
    <t>-OwOvxCBe-5iT5HcZb1D</t>
  </si>
  <si>
    <t>2026PD01066</t>
  </si>
  <si>
    <t>2026NE00957</t>
  </si>
  <si>
    <t>35260659067351000162550010000002361776729624</t>
  </si>
  <si>
    <t>2026-06-30 19:09:35</t>
  </si>
  <si>
    <t>-OwOzVRy6ByO7aMetVXu</t>
  </si>
  <si>
    <t>56</t>
  </si>
  <si>
    <t>2026PD01076</t>
  </si>
  <si>
    <t>2026NE00965</t>
  </si>
  <si>
    <t>35260610877575000140550010000000561555204673</t>
  </si>
  <si>
    <t>2026-06-30 19:25:07</t>
  </si>
  <si>
    <t>-OwP18AKrhrwb3bJ6ceS</t>
  </si>
  <si>
    <t>2026PD01073</t>
  </si>
  <si>
    <t>2026NE00964</t>
  </si>
  <si>
    <t>35260656052055000108550010000001841080318167</t>
  </si>
  <si>
    <t>2026-06-30 19:36:39</t>
  </si>
  <si>
    <t>-OwTvMDn7DkDKCF33cLB</t>
  </si>
  <si>
    <t>AGENDAMENTO PENDENTE</t>
  </si>
  <si>
    <t>388</t>
  </si>
  <si>
    <t>2026-07-01 18:25:04</t>
  </si>
  <si>
    <t>-OwZqIiWv4HrT5kXQxPi</t>
  </si>
  <si>
    <t>2026-07-02 22:00:42</t>
  </si>
  <si>
    <t>-OwbcMqaNOzrDQCK5Muc</t>
  </si>
  <si>
    <t>ACHOCOLATADO APRESENTAÇÃO: PÓ, SABOR: TRADICIONAL, CARACTERÍSTICA ADICIONAL: COM LEITE</t>
  </si>
  <si>
    <t xml:space="preserve"> FAST MAX FOOD PRODUTOS ALIMENTÍCIOS LTDA</t>
  </si>
  <si>
    <t>186</t>
  </si>
  <si>
    <t>26/0643</t>
  </si>
  <si>
    <t>2027-06-10</t>
  </si>
  <si>
    <t>2026PD01093</t>
  </si>
  <si>
    <t>2026NE00966</t>
  </si>
  <si>
    <t>35260635678685000104550010000001861357158506</t>
  </si>
  <si>
    <t>2026-07-03 10:58:43</t>
  </si>
  <si>
    <t>-OwbcNiR7Iw8YkTyneH7</t>
  </si>
  <si>
    <t>PÓ PARA REFRESCO COMPOSIÇÃO: AÇÚCAR CRISTAL /ACIDULANTES/POLPA FRUTA DESIDRATADA , SABOR:TANGERINA , PRAZO VALIDADE: 1 ANO</t>
  </si>
  <si>
    <t>26/0659</t>
  </si>
  <si>
    <t>2027-06-15</t>
  </si>
  <si>
    <t>2026-07-03 10:58:46</t>
  </si>
  <si>
    <t>-OwbcOCxIwd58fvRxl-y</t>
  </si>
  <si>
    <t>SUCO APRESENTAÇÃO: PÓ , SABOR: UVA , TIPO: ARTIFICIAL</t>
  </si>
  <si>
    <t>26/0651</t>
  </si>
  <si>
    <t>2027-06-12</t>
  </si>
  <si>
    <t>2026-07-03 10:58:48</t>
  </si>
  <si>
    <t>-OwbcdTZUXlxJKZi-_r_</t>
  </si>
  <si>
    <t>04127</t>
  </si>
  <si>
    <t>2027-07-26</t>
  </si>
  <si>
    <t>2026PD01102</t>
  </si>
  <si>
    <t>35260744441407000120550010000041271162710128</t>
  </si>
  <si>
    <t>2026-07-03 10:59:53</t>
  </si>
  <si>
    <t>-Owbf797WxPrMvwGr_cI</t>
  </si>
  <si>
    <t xml:space="preserve">PREPARADO EM PÓ
PARA GELATINA
SABOR MORANGO</t>
  </si>
  <si>
    <t>26/0666</t>
  </si>
  <si>
    <t>2027-06-19</t>
  </si>
  <si>
    <t>2026-07-03 11:10:43</t>
  </si>
  <si>
    <t>-OwdVAK8Q29XVRLSFtbr</t>
  </si>
  <si>
    <t>251</t>
  </si>
  <si>
    <t>03072026</t>
  </si>
  <si>
    <t>2026-07-10</t>
  </si>
  <si>
    <t>2026PD01260</t>
  </si>
  <si>
    <t>2026NE01309</t>
  </si>
  <si>
    <t>3526 0719 7182 9600 0109 5500 1000 0002 5110 0000 5028</t>
  </si>
  <si>
    <t>2026-07-03 19:42:08</t>
  </si>
  <si>
    <t>-OwdVAKAG_29UpZrLppN</t>
  </si>
  <si>
    <t>-OwdVAKAG_29UpZrLppO</t>
  </si>
  <si>
    <t>-OwdVAKAG_29UpZrLppP</t>
  </si>
  <si>
    <t>03062026</t>
  </si>
  <si>
    <t>-OwdjOiKaKqWJkkJpLOY</t>
  </si>
  <si>
    <t>170</t>
  </si>
  <si>
    <t>2026PD01261</t>
  </si>
  <si>
    <t>2026NE01310</t>
  </si>
  <si>
    <t>3526 0708 3818 2800 0149 5500 1000 0001 7010 0000 3408</t>
  </si>
  <si>
    <t>2026-07-03 20:48:39</t>
  </si>
  <si>
    <t>-OwdjOiLeiSX5W_cZU0D</t>
  </si>
  <si>
    <t>-OwdjOiLeiSX5W_cZU0E</t>
  </si>
  <si>
    <t>-OwdjOiLeiSX5W_cZU0F</t>
  </si>
  <si>
    <t>-Own7mUMeH2J3h5DKa-g</t>
  </si>
  <si>
    <t>2026PD01269</t>
  </si>
  <si>
    <t>2026NE01302</t>
  </si>
  <si>
    <t>3526 0714 7760 5100 0114 5500 1000 0000 6411 9200 9004</t>
  </si>
  <si>
    <t>2026-07-05 16:36:13</t>
  </si>
  <si>
    <t>-Own7mUMeH2J3h5DKa-h</t>
  </si>
  <si>
    <t>-Own7mUMeH2J3h5DKa-i</t>
  </si>
  <si>
    <t>-Own7mUMeH2J3h5DKa-j</t>
  </si>
  <si>
    <t>-Own7mUMeH2J3h5DKa-k</t>
  </si>
  <si>
    <t>-Own7mUMeH2J3h5DKa-l</t>
  </si>
  <si>
    <t>-Own7mUMeH2J3h5DKa-m</t>
  </si>
  <si>
    <t>-Own7mUMeH2J3h5DKa-n</t>
  </si>
  <si>
    <t>-Own7mUMeH2J3h5DKa-o</t>
  </si>
  <si>
    <t>-Own7mUMeH2J3h5DKa-p</t>
  </si>
  <si>
    <t>-Own7mUMeH2J3h5DKa-q</t>
  </si>
  <si>
    <t>-Own7mUMeH2J3h5DKa-r</t>
  </si>
  <si>
    <t>-Own7mUMeH2J3h5DKa-s</t>
  </si>
  <si>
    <t>-Owwy5kFf9HgolNubJcK</t>
  </si>
  <si>
    <t>000000047</t>
  </si>
  <si>
    <t>07072026</t>
  </si>
  <si>
    <t>2026PD01281</t>
  </si>
  <si>
    <t>2026NE01319</t>
  </si>
  <si>
    <t>3526 0759 5326 8500 0160 5500 1000 0000 4715 6290 0055</t>
  </si>
  <si>
    <t>2026-07-07 14:25:40</t>
  </si>
  <si>
    <t>-Owwy5kM96yBFgrOgoE4</t>
  </si>
  <si>
    <t>-Owwy5kNxTent_gE1NaY</t>
  </si>
  <si>
    <t>-Owwy5kNxTent_gE1NaZ</t>
  </si>
  <si>
    <t>-Owwy5kNxTent_gE1Na_</t>
  </si>
  <si>
    <t>-Owwy5kNxTent_gE1Naa</t>
  </si>
  <si>
    <t>-Owz4XZQeDz-46OXBz7S</t>
  </si>
  <si>
    <t>08</t>
  </si>
  <si>
    <t>2026PD01296</t>
  </si>
  <si>
    <t>2026NE01330</t>
  </si>
  <si>
    <t>3526 0766 7699 1100 0196 5500 1000 0000 0816 9000 3101</t>
  </si>
  <si>
    <t>2026-07-08 00:17:27</t>
  </si>
  <si>
    <t>-Owz4XZQeDz-46OXBz7T</t>
  </si>
  <si>
    <t>-Owz4XZRy2QlNb9Eu3Cd</t>
  </si>
  <si>
    <t>-Owz4XZRy2QlNb9Eu3Ce</t>
  </si>
  <si>
    <t>-Owz4XZRy2QlNb9Eu3Cf</t>
  </si>
  <si>
    <t>-Owz4XZRy2QlNb9Eu3Cg</t>
  </si>
  <si>
    <t>-Owz4XZRy2QlNb9Eu3Ch</t>
  </si>
  <si>
    <t>-Owz4XZRy2QlNb9Eu3Ci</t>
  </si>
  <si>
    <t>-Owz4XZRy2QlNb9Eu3Cj</t>
  </si>
  <si>
    <t>-Owz4XZRy2QlNb9Eu3Ck</t>
  </si>
  <si>
    <t>-Owz4XZRy2QlNb9Eu3Cl</t>
  </si>
  <si>
    <t>-Owz4XZRy2QlNb9Eu3Cm</t>
  </si>
  <si>
    <t>-Owz4XZRy2QlNb9Eu3Cn</t>
  </si>
  <si>
    <t>-Ox0ZlC19lYRZt8onLGk</t>
  </si>
  <si>
    <t>1537</t>
  </si>
  <si>
    <t>30062026</t>
  </si>
  <si>
    <t>2026-12-29</t>
  </si>
  <si>
    <t>2026PD01101</t>
  </si>
  <si>
    <t>35260729725258000137550010000015371873388548</t>
  </si>
  <si>
    <t>2026-07-08 11:53:04</t>
  </si>
  <si>
    <t>-Ox1ODysRbMis-ueeBDt</t>
  </si>
  <si>
    <t>08072026</t>
  </si>
  <si>
    <t>2026NE01267</t>
  </si>
  <si>
    <t>2026NE01315</t>
  </si>
  <si>
    <t>3526 0747 9529 2100 0118 5500 1000 0001 2818 0033 0008</t>
  </si>
  <si>
    <t>2026-07-08 15:42:18</t>
  </si>
  <si>
    <t>-Ox1ODytfsL2ixJwPl-B</t>
  </si>
  <si>
    <t>-Ox1ODytfsL2ixJwPl-C</t>
  </si>
  <si>
    <t>-Ox1ODytfsL2ixJwPl-D</t>
  </si>
  <si>
    <t>-Ox1ODytfsL2ixJwPl-E</t>
  </si>
  <si>
    <t>-Ox1ODytfsL2ixJwPl-F</t>
  </si>
  <si>
    <t>-Ox1ODytfsL2ixJwPl-G</t>
  </si>
  <si>
    <t>-Ox1ODytfsL2ixJwPl-H</t>
  </si>
  <si>
    <t>-OxQCOGe4H3lPo5VZ7fr</t>
  </si>
  <si>
    <t>7472</t>
  </si>
  <si>
    <t>15062026</t>
  </si>
  <si>
    <t>2026-12-14</t>
  </si>
  <si>
    <t>2026PD01095</t>
  </si>
  <si>
    <t>2026NE00404</t>
  </si>
  <si>
    <t>35260720002779000191550010000074721276592956</t>
  </si>
  <si>
    <t>2026-07-13 11:21:08</t>
  </si>
  <si>
    <t>-OxQopUEZVgZOayQjrGD</t>
  </si>
  <si>
    <t>841</t>
  </si>
  <si>
    <t>lote 08 m-4017-814</t>
  </si>
  <si>
    <t>2027-01-13</t>
  </si>
  <si>
    <t>2026PD01252</t>
  </si>
  <si>
    <t>2026NE01001</t>
  </si>
  <si>
    <t>35260756037267000108550010000008411140238924</t>
  </si>
  <si>
    <t>2026-07-13 14:13:27</t>
  </si>
  <si>
    <t>-OxRY0EseO_g_IYGNSvS</t>
  </si>
  <si>
    <t>2026-07-13 17:35:11</t>
  </si>
  <si>
    <t>-OxRY0Et7TJZUMmjqdqU</t>
  </si>
  <si>
    <t>-OxRY0Et7TJZUMmjqdqV</t>
  </si>
  <si>
    <t>-OxRY0Et7TJZUMmjqdqW</t>
  </si>
  <si>
    <t>-OxRY0Et7TJZUMmjqdqX</t>
  </si>
  <si>
    <t>-OxR_UpAenF5DwQXYlTP</t>
  </si>
  <si>
    <t>000000022</t>
  </si>
  <si>
    <t>13072026</t>
  </si>
  <si>
    <t>2026-08-15</t>
  </si>
  <si>
    <t>2026PD01375</t>
  </si>
  <si>
    <t>2026NE01463</t>
  </si>
  <si>
    <t>2026-07-13 17:46:01</t>
  </si>
  <si>
    <t>-OxR_UpC-T6qLkIuyFgn</t>
  </si>
  <si>
    <t>-OxRf-UQicpQLTCdhAC3</t>
  </si>
  <si>
    <t>211.852</t>
  </si>
  <si>
    <t>09/06/2026</t>
  </si>
  <si>
    <t>2026PD01079</t>
  </si>
  <si>
    <t>35260652657483000103550010002118521364462038</t>
  </si>
  <si>
    <t>2026-07-13 18:10:08</t>
  </si>
  <si>
    <t>-OxVJ6uCYKZ5au-qdDIt</t>
  </si>
  <si>
    <t>44497</t>
  </si>
  <si>
    <t>l - 265187Y</t>
  </si>
  <si>
    <t>2026PD01254</t>
  </si>
  <si>
    <t>35260704788913000175550010000444971000461440</t>
  </si>
  <si>
    <t>2026-07-14 11:08:35</t>
  </si>
  <si>
    <t>-OxVJDGWD79_P5wJTq0a</t>
  </si>
  <si>
    <t>L-265187Y</t>
  </si>
  <si>
    <t>2026-07-14 11:09:01</t>
  </si>
  <si>
    <t>-OxVRtBevLz9VzJA_edm</t>
  </si>
  <si>
    <t>l-5514</t>
  </si>
  <si>
    <t>2026-07-14 11:46:54</t>
  </si>
  <si>
    <t>-OxVwhHmQKQaB060TEEz</t>
  </si>
  <si>
    <t>933</t>
  </si>
  <si>
    <t>14072026</t>
  </si>
  <si>
    <t>2026PD01262</t>
  </si>
  <si>
    <t>2026NE01311</t>
  </si>
  <si>
    <t>35260718107834000166550010000009331600803008</t>
  </si>
  <si>
    <t>2026-07-14 14:05:54</t>
  </si>
  <si>
    <t>-OxVxsRja5uQAD9dL344</t>
  </si>
  <si>
    <t>594</t>
  </si>
  <si>
    <t>2026PD01263</t>
  </si>
  <si>
    <t>2026NE01312</t>
  </si>
  <si>
    <t>35260720672752000106550010000005941102537008</t>
  </si>
  <si>
    <t>2026-07-14 14:11:02</t>
  </si>
  <si>
    <t>-OxVyMe7e3xQxtBOwgNG</t>
  </si>
  <si>
    <t>630</t>
  </si>
  <si>
    <t>2026PD01264</t>
  </si>
  <si>
    <t>2026NE01313</t>
  </si>
  <si>
    <t>35260717875886000110550010000006301373830209</t>
  </si>
  <si>
    <t>2026-07-14 14:13:09</t>
  </si>
  <si>
    <t>-OxWsdGTWTqUR85J1jvA</t>
  </si>
  <si>
    <t>263</t>
  </si>
  <si>
    <t>2026PD01287</t>
  </si>
  <si>
    <t>202601322</t>
  </si>
  <si>
    <t>3526 0726 4885 8700 0113 5500 1000 0002 6310 0000 4603</t>
  </si>
  <si>
    <t>2026-07-14 18:27:47</t>
  </si>
  <si>
    <t>-OxWsdGTWTqUR85J1jvB</t>
  </si>
  <si>
    <t>-OxWsdGTWTqUR85J1jvC</t>
  </si>
  <si>
    <t>20216-07-21</t>
  </si>
  <si>
    <t>-OxWsqAvvmWo0PpM6FWD</t>
  </si>
  <si>
    <t>721</t>
  </si>
  <si>
    <t>2026PD01282</t>
  </si>
  <si>
    <t>2026NE01320</t>
  </si>
  <si>
    <t>3526 0737 6354 9400 0190 5500 1000 0007 2110 0001 2613</t>
  </si>
  <si>
    <t>2026-07-14 18:28:40</t>
  </si>
  <si>
    <t>-OxWsqAwy0DV_-fsiGCZ</t>
  </si>
  <si>
    <t>-OxWsqAwy0DV_-fsiGC_</t>
  </si>
  <si>
    <t>-OxWtFACr45DEDwIyyP9</t>
  </si>
  <si>
    <t>305</t>
  </si>
  <si>
    <t>3526 0708 4774 7600 0120 5500 1000 0003 0510 0000 5335</t>
  </si>
  <si>
    <t>2026-07-14 18:30:26</t>
  </si>
  <si>
    <t>-OxWtFACr45DEDwIyyPA</t>
  </si>
  <si>
    <t>-OxXfVMA3piuyE-cimwd</t>
  </si>
  <si>
    <t>397</t>
  </si>
  <si>
    <t>L-10/07/26</t>
  </si>
  <si>
    <t>2026PD01419</t>
  </si>
  <si>
    <t>2026NE01501</t>
  </si>
  <si>
    <t>35260717130305000110550010000003971005143100</t>
  </si>
  <si>
    <t>2026-07-14 22:09:57</t>
  </si>
  <si>
    <t>-OxXfVMA3piuyE-cimwe</t>
  </si>
  <si>
    <t>-Ox_lPMNjdqMRtLv1qEQ</t>
  </si>
  <si>
    <t>26167</t>
  </si>
  <si>
    <t>2026-07-15 12:34:41</t>
  </si>
  <si>
    <t>-Ox_lPMNjdqMRtLv1qER</t>
  </si>
  <si>
    <t>153082</t>
  </si>
  <si>
    <t>2026-10-28</t>
  </si>
  <si>
    <t>-OxauQIcUaW1INtrfnCS</t>
  </si>
  <si>
    <t>55</t>
  </si>
  <si>
    <t>2026PD01257</t>
  </si>
  <si>
    <t>2026NE01298</t>
  </si>
  <si>
    <t>35260744187390000126550010000000551300000595</t>
  </si>
  <si>
    <t>2026-07-15 17:53:41</t>
  </si>
  <si>
    <t>-OxauQIdVLPe9ielj9ya</t>
  </si>
  <si>
    <t>-Oxbfy5VO6BPjtAHOEo9</t>
  </si>
  <si>
    <t>31</t>
  </si>
  <si>
    <t>2026PD01280</t>
  </si>
  <si>
    <t>2026NE01318</t>
  </si>
  <si>
    <t>35260727885120000170550010000000311300000375</t>
  </si>
  <si>
    <t>2026-07-15 21:30:08</t>
  </si>
  <si>
    <t>-Oxbfy5WNhNGfz3DzNcX</t>
  </si>
  <si>
    <t>-Oxbfy5XeAzjVDW1QO5R</t>
  </si>
  <si>
    <t>-Oxbfy5Yg-WbIaeE7Lfd</t>
  </si>
  <si>
    <t>-OxegUDZQgvL7AiGRRPc</t>
  </si>
  <si>
    <t>256</t>
  </si>
  <si>
    <t>090727</t>
  </si>
  <si>
    <t>2027-07-09</t>
  </si>
  <si>
    <t>2026PD01100</t>
  </si>
  <si>
    <t>2026NE00403</t>
  </si>
  <si>
    <t>35260754401485000154550010000002561632092434</t>
  </si>
  <si>
    <t>2026-07-16 11:31:14</t>
  </si>
  <si>
    <t>-Oxeoxpy9UnF95jDJcOC</t>
  </si>
  <si>
    <t>2026-07-16 12:08:17</t>
  </si>
  <si>
    <t>-Oxeoxq-tSQ2HrBm0GG4</t>
  </si>
  <si>
    <t>-Oxf3GhXTE7S7vJsOwQ1</t>
  </si>
  <si>
    <t>mISTURA ALIMENTICIA</t>
  </si>
  <si>
    <t>21686</t>
  </si>
  <si>
    <t>LOTE 06/04/2026</t>
  </si>
  <si>
    <t>2026PD00664</t>
  </si>
  <si>
    <t>35260405098638000120550010000216861549102216</t>
  </si>
  <si>
    <t>2026-07-16 13:15:10</t>
  </si>
  <si>
    <t>-OxgPrbYYVrkHj7BLrOK</t>
  </si>
  <si>
    <t>2026PD01293</t>
  </si>
  <si>
    <t>2026NE01331</t>
  </si>
  <si>
    <t>35260763134694000170550010000000211300000220</t>
  </si>
  <si>
    <t>2026-07-16 19:33:30</t>
  </si>
  <si>
    <t>-OxgPrbYYVrkHj7BLrOL</t>
  </si>
  <si>
    <t>-OxgPrbYYVrkHj7BLrOM</t>
  </si>
  <si>
    <t>-OxgPrbYYVrkHj7BLrON</t>
  </si>
  <si>
    <t>-OxgPrbZ2orNECYyIE04</t>
  </si>
  <si>
    <t>-OxgPrbZ2orNECYyIE05</t>
  </si>
  <si>
    <t>-OxgPrbZ2orNECYyIE06</t>
  </si>
  <si>
    <t>-OxgPrbZ2orNECYyIE07</t>
  </si>
  <si>
    <t>-OxgRRbiy6v6jn9xoXOe</t>
  </si>
  <si>
    <t>246</t>
  </si>
  <si>
    <t>2026PD01292</t>
  </si>
  <si>
    <t>2026NE01327</t>
  </si>
  <si>
    <t>35260744008927000143550010000002461300002397</t>
  </si>
  <si>
    <t>2026-07-16 19:40:24</t>
  </si>
  <si>
    <t>-OxgRRbiy6v6jn9xoXOf</t>
  </si>
  <si>
    <t>-OxgRRbj_yTbU9SKQM86</t>
  </si>
  <si>
    <t>-OxgRRbj_yTbU9SKQM87</t>
  </si>
  <si>
    <t>-OxgRRbj_yTbU9SKQM88</t>
  </si>
  <si>
    <t>-OxgRRbj_yTbU9SKQM89</t>
  </si>
  <si>
    <t>-Oxjv7577oBQ6SKkUPTH</t>
  </si>
  <si>
    <t xml:space="preserve">MELANCIA; COMUM; REDONDA , GRAUDA (COM PESO UNITARIO SUPERIOR A 10 KG); COM POLPA VERMELHA E PRESENCA DE SEMENTES; DEVENDO O LOTE APRESENTARHOMOGENEIDADE VISUAL DE TAMANHO E COLORACAO;
NAO APRESENTAR DEFEITOS COMO PODRIDAO, PASSADO,
AMASSADO, FERIDO, OCO, IMATURO, QUEIMADO DE SOL
GRAVE, COM VIROSE; DEFORMACAO GRAVE OU POLPA
BRANCA; DEVENDO SER ENTREGUE EM EMBALAGEM
SUBMULTIPLA DE 1,00X1,20M; CONTENDO IDENTIFICACAO
DO PRODUTO, PESO LIQUIDO, NOME E TELEFONE DO
FORNECEDOR; E SUAS CONDICOES DEVERAO ESTAR DE
ACORDO COM A INSTRUCAO NORMATIVA CONJUNTA 09/02
(SARC, ANVISA, INMETRO), RDC 12/01 E ALTERACOES
POSTERIORES; PRODUTO SUJEITO A VERIFICACAO NO ATO
DA ENTREGA AOS PROCEDIMENTOS ADMIN.
DETERMINADOS PELA ANVISA; OBEDECER AS
INFORMACOES CONTIDAS EM NORMAS E PADROES DO SITE</t>
  </si>
  <si>
    <t>RODRIGO DRUBI MARTINS LTDA</t>
  </si>
  <si>
    <t>9530</t>
  </si>
  <si>
    <t>lote -16-07-2026</t>
  </si>
  <si>
    <t>2026PD01250</t>
  </si>
  <si>
    <t>2026NE01295</t>
  </si>
  <si>
    <t>35260741339668000145550010000095301553578184</t>
  </si>
  <si>
    <t>2026-07-17 11:53:20</t>
  </si>
  <si>
    <t>-OxlbZp3g8IB6bAJh-ye</t>
  </si>
  <si>
    <t>2026PD01265</t>
  </si>
  <si>
    <t>2026NE01314</t>
  </si>
  <si>
    <t>352607090634670001555500200000000061300000063</t>
  </si>
  <si>
    <t>2026-07-17 19:47:07</t>
  </si>
  <si>
    <t>-OxlbZp4Yc7RPxr05ueH</t>
  </si>
  <si>
    <t>14062027</t>
  </si>
  <si>
    <t>-OxlbZp4Yc7RPxr05ueI</t>
  </si>
  <si>
    <t>-OxlbZp4Yc7RPxr05ueJ</t>
  </si>
  <si>
    <t>24072026</t>
  </si>
  <si>
    <t>-OxlbZp4Yc7RPxr05ueK</t>
  </si>
  <si>
    <t>17072026</t>
  </si>
  <si>
    <t>-OxlbZp4Yc7RPxr05ueL</t>
  </si>
  <si>
    <t>-OxzXAyDFDj3sMmKenjk</t>
  </si>
  <si>
    <t>2026-07-20 12:38:15</t>
  </si>
  <si>
    <t>-Oy-_AuA2uKa6b1B7CyV</t>
  </si>
  <si>
    <t>fuba mimoso</t>
  </si>
  <si>
    <t>01567</t>
  </si>
  <si>
    <t>62780</t>
  </si>
  <si>
    <t>2027-02-15</t>
  </si>
  <si>
    <t>2026PD01258</t>
  </si>
  <si>
    <t>2026NE01297</t>
  </si>
  <si>
    <t xml:space="preserve">  35260757812230000172550010000015671900001560</t>
  </si>
  <si>
    <t>2026-07-20 17:30:59</t>
  </si>
  <si>
    <t>-Oy-nrvIQ4jyRx21fRMF</t>
  </si>
  <si>
    <t>2026-07-20 18:35:09</t>
  </si>
  <si>
    <t>-Oy-nrvJDjVUiCZmvkl9</t>
  </si>
  <si>
    <t>-Oy3lPzonJAMnTam5UeU</t>
  </si>
  <si>
    <t xml:space="preserve">CARNE BOVINA IN NATURA TIPO CORTE:
PALETA (PÁ), APRESENTAÇÃO: PEÇA
INTEIRA, ESTADO DE CONSERVAÇÃO:
RESFRIADO
</t>
  </si>
  <si>
    <t>4999</t>
  </si>
  <si>
    <t>17052026</t>
  </si>
  <si>
    <t>2026PD01251</t>
  </si>
  <si>
    <t>2026NE01296</t>
  </si>
  <si>
    <t>35260743192676000137550010000049991199062246</t>
  </si>
  <si>
    <t>2026-07-21 13:02:55</t>
  </si>
  <si>
    <t>-Oy4-SyYImoh40NFu392</t>
  </si>
  <si>
    <t>MORTADELA , TIPO PREPARAÇÃO: COZIDO, COMPOSIÇÃO: SEM TOUCINHO EM CUBOS, APRESENTAÇÃO: PEÇA INTEIRA , ESTADO DE CONSERVAÇÃO: RESFRIADO(A)</t>
  </si>
  <si>
    <t>0911</t>
  </si>
  <si>
    <t>0902</t>
  </si>
  <si>
    <t>2026-10-10</t>
  </si>
  <si>
    <t>2026PD01259</t>
  </si>
  <si>
    <t>2026NE00393</t>
  </si>
  <si>
    <t>35260705336786000136550030000009111000706040</t>
  </si>
  <si>
    <t>2026-07-21 14:08:40</t>
  </si>
  <si>
    <t>-Oy4-TOw7QSL8nzC6XUZ</t>
  </si>
  <si>
    <t>APRESUNTADO , TIPO PREPARAÇÃO: COZIDO, APRESENTAÇÃO: PEÇA INTEIRA , ESTADO DE CONSERVAÇÃO: RESFRIADO(A)</t>
  </si>
  <si>
    <t>1806</t>
  </si>
  <si>
    <t>2026-09-19</t>
  </si>
  <si>
    <t>2026-07-21 14:08:41</t>
  </si>
  <si>
    <t>-Oy4-To7gX_IZl4GJYGA</t>
  </si>
  <si>
    <t>LINGUIÇA CALABRESA ,TAMANHO: GROSSA , TIPO PREPARAÇÃO: DEFUMADA , ESTADO DE CONSERVAÇÃO: RESFRIADO(A)</t>
  </si>
  <si>
    <t>1507</t>
  </si>
  <si>
    <t>2026-10-16</t>
  </si>
  <si>
    <t>2026-07-21 14:08:43</t>
  </si>
  <si>
    <t>-Oy8ehOR4j1jm5vCprKL</t>
  </si>
  <si>
    <t>3493</t>
  </si>
  <si>
    <t>1090726</t>
  </si>
  <si>
    <t>2026-11-08</t>
  </si>
  <si>
    <t>2026PD01271</t>
  </si>
  <si>
    <t>35260757493580000113550010000034931537813907</t>
  </si>
  <si>
    <t>2026-07-22 11:51:42</t>
  </si>
  <si>
    <t>-Oy8ehq1AvL3ucUI2igy</t>
  </si>
  <si>
    <t>12012090726</t>
  </si>
  <si>
    <t>2027-01-04</t>
  </si>
  <si>
    <t>2026-07-22 11:51:44</t>
  </si>
  <si>
    <t>-Oy93xW0lYXwK4K54brB</t>
  </si>
  <si>
    <t>44607</t>
  </si>
  <si>
    <t>22072026</t>
  </si>
  <si>
    <t>2026PD01270</t>
  </si>
  <si>
    <t>35260704788913000175550010000446071913377800</t>
  </si>
  <si>
    <t>2026-07-22 13:46:24</t>
  </si>
  <si>
    <t>-Oy95d3JdWdAaWv40kNT</t>
  </si>
  <si>
    <t>9554</t>
  </si>
  <si>
    <t>20072026</t>
  </si>
  <si>
    <t>2026PD01299</t>
  </si>
  <si>
    <t>2026NE01321</t>
  </si>
  <si>
    <t>35260741339668000145550010000095541044807888</t>
  </si>
  <si>
    <t>2026-07-22 13:53:44</t>
  </si>
  <si>
    <t>-Oy9rtyr3Wynp1BzVvsf</t>
  </si>
  <si>
    <t>5045</t>
  </si>
  <si>
    <t>BF111</t>
  </si>
  <si>
    <t>2028-07-24</t>
  </si>
  <si>
    <t>2026PD01301</t>
  </si>
  <si>
    <t>35260700840591000105550010000050451000002251</t>
  </si>
  <si>
    <t>2026-07-22 17:28:59</t>
  </si>
  <si>
    <t>-Oy9rx5WqglVePrstlDK</t>
  </si>
  <si>
    <t>0610</t>
  </si>
  <si>
    <t>2028-06-17</t>
  </si>
  <si>
    <t>2026-07-22 17:29:11</t>
  </si>
  <si>
    <t>-Oy9s1k0_BEiXfvfdCQp</t>
  </si>
  <si>
    <t>212431</t>
  </si>
  <si>
    <t>100726</t>
  </si>
  <si>
    <t>2026PD01274</t>
  </si>
  <si>
    <t>35260752657483000103550010002124311032862252</t>
  </si>
  <si>
    <t>2026-07-22 17:29:35</t>
  </si>
  <si>
    <t>-OyDoMxi7e0cOySa0tn0</t>
  </si>
  <si>
    <t xml:space="preserve">CARNE BOVINA IN NATURA
TIPO CORTE: CUPIM,
APRESENTAÇÃO: PEÇA
INTEIRA, ESTADO DE
CONSERVAÇÃO:
RESFRIADO(A)</t>
  </si>
  <si>
    <t>212430</t>
  </si>
  <si>
    <t>02072026</t>
  </si>
  <si>
    <t>2026PD01273</t>
  </si>
  <si>
    <t>2026NE01305</t>
  </si>
  <si>
    <t>35260752657483000103550010002124301037762259</t>
  </si>
  <si>
    <t>2026-07-23 11:52:02</t>
  </si>
  <si>
    <t>-OyE1y9sleIYahnpcSz3</t>
  </si>
  <si>
    <t xml:space="preserve">BISCOITO APRESENTAÇÃO: REDONDO, SABOR: MAIZENA,
TIPO: MARIA, CARACTERÍSTICAS ADICIONAIS: SEM
RECHEIO, CLASSIFICAÇÃO: DOCE, APLICAÇÃO:
ALIMENTAÇÃO HUMANA, PRAZO VALIDADE: 1 ANO</t>
  </si>
  <si>
    <t>807/16</t>
  </si>
  <si>
    <t>2027-04-21</t>
  </si>
  <si>
    <t>2026-07-23 12:55:48</t>
  </si>
  <si>
    <t>-OyE1y9tJHb8ccjcDe0e</t>
  </si>
  <si>
    <t xml:space="preserve">FARINHA DE MANDIOCA GRUPO: SECA ,
SUBGRUPO: AMARELA , CLASSE: FINA , ASPECTO FÍSICO:
TIPO 1 , ACIDEZ: BAIXA ACIDEZ</t>
  </si>
  <si>
    <t>2027-06-01</t>
  </si>
  <si>
    <t>-OyE1y9tJHb8ccjcDe0f</t>
  </si>
  <si>
    <t xml:space="preserve">MILHO DE PIPOCA GRUPO: DURO , CLASSE: AMARELA ,
QUALIDADE: TIPO 1 , FORMATO ESTOURADO: TIPO
IRREGULAR/BUTTERFLY</t>
  </si>
  <si>
    <t>2028-02-23</t>
  </si>
  <si>
    <t>-OyE1y9tJHb8ccjcDe0g</t>
  </si>
  <si>
    <t xml:space="preserve">CÔCO RALADO INGREDIENTES: AMÊNDOA DE CÔCO,
APRESENTAÇÃO: TRITURADO, CARACTERÍSTICAS ADICIONAIS:
SEM AÇUCAR</t>
  </si>
  <si>
    <t>2028-07-07</t>
  </si>
  <si>
    <t>2AD463A1-C</t>
  </si>
  <si>
    <t>-OyE1y9tJHb8ccjcDe0h</t>
  </si>
  <si>
    <t xml:space="preserve">CANJICA GRUPO: ESPECIAL, Nº 3 , SUBGRUPO:
DESPELICULADA , CLASSE: BRANCA , QUALIDADE: TIPO 1 ,
CARACTERÍSTICA ADICIONAL: NÃO TRANSGÊNICO</t>
  </si>
  <si>
    <t>-OyE1y9tJHb8ccjcDe0i</t>
  </si>
  <si>
    <t>2028-07-15</t>
  </si>
  <si>
    <t>-OyKIuflB9Btqbna1wk2</t>
  </si>
  <si>
    <t xml:space="preserve"> MASSA DE TOMATE TIPO: MOLHO PRONTO ,
COMPOSIÇÃO: TRADICIONAL , APRESENTAÇÃO: LÍQUIDO</t>
  </si>
  <si>
    <t>ALEX PIRES DE OLIVEIRA</t>
  </si>
  <si>
    <t>103</t>
  </si>
  <si>
    <t>l 02/07/2026</t>
  </si>
  <si>
    <t>2027-07-02</t>
  </si>
  <si>
    <t>2026PD01294</t>
  </si>
  <si>
    <t>2026NE01317</t>
  </si>
  <si>
    <t>35260663626010000157550010000001031529573919</t>
  </si>
  <si>
    <t>2026-07-24 18:07:33</t>
  </si>
  <si>
    <t>-OyKMJRjAcvMQLxvLFXq</t>
  </si>
  <si>
    <t xml:space="preserve">SUCO APRESENTAÇÃO: XAROPE , SABOR: GROSELHA ,
TIPO: ARTIFICIAL , CARACTERÍSTICAS ADICIONAIS: AROMA
ARTIFICIA</t>
  </si>
  <si>
    <t>104</t>
  </si>
  <si>
    <t xml:space="preserve"> l 462/2026</t>
  </si>
  <si>
    <t>2027-07-23</t>
  </si>
  <si>
    <t>2026PD01295</t>
  </si>
  <si>
    <t>35260663626010000157550010000001041842799170</t>
  </si>
  <si>
    <t>2026-07-24 18:22:25</t>
  </si>
  <si>
    <t>-OyYWiXmXGSHeS-9nuZj</t>
  </si>
  <si>
    <t>166</t>
  </si>
  <si>
    <t>27072026</t>
  </si>
  <si>
    <t>2026PD01266</t>
  </si>
  <si>
    <t>2026NE01316</t>
  </si>
  <si>
    <t>35260714339601000138550010000001661047064432</t>
  </si>
  <si>
    <t>2026-07-27 12:22:35</t>
  </si>
  <si>
    <t>-OyYrda-2E4qpTnWOoVL</t>
  </si>
  <si>
    <t>0856</t>
  </si>
  <si>
    <t>M4017-BH</t>
  </si>
  <si>
    <t>2026-12-07</t>
  </si>
  <si>
    <t>2026PD01272</t>
  </si>
  <si>
    <t>2026NE01308</t>
  </si>
  <si>
    <t>35260756037267000108550010000008561300280420</t>
  </si>
  <si>
    <t>2026-07-27 13:58:22</t>
  </si>
  <si>
    <t>-OyYrgtOhjWBqIaIaeE2</t>
  </si>
  <si>
    <t>2026-07-27 13:58:35</t>
  </si>
  <si>
    <t>-OyZc2I_3zX4b2kkqycE</t>
  </si>
  <si>
    <t>5049</t>
  </si>
  <si>
    <t>240726</t>
  </si>
  <si>
    <t>2026PD01275</t>
  </si>
  <si>
    <t>35260743192676000137550010000050491245462276</t>
  </si>
  <si>
    <t>2026-07-27 17:29:48</t>
  </si>
  <si>
    <t>-Oyd87GX-EkSsQ1-z0cr</t>
  </si>
  <si>
    <t>3961</t>
  </si>
  <si>
    <t>LOTE 2807</t>
  </si>
  <si>
    <t>2026PD01364</t>
  </si>
  <si>
    <t>2026NE01335</t>
  </si>
  <si>
    <t>3526 0724 2016 8100 0114 5500 1000 0039 6110 0000 7009</t>
  </si>
  <si>
    <t>2026-07-28 14:32:50</t>
  </si>
  <si>
    <t>-OyhvaShX9YKdrT7iAxG</t>
  </si>
  <si>
    <t>0066</t>
  </si>
  <si>
    <t>29072026</t>
  </si>
  <si>
    <t>2026PD01286</t>
  </si>
  <si>
    <t>2026NE01323</t>
  </si>
  <si>
    <t>35260710877575000140550010000000661861380050</t>
  </si>
  <si>
    <t>2026-07-29 12:51:50</t>
  </si>
  <si>
    <t>-OyhwT3kJ0y7hBkucau1</t>
  </si>
  <si>
    <t>0250</t>
  </si>
  <si>
    <t>2026PD01284</t>
  </si>
  <si>
    <t>2026NE01325</t>
  </si>
  <si>
    <t>35260759067351000162550010000002501663207900</t>
  </si>
  <si>
    <t>2026-07-29 12:55:38</t>
  </si>
  <si>
    <t>-OyhxFEimGh2OT63pHpQ</t>
  </si>
  <si>
    <t>0087</t>
  </si>
  <si>
    <t>2026PD01285</t>
  </si>
  <si>
    <t>2026NE01324</t>
  </si>
  <si>
    <t>3526071087759600016655000000871889131425</t>
  </si>
  <si>
    <t>2026-07-29 12:59:03</t>
  </si>
  <si>
    <t>-OyhxzK4JLgRmdRf-OZN</t>
  </si>
  <si>
    <t>195</t>
  </si>
  <si>
    <t>2026PD01283</t>
  </si>
  <si>
    <t>2026NE01326</t>
  </si>
  <si>
    <t>35260756052055000108550010000001951200604932</t>
  </si>
  <si>
    <t>2026-07-29 13:02:16</t>
  </si>
  <si>
    <t>-Oyj--Sy_n-srkzcfh4c</t>
  </si>
  <si>
    <t>26525</t>
  </si>
  <si>
    <t>2027-06-26</t>
  </si>
  <si>
    <t>2026PD01288</t>
  </si>
  <si>
    <t>2026NE01328</t>
  </si>
  <si>
    <t>2026-07-29 17:50:42</t>
  </si>
  <si>
    <t>-Oyo7Ku0lh3abTjWkC3R</t>
  </si>
  <si>
    <t>0338</t>
  </si>
  <si>
    <t>2027-01-21</t>
  </si>
  <si>
    <t>2026PD01303</t>
  </si>
  <si>
    <t>35260756429225000112550010000003381362691626</t>
  </si>
  <si>
    <t>2026-07-30 17:45:13</t>
  </si>
  <si>
    <t>-Oyo7OKqV23UqKOg1if7</t>
  </si>
  <si>
    <t>AA28</t>
  </si>
  <si>
    <t>2026-11-09</t>
  </si>
  <si>
    <t>2026-07-30 17:45:27</t>
  </si>
  <si>
    <t>-OyoGzTPCN8gERHEwTKZ</t>
  </si>
  <si>
    <t>4230</t>
  </si>
  <si>
    <t>240.2026</t>
  </si>
  <si>
    <t>2026PD01300</t>
  </si>
  <si>
    <t>35260744441407000120550010000042301595154850</t>
  </si>
  <si>
    <t>2026-07-30 18:27:23</t>
  </si>
  <si>
    <t>-OyoXyId4bHMsBqyJ3Xi</t>
  </si>
  <si>
    <t>01568</t>
  </si>
  <si>
    <t>14</t>
  </si>
  <si>
    <t>2026PD01368</t>
  </si>
  <si>
    <t>35260757812230000172550010000015681900001567</t>
  </si>
  <si>
    <t>2026-07-30 19:41:35</t>
  </si>
  <si>
    <t>-OyoXzctrHyN5M90uWMC</t>
  </si>
  <si>
    <t>020626</t>
  </si>
  <si>
    <t>2026-10-30</t>
  </si>
  <si>
    <t>2026-07-30 19:41:40</t>
  </si>
  <si>
    <t>-OyoY0-hRYP1aRNLq0gJ</t>
  </si>
  <si>
    <t>160626</t>
  </si>
  <si>
    <t>2026-07-30 19:41:46</t>
  </si>
  <si>
    <t>-OyoY1LsK4vN4c9piLNc</t>
  </si>
  <si>
    <t>261610445</t>
  </si>
  <si>
    <t>2028-12-02</t>
  </si>
  <si>
    <t>2026-07-30 19:41:52</t>
  </si>
  <si>
    <t>-OyoY2h5eZoHjdJ4s9Gn</t>
  </si>
  <si>
    <t>2026-07-30 19:41:57</t>
  </si>
  <si>
    <t>-OyobgmAE11ZKiIWHFwm</t>
  </si>
  <si>
    <t>175953482</t>
  </si>
  <si>
    <t>2026-07-30 20:02:14</t>
  </si>
  <si>
    <t>-OyocbmFLUzcLY43W9WW</t>
  </si>
  <si>
    <t>BATATA; COMUM ESCOVADA</t>
  </si>
  <si>
    <t xml:space="preserve">ACOUQUE CENTRAL SEROPEDICA LTDA </t>
  </si>
  <si>
    <t>0135</t>
  </si>
  <si>
    <t>30072026</t>
  </si>
  <si>
    <t>2026PD01291</t>
  </si>
  <si>
    <t>2026NE01329</t>
  </si>
  <si>
    <t>33260762280885000187550010000001351300000472</t>
  </si>
  <si>
    <t>2026-07-30 20:06:16</t>
  </si>
  <si>
    <t>-OyrhmUP_xKnkLaqhb8z</t>
  </si>
  <si>
    <t>2027-05-27</t>
  </si>
  <si>
    <t>2026-07-31 10:27:41</t>
  </si>
  <si>
    <t>-Oyszk5iQkgOFID9W5QQ</t>
  </si>
  <si>
    <t>000.000.338</t>
  </si>
  <si>
    <t>16072026</t>
  </si>
  <si>
    <t>2026PD01390</t>
  </si>
  <si>
    <t>2026NE01350</t>
  </si>
  <si>
    <t>135263076940999</t>
  </si>
  <si>
    <t>2026-07-31 16:25:47</t>
  </si>
  <si>
    <t>-Oyszk5kgl8310NzinK0</t>
  </si>
  <si>
    <t>-Oyszk5kgl8310NzinK1</t>
  </si>
  <si>
    <t>-Oyszk5l1QrUpnHqoysV</t>
  </si>
  <si>
    <t>-Oyt8bSq72dz8IWGfZAV</t>
  </si>
  <si>
    <t>9634</t>
  </si>
  <si>
    <t>31-07-2026</t>
  </si>
  <si>
    <t>2026PD01298</t>
  </si>
  <si>
    <t>2026NE01332</t>
  </si>
  <si>
    <t>35260741339668000145550010000096341505963060</t>
  </si>
  <si>
    <t>2026-07-31 17:08:54</t>
  </si>
  <si>
    <t>-Oz6uayTnn_O9zWOXtr5</t>
  </si>
  <si>
    <t>000237</t>
  </si>
  <si>
    <t>030826</t>
  </si>
  <si>
    <t>2027-05-28</t>
  </si>
  <si>
    <t>2026PD01397</t>
  </si>
  <si>
    <t>2026NE01471</t>
  </si>
  <si>
    <t>35260761580443000193550120000002371760763041</t>
  </si>
  <si>
    <t>2026-08-03 13:57:37</t>
  </si>
  <si>
    <t>-Oz7bD4SqAmKcKGh31vj</t>
  </si>
  <si>
    <t>212714</t>
  </si>
  <si>
    <t>153662</t>
  </si>
  <si>
    <t>2027-07-13</t>
  </si>
  <si>
    <t>2026PD01383</t>
  </si>
  <si>
    <t>35260852657483000103550010002127141375662373</t>
  </si>
  <si>
    <t>2026-08-03 17:12:32</t>
  </si>
  <si>
    <t>-Oz7bEYyFKLZakz0Lvds</t>
  </si>
  <si>
    <t>2026-08-03 17:12:38</t>
  </si>
  <si>
    <t>-Oz7dGob-Znt81CZcYJq</t>
  </si>
  <si>
    <t>CARNE BOVINA IN NATURATIPO CORTE: CUPIM,APRESENTAÇÃO: PEÇAINTEIRA, ESTADO DECONSERVAÇÃO:RESFRIADO(A)</t>
  </si>
  <si>
    <t>212713</t>
  </si>
  <si>
    <t>2027-07-03</t>
  </si>
  <si>
    <t>2026PD01398</t>
  </si>
  <si>
    <t>2026NE01474</t>
  </si>
  <si>
    <t>35260852657483000103550010002127131370562373</t>
  </si>
  <si>
    <t>2026-08-03 17:21:32</t>
  </si>
  <si>
    <t>-OzCgJZ_q_6jBcm6tOdI</t>
  </si>
  <si>
    <t>OLEO DE SOJA 900 ml</t>
  </si>
  <si>
    <t>3676</t>
  </si>
  <si>
    <t>CG0601</t>
  </si>
  <si>
    <t>0026-11-29</t>
  </si>
  <si>
    <t>2026PD01405</t>
  </si>
  <si>
    <t>2026NE01478</t>
  </si>
  <si>
    <t>35260840712072000186550010000036761772420814</t>
  </si>
  <si>
    <t>2026-08-04 16:52:56</t>
  </si>
  <si>
    <t>-OzCif9hY_--y8izb4xO</t>
  </si>
  <si>
    <t>SAL REFINADO 1KG</t>
  </si>
  <si>
    <t>3678</t>
  </si>
  <si>
    <t>0626-B</t>
  </si>
  <si>
    <t>2026PD01400</t>
  </si>
  <si>
    <t>2026NE01473</t>
  </si>
  <si>
    <t>35260840712072000186550010000036781249790061</t>
  </si>
  <si>
    <t>2026-08-04 17:03:13</t>
  </si>
  <si>
    <t>-OzCopZ5EIDaw2jaTpas</t>
  </si>
  <si>
    <t>141</t>
  </si>
  <si>
    <t>118U202C</t>
  </si>
  <si>
    <t>2026-11-11</t>
  </si>
  <si>
    <t>2026PD01436</t>
  </si>
  <si>
    <t>2026NE01510</t>
  </si>
  <si>
    <t>35260809206039000134550010000001411300001417</t>
  </si>
  <si>
    <t>2026-08-04 17:30:09</t>
  </si>
  <si>
    <t>-OzD0uw4uS4D8bpkjMpr</t>
  </si>
  <si>
    <t>66</t>
  </si>
  <si>
    <t>2026PD01367/2026PD01366</t>
  </si>
  <si>
    <t>2026NE01336</t>
  </si>
  <si>
    <t>35260714776051000114550010000000661820407078</t>
  </si>
  <si>
    <t>2026-08-04 18:27:19</t>
  </si>
  <si>
    <t>-OzD0uw4uS4D8bpkjMps</t>
  </si>
  <si>
    <t>-OzD0uw4uS4D8bpkjMpt</t>
  </si>
  <si>
    <t>-OzD0uw4uS4D8bpkjMpu</t>
  </si>
  <si>
    <t>-OzD0uw4uS4D8bpkjMpv</t>
  </si>
  <si>
    <t>-OzD0uw4uS4D8bpkjMpw</t>
  </si>
  <si>
    <t>-OzD0uw4uS4D8bpkjMpx</t>
  </si>
  <si>
    <t>-OzD0uw4uS4D8bpkjMpy</t>
  </si>
  <si>
    <t>-OzD0uw5tBfEcftNWXjr</t>
  </si>
  <si>
    <t>-OzD0uw5tBfEcftNWXjs</t>
  </si>
  <si>
    <t>-OzD0uw5tBfEcftNWXjt</t>
  </si>
  <si>
    <t>-OzD0uw5tBfEcftNWXju</t>
  </si>
  <si>
    <t>-OzD0uw5tBfEcftNWXjv</t>
  </si>
  <si>
    <t>-OzGwxvnFheqdCRJy319</t>
  </si>
  <si>
    <t>OVO GRANDE, PESANDO NO MINIMO 55 GRAMAS POR UN IDADE, ISENTO DE SUJIDADES,FUNGOS E SUBSTANCIAS TOXICAS,ACONDICIONADO EM EMB ALAGEM APROPRIADA, 15 DIAS DO SEU ACONDICIONAMENTO, E SUAS CONDICOES DEVERAO ESTAR DE ACORDO COM A RIISPOA/MA,RES.01DE 05/07/9</t>
  </si>
  <si>
    <t>44765</t>
  </si>
  <si>
    <t>2026PD01385</t>
  </si>
  <si>
    <t>35260804788913000175550010000447651485796306</t>
  </si>
  <si>
    <t>2026-08-05 12:44:08</t>
  </si>
  <si>
    <t>-OzGwzfgtnmC_5sC5Wuj</t>
  </si>
  <si>
    <t>0026-09-03</t>
  </si>
  <si>
    <t>2026-08-05 12:44:15</t>
  </si>
  <si>
    <t>-OzHrPIK9YVDCBO8Ue3v</t>
  </si>
  <si>
    <t>915</t>
  </si>
  <si>
    <t>L0308</t>
  </si>
  <si>
    <t>2026PD01363</t>
  </si>
  <si>
    <t>35260705336786000136550030000009151390900643</t>
  </si>
  <si>
    <t>2026-08-05 16:59:29</t>
  </si>
  <si>
    <t>-OzHuGs7AA71WVkakuAV</t>
  </si>
  <si>
    <t>965</t>
  </si>
  <si>
    <t>L2801</t>
  </si>
  <si>
    <t>2026PD01378</t>
  </si>
  <si>
    <t>2026NE00392</t>
  </si>
  <si>
    <t>35260805336786000136550030000009651300000635</t>
  </si>
  <si>
    <t>2026-08-05 17:12:00</t>
  </si>
  <si>
    <t>-OzHuITvbqLfSu7B-JFK</t>
  </si>
  <si>
    <t>2026-11-04</t>
  </si>
  <si>
    <t>2026-08-05 17:12:07</t>
  </si>
  <si>
    <t>-OzHuK9FfWYeGU0iDimN</t>
  </si>
  <si>
    <t>L0907</t>
  </si>
  <si>
    <t>2026-08-05 17:12:14</t>
  </si>
  <si>
    <t>-OzHxH6sV4rQAZDsCTAO</t>
  </si>
  <si>
    <t>966</t>
  </si>
  <si>
    <t>L1502</t>
  </si>
  <si>
    <t>2026PD01377</t>
  </si>
  <si>
    <t>35260805336786000136550030000009661300000640</t>
  </si>
  <si>
    <t>2026-08-05 17:25:08</t>
  </si>
  <si>
    <t>-OzIAicUOE67JCSYD_Q3</t>
  </si>
  <si>
    <t>271</t>
  </si>
  <si>
    <t>L260825</t>
  </si>
  <si>
    <t>2026PD01389</t>
  </si>
  <si>
    <t>2026NE01476</t>
  </si>
  <si>
    <t>35260835678685000104550010000002711274693889</t>
  </si>
  <si>
    <t>2026-08-05 18:28:14</t>
  </si>
  <si>
    <t>-OzIAkEPnCNckNLnnf1w</t>
  </si>
  <si>
    <t>PREPARADO EM PÓPARA GELATINASABOR MORANGO</t>
  </si>
  <si>
    <t>260822</t>
  </si>
  <si>
    <t>2026-08-05 18:28:21</t>
  </si>
  <si>
    <t>-OzIAlpZIGBf4nzvCKBg</t>
  </si>
  <si>
    <t>260811</t>
  </si>
  <si>
    <t>2027-06-24</t>
  </si>
  <si>
    <t>2026-08-05 18:28:28</t>
  </si>
  <si>
    <t>-OzIChrDhO6B6dUn1L_7</t>
  </si>
  <si>
    <t>289</t>
  </si>
  <si>
    <t>27072027MP</t>
  </si>
  <si>
    <t>2026PD01379</t>
  </si>
  <si>
    <t>75CFBB00-E</t>
  </si>
  <si>
    <t>2026-08-05 18:36:56</t>
  </si>
  <si>
    <t>-OzMIzjrDqV0rsG20CH3</t>
  </si>
  <si>
    <t>844</t>
  </si>
  <si>
    <t>2026PD01305</t>
  </si>
  <si>
    <t>35260605336786000136550030000008441004067094</t>
  </si>
  <si>
    <t>2026-08-06 13:42:51</t>
  </si>
  <si>
    <t>-OzMaI9FqbaQDsapG1Bq</t>
  </si>
  <si>
    <t>817</t>
  </si>
  <si>
    <t>L - 18062026</t>
  </si>
  <si>
    <t>2026PD01307</t>
  </si>
  <si>
    <t>2026NE01348</t>
  </si>
  <si>
    <t>3526 0656 0372 6700 0108 5500 1000 0008 1711 2321 9772</t>
  </si>
  <si>
    <t>2026-08-06 15:02:50</t>
  </si>
  <si>
    <t>-OzMaIu-6FTgJe0Dbiuk</t>
  </si>
  <si>
    <t>2026-08-06 15:02:53</t>
  </si>
  <si>
    <t>-OzRhLA8XwZdzQBvwCBv</t>
  </si>
  <si>
    <t>07082026</t>
  </si>
  <si>
    <t>2026NE01567</t>
  </si>
  <si>
    <t>3526 0819 7182 9600 0109 5500 1000 0002 6310 0000 5260</t>
  </si>
  <si>
    <t>2026-08-07 14:51:40</t>
  </si>
  <si>
    <t>-OzRhLA9V7G1X_UCvLTp</t>
  </si>
  <si>
    <t>-OzRhLA9V7G1X_UCvLTq</t>
  </si>
  <si>
    <t>-OzRhLA9V7G1X_UCvLTr</t>
  </si>
  <si>
    <t>-OzRi1KuI5DoDNmkCLLX</t>
  </si>
  <si>
    <t>174</t>
  </si>
  <si>
    <t>2026PD01473</t>
  </si>
  <si>
    <t>2026NE01568</t>
  </si>
  <si>
    <t>3526 0808 3818 2800 0149 5500 1000 0001 7410 0000 3486</t>
  </si>
  <si>
    <t>2026-08-07 14:54:41</t>
  </si>
  <si>
    <t>-OzRi1KuI5DoDNmkCLLY</t>
  </si>
  <si>
    <t>-OzRi1KuI5DoDNmkCLLZ</t>
  </si>
  <si>
    <t>-OzRi1KuI5DoDNmkCLL_</t>
  </si>
  <si>
    <t>-OzS_84JI78XBONaTUv0</t>
  </si>
  <si>
    <t>2026PD014072026PD01408</t>
  </si>
  <si>
    <t>2026NE01482</t>
  </si>
  <si>
    <t>2026-08-07 18:55:28</t>
  </si>
  <si>
    <t>-OzS_84JI78XBONaTUv1</t>
  </si>
  <si>
    <t>-OzS_84JI78XBONaTUv2</t>
  </si>
  <si>
    <t>01092026</t>
  </si>
  <si>
    <t>35260708103614000100550010000003381000901065</t>
  </si>
  <si>
    <t>-OzS_84JI78XBONaTUv3</t>
  </si>
  <si>
    <t>-OzS_84JI78XBONaTUv4</t>
  </si>
  <si>
    <t>-OzS_84JI78XBONaTUv5</t>
  </si>
  <si>
    <t>-OzS_84JI78XBONaTUv6</t>
  </si>
  <si>
    <t>-OzS_84JI78XBONaTUv7</t>
  </si>
  <si>
    <t>-OzS_84JI78XBONaTUv8</t>
  </si>
  <si>
    <t>-OzS_84JI78XBONaTUv9</t>
  </si>
  <si>
    <t>-OzS_84JI78XBONaTUvA</t>
  </si>
  <si>
    <t>25082026</t>
  </si>
  <si>
    <t>-OzS_84JI78XBONaTUvB</t>
  </si>
  <si>
    <t>-OzS_84JI78XBONaTUvC</t>
  </si>
  <si>
    <t>-OzfhEFiUKgUuMxe5ajv</t>
  </si>
  <si>
    <t>2026-08-09</t>
  </si>
  <si>
    <t>0881</t>
  </si>
  <si>
    <t>10082026</t>
  </si>
  <si>
    <t>2026PD01394</t>
  </si>
  <si>
    <t>2026NE01472</t>
  </si>
  <si>
    <t>35260856037267000108550010000008811562469062</t>
  </si>
  <si>
    <t>2026-08-10 12:45:32</t>
  </si>
  <si>
    <t>-OzfhH7ePmy4JYwaR6rk</t>
  </si>
  <si>
    <t>2026-08-10 12:45:44</t>
  </si>
  <si>
    <t>-Ozg4MhLryGsyPihkd9h</t>
  </si>
  <si>
    <t>070802026</t>
  </si>
  <si>
    <t>2026NE01481</t>
  </si>
  <si>
    <t>3526 0847 9529 2100 0118 5500 1000 0001 3010 4000 9755</t>
  </si>
  <si>
    <t>2026-08-10 14:30:58</t>
  </si>
  <si>
    <t>-Ozg4MhM2BuUblj2k5bE</t>
  </si>
  <si>
    <t>-Ozg4MhM2BuUblj2k5bF</t>
  </si>
  <si>
    <t>-Ozg4MhM2BuUblj2k5bG</t>
  </si>
  <si>
    <t>-Ozg4MhM2BuUblj2k5bH</t>
  </si>
  <si>
    <t>-Ozg4MhM2BuUblj2k5bI</t>
  </si>
  <si>
    <t>-Ozg4MhM2BuUblj2k5bJ</t>
  </si>
  <si>
    <t>-Ozg4MhM2BuUblj2k5bK</t>
  </si>
  <si>
    <t>-OzghxIOeCd3iRnSN2-v</t>
  </si>
  <si>
    <t>2026-08-10 17:28:18</t>
  </si>
  <si>
    <t>-OzkrdcRQGc-EqAWbNC7</t>
  </si>
  <si>
    <t>MELANCIA; COMUM; REDONDA , GRAUDA (COM PESO UNITARIO SUPERIOR A 10 KG); COM POLPA VERMELHA E PRESENCA DE SEMENTES; DEVENDO O LOTE APRESENTARHOMOGENEIDADE VISUAL DE TAMANHO E COLORACAO;NAO APRESENTAR DEFEITOS COMO PODRIDAO, PASSADO,AMASSADO, FERIDO, OCO, IMATURO, QUEIMADO DE SOLGRAVE, COM VIROSE; DEFORMACAO GRAVE OU POLPABRANCA; DEVENDO SER ENTREGUE EM EMBALAGEMSUBMULTIPLA DE 1,00X1,20M; CONTENDO IDENTIFICACAODO PRODUTO, PESO LIQUIDO, NOME E TELEFONE DOFORNECEDOR; E SUAS CONDICOES DEVERAO ESTAR DEACORDO COM A INSTRUCAO NORMATIVA CONJUNTA 09/02(SARC, ANVISA, INMETRO), RDC 12/01 E ALTERACOESPOSTERIORES; PRODUTO SUJEITO A VERIFICACAO NO ATODA ENTREGA AOS PROCEDIMENTOS ADMIN.DETERMINADOS PELA ANVISA; OBEDECER ASINFORMACOES CONTIDAS EM NORMAS E PADROES DO SITE</t>
  </si>
  <si>
    <t>9685</t>
  </si>
  <si>
    <t>11082026</t>
  </si>
  <si>
    <t>2026PD01399</t>
  </si>
  <si>
    <t>2026NE01475</t>
  </si>
  <si>
    <t>35260841339668000145550010000096851305374110</t>
  </si>
  <si>
    <t>2026-08-11 12:49:07</t>
  </si>
  <si>
    <t>-OzksSa96R52oDCF2RUv</t>
  </si>
  <si>
    <t>1680</t>
  </si>
  <si>
    <t>05082026</t>
  </si>
  <si>
    <t>2026PD01384</t>
  </si>
  <si>
    <t>35260829725258000137550010000016801780280925</t>
  </si>
  <si>
    <t>2026-08-11 12:52:40</t>
  </si>
  <si>
    <t>-OzkujoNu-xqZwtz7hRI</t>
  </si>
  <si>
    <t>406</t>
  </si>
  <si>
    <t>2026-08-11 13:02:39</t>
  </si>
  <si>
    <t>-OzkujoNu-xqZwtz7hRJ</t>
  </si>
  <si>
    <t>-OzpbScxD8FLloiZvmys</t>
  </si>
  <si>
    <t>265</t>
  </si>
  <si>
    <t>2027-08-12</t>
  </si>
  <si>
    <t>2026PD01396</t>
  </si>
  <si>
    <t>35260861580443000193550120000002651409093703</t>
  </si>
  <si>
    <t>2026-08-12 10:56:30</t>
  </si>
  <si>
    <t>-OzrEKdLKouD4pVmQ3aT</t>
  </si>
  <si>
    <t>l - 24022026</t>
  </si>
  <si>
    <t>2026pd00436</t>
  </si>
  <si>
    <t>2026-08-12 18:30:21</t>
  </si>
  <si>
    <t>-OzrELJxvmNBSp7urW2c</t>
  </si>
  <si>
    <t>3F2391BB-4</t>
  </si>
  <si>
    <t>2026-08-12 18:30:24</t>
  </si>
  <si>
    <t>-P--CGrn0ogb7WtjZmA3</t>
  </si>
  <si>
    <t>4018</t>
  </si>
  <si>
    <t>1108</t>
  </si>
  <si>
    <t>3526 0824 2016 8100 0114 5500 1000 0040 1810 1818 0002</t>
  </si>
  <si>
    <t>2026-08-14 12:17:55</t>
  </si>
  <si>
    <t>-P-FiFr4MVpZy5e4Z0E0</t>
  </si>
  <si>
    <t>000000049</t>
  </si>
  <si>
    <t>31072026</t>
  </si>
  <si>
    <t>2026PD01451</t>
  </si>
  <si>
    <t>2026NE01513</t>
  </si>
  <si>
    <t>2026-08-17 17:15:57</t>
  </si>
  <si>
    <t>-P-FiFr6mMpKBtqo0j4z</t>
  </si>
  <si>
    <t>-P-FiFr6mMpKBtqo0j5-</t>
  </si>
  <si>
    <t>-P-FiFr6mMpKBtqo0j50</t>
  </si>
  <si>
    <t>-P-FiFr6mMpKBtqo0j51</t>
  </si>
  <si>
    <t>-P-FiFr6mMpKBtqo0j52</t>
  </si>
  <si>
    <t>310072026</t>
  </si>
  <si>
    <t>-P-JJtNcZ2lFngDDMUYg</t>
  </si>
  <si>
    <t>HAMBURGUER; CARNE BOVINA; CONGELADO; COMPOSTO DE CARNE BOVINA, AGUA, GORDURA BOVINA, SAL, CÂMARA NACIONAL DE MODELOS DE LICITAÇÕES E CONTRATOS DA CONSULTORIA-GERAL DA UNIÃO MODELO DE AQUISIÇÕES — ATUALIZAÇÃO: MAIO/2023 APROVADO PELA SECRETARIA DE GESTÃO E INOVAÇÃO 3 DE 10  PROTEINADE SOJA, ACUCAR, ESTABILIZANTE; ANTIOXIDANTE, ACIDULANTE E OUTROSINGREDIENTES PERMITIDOS; TRANSPORTADO E CONSERVADO EM TEMPERATURA DE -12 ºC OU MAIS FRIO; PESANDO 120G CADA; EMBALAGEM PRIMARIA PLASTICA, ATOXICA ETERMOSSOLDADA; COM VALIDADE MINIMA DE 05 MESES NA DATA DA ENTREGA; E SUAS CONDICOES DEVERAO ESTAR DE ACORDO COM RDC 724/22, IN 161/22 (ANVISA), RDC 727/22, RDC 360 /03; DECRETO 9.013/17, INSTRUCAONORMATIVA 20/00 (MAPA) E ALTERACOES POSTERIORES; PRODUTO SUJEITO AVERIFICACAO NO ATO DA ENTREGA AOS PROCED. ADM. DETERMINADOS PELO MAPA E ANVISA;</t>
  </si>
  <si>
    <t>7551</t>
  </si>
  <si>
    <t>1108202026</t>
  </si>
  <si>
    <t>2027-02-10</t>
  </si>
  <si>
    <t>2026PD01386</t>
  </si>
  <si>
    <t>35260820002779000191550010000075511556927140</t>
  </si>
  <si>
    <t>2026-08-18 10:03:36</t>
  </si>
  <si>
    <t>-P-K-GT9A1lZRunPA5HN</t>
  </si>
  <si>
    <t>2026-08-18 13:13:07</t>
  </si>
  <si>
    <t>-P-K-IKtxaMZIOFQAGtp</t>
  </si>
  <si>
    <t>2026-08-18 13:13:15</t>
  </si>
  <si>
    <t>-P-K-LG9prQOrZWGMuTh</t>
  </si>
  <si>
    <t>01082026</t>
  </si>
  <si>
    <t>2026-08-18 13:13:27</t>
  </si>
  <si>
    <t>-P-K-O9XlTEM1nkiotlp</t>
  </si>
  <si>
    <t>2026-08-18 13:13:39</t>
  </si>
  <si>
    <t>-P-Kge6EcLvg75l0GwPs</t>
  </si>
  <si>
    <t>AA26</t>
  </si>
  <si>
    <t>2028-11-26</t>
  </si>
  <si>
    <t>2026PD01421</t>
  </si>
  <si>
    <t>35260856429225000112550010000003531963656752</t>
  </si>
  <si>
    <t>2026-08-18 16:27:03</t>
  </si>
  <si>
    <t>-P-Kkyf1_NSCjAAjYOPZ</t>
  </si>
  <si>
    <t>3704</t>
  </si>
  <si>
    <t>120112082.6</t>
  </si>
  <si>
    <t>2027-02-05</t>
  </si>
  <si>
    <t>2026PD01393</t>
  </si>
  <si>
    <t>35260857493580000113550010000037041386921455</t>
  </si>
  <si>
    <t>2026-08-18 16:45:56</t>
  </si>
  <si>
    <t>-P-PYSd66NZql4weRHUo</t>
  </si>
  <si>
    <t>26</t>
  </si>
  <si>
    <t>20082026</t>
  </si>
  <si>
    <t>2026PD01453</t>
  </si>
  <si>
    <t>2026NE01515</t>
  </si>
  <si>
    <t>35260863134694000170550010000000261300000271</t>
  </si>
  <si>
    <t>2026-08-19 15:04:58</t>
  </si>
  <si>
    <t>-P-PYSd66NZql4weRHUp</t>
  </si>
  <si>
    <t>-P-PYSd72Q1q-ltGt_AV</t>
  </si>
  <si>
    <t>-P-PYSd72Q1q-ltGt_AW</t>
  </si>
  <si>
    <t>-P-PYSd72Q1q-ltGt_AX</t>
  </si>
  <si>
    <t>-P-PYSd72Q1q-ltGt_AY</t>
  </si>
  <si>
    <t>-P-PYSd72Q1q-ltGt_AZ</t>
  </si>
  <si>
    <t>-P-PYSd72Q1q-ltGt_A_</t>
  </si>
  <si>
    <t>-P-Pfz1FLkPF6chBfWia</t>
  </si>
  <si>
    <t>253</t>
  </si>
  <si>
    <t>19082026</t>
  </si>
  <si>
    <t>2026PD01450</t>
  </si>
  <si>
    <t>2026NE01514</t>
  </si>
  <si>
    <t>35260844008927000143550010000002531300002468</t>
  </si>
  <si>
    <t>2026-08-19 15:42:13</t>
  </si>
  <si>
    <t>-P-Pfz1FLkPF6chBfWib</t>
  </si>
  <si>
    <t>-P-Pfz1FLkPF6chBfWic</t>
  </si>
  <si>
    <t>-P-Tqw0J3M6p06lF2FeA</t>
  </si>
  <si>
    <t>000000023</t>
  </si>
  <si>
    <t>3526 0857 0931 1000 0162 5500 1000 0000 2315 4110 0279</t>
  </si>
  <si>
    <t>2026-08-20 11:08:31</t>
  </si>
  <si>
    <t>-P-Tqw0KNnpp60J4_oOb</t>
  </si>
  <si>
    <t>-P-_MWsHOW6zntCiWcJL</t>
  </si>
  <si>
    <t>33</t>
  </si>
  <si>
    <t>21082026</t>
  </si>
  <si>
    <t>2026PD01458</t>
  </si>
  <si>
    <t>2026NE01516</t>
  </si>
  <si>
    <t>35260827885120000170550010000000331300000390</t>
  </si>
  <si>
    <t>2026-08-21 17:28:39</t>
  </si>
  <si>
    <t>-P-_MWsIfsoBP6cglxoK</t>
  </si>
  <si>
    <t>-P-_MWsIfsoBP6cglxoL</t>
  </si>
  <si>
    <t>-P-_MWsIfsoBP6cglxoM</t>
  </si>
  <si>
    <t>-P-_ri4SQHYsWtmL3BVu</t>
  </si>
  <si>
    <t>8</t>
  </si>
  <si>
    <t>35260852657483000103550010002131821947162534</t>
  </si>
  <si>
    <t>2026-08-21 19:49:18</t>
  </si>
  <si>
    <t>-P-_ri4SQHYsWtmL3BVv</t>
  </si>
  <si>
    <t>-P-_ri4SQHYsWtmL3BVw</t>
  </si>
  <si>
    <t>-P-_ri4SQHYsWtmL3BVx</t>
  </si>
  <si>
    <t>-P-_ri4SQHYsWtmL3BVy</t>
  </si>
  <si>
    <t>-P-_ri4SQHYsWtmL3BVz</t>
  </si>
  <si>
    <t>24082026</t>
  </si>
  <si>
    <t>-P-n3JMUPJ_a1HVnjJdH</t>
  </si>
  <si>
    <t>35260847952921000118550010000001311002001006</t>
  </si>
  <si>
    <t>2026-08-24 09:19:25</t>
  </si>
  <si>
    <t>-P-n3JMVs_ZsuARPMjb7</t>
  </si>
  <si>
    <t>-P-n3JMVs_ZsuARPMjb8</t>
  </si>
  <si>
    <t>-P-n3JMVs_ZsuARPMjb9</t>
  </si>
  <si>
    <t>-P-n3JMVs_ZsuARPMjbA</t>
  </si>
  <si>
    <t>-P-nF2PWqsXNnzIj8mK6</t>
  </si>
  <si>
    <t>9751</t>
  </si>
  <si>
    <t>2026PD01440</t>
  </si>
  <si>
    <t>2026NE01524</t>
  </si>
  <si>
    <t>35260841339668000145550010000097511459811673</t>
  </si>
  <si>
    <t>2026-08-24 10:10:34</t>
  </si>
  <si>
    <t>-P-nL8GtWuynfX2jl4vT</t>
  </si>
  <si>
    <t>44868</t>
  </si>
  <si>
    <t>140726</t>
  </si>
  <si>
    <t>2027-07-14</t>
  </si>
  <si>
    <t>2026PD01410</t>
  </si>
  <si>
    <t>35260804788913000175550010000448681556112533</t>
  </si>
  <si>
    <t>2026-08-24 10:37:11</t>
  </si>
  <si>
    <t>-P-nLAcnDijxRyo9rqar</t>
  </si>
  <si>
    <t>2026-08-24 10:37:21</t>
  </si>
  <si>
    <t>-P-neGQAahBDyuyPupMk</t>
  </si>
  <si>
    <t>213.183</t>
  </si>
  <si>
    <t>2026PD01439</t>
  </si>
  <si>
    <t>2026NE01522</t>
  </si>
  <si>
    <t>35260852657483000103550010002131831942262538</t>
  </si>
  <si>
    <t>2026-08-24 12:05:14</t>
  </si>
  <si>
    <t>-P-nvqZsNkSZpLLYy4ss</t>
  </si>
  <si>
    <t>213.182</t>
  </si>
  <si>
    <t>2026PD01424</t>
  </si>
  <si>
    <t>2026-08-24 13:22:03</t>
  </si>
  <si>
    <t>-P-ou3kKcKWHYn34LqI5</t>
  </si>
  <si>
    <t>2026-08-24 17:53:54</t>
  </si>
  <si>
    <t>-P-oum-vTEfSutvgTL0I</t>
  </si>
  <si>
    <t>029</t>
  </si>
  <si>
    <t>2026PD01455</t>
  </si>
  <si>
    <t>2026NE01517</t>
  </si>
  <si>
    <t>3526 0810 2742 5500 0104 5500 1000 0000 2911 9094 0341</t>
  </si>
  <si>
    <t>2026-08-24 17:57:00</t>
  </si>
  <si>
    <t>-P-oum-vTEfSutvgTL0J</t>
  </si>
  <si>
    <t>-P-ovJigzAeK4vt5TVCh</t>
  </si>
  <si>
    <t>015</t>
  </si>
  <si>
    <t>L - 24/08/2026</t>
  </si>
  <si>
    <t>2026PD01452</t>
  </si>
  <si>
    <t>2026NE01518</t>
  </si>
  <si>
    <t>2026-08-24 17:59:22</t>
  </si>
  <si>
    <t>-P-ovJihk-TIh2P3bVko</t>
  </si>
  <si>
    <t>-P-puy4SKdXnBqxPY8PK</t>
  </si>
  <si>
    <t>61</t>
  </si>
  <si>
    <t>2026PD01509</t>
  </si>
  <si>
    <t>2026NE01508</t>
  </si>
  <si>
    <t>35260844187390000126550010000000611300000650</t>
  </si>
  <si>
    <t>2026-08-24 22:37:29</t>
  </si>
  <si>
    <t>-P-puy4ZAp_D-h52cpSb</t>
  </si>
  <si>
    <t>-P-tNOFj8sqYCUBwZsa_</t>
  </si>
  <si>
    <t>FERMENTO GRAN SECO PCT 500G</t>
  </si>
  <si>
    <t>5212</t>
  </si>
  <si>
    <t>AR26ES0420</t>
  </si>
  <si>
    <t>2028-05-12</t>
  </si>
  <si>
    <t>35260800840591000105550010000052121000002255</t>
  </si>
  <si>
    <t>2026-08-25 14:44:51</t>
  </si>
  <si>
    <t>-P-tNQxszQpYZcowqlOJ</t>
  </si>
  <si>
    <t>FERMENTO EM PO 100G</t>
  </si>
  <si>
    <t>200726TRN2</t>
  </si>
  <si>
    <t>2027-07-20</t>
  </si>
  <si>
    <t>2026-08-25 14:45:02</t>
  </si>
  <si>
    <t>-P-tNV5l10zT43dmt9H_</t>
  </si>
  <si>
    <t>PIMENTA DO REINO PCT C/500G</t>
  </si>
  <si>
    <t>2028-07-30</t>
  </si>
  <si>
    <t>2026-08-25 14:45:19</t>
  </si>
  <si>
    <t>-P-tNZ587D2BOSQ7uD22</t>
  </si>
  <si>
    <t>BISCOITO APRESENTAÇÃO: REDONDO, SABOR: MAIZENA,TIPO: MARIA, CARACTERÍSTICAS ADICIONAIS: SEMRECHEIO, CLASSIFICAÇÃO: DOCE, APLICAÇÃO:ALIMENTAÇÃO HUMANA, PRAZO VALIDADE: 1 ANO</t>
  </si>
  <si>
    <t>620/52</t>
  </si>
  <si>
    <t>2026-08-25 14:45:35</t>
  </si>
  <si>
    <t>-P-tNc7mVk2k2hZHVxi1</t>
  </si>
  <si>
    <t>0326</t>
  </si>
  <si>
    <t>2027-03-06</t>
  </si>
  <si>
    <t>2026-08-25 14:45:51</t>
  </si>
  <si>
    <t>-P-tNg7P1zLBNcwxquqG</t>
  </si>
  <si>
    <t>2026-08-25 14:46:08</t>
  </si>
  <si>
    <t>-P-tNkIbXZjN0S3Cr44-</t>
  </si>
  <si>
    <t>BF111146/26-06</t>
  </si>
  <si>
    <t>2027-03-24</t>
  </si>
  <si>
    <t>2026-08-25 14:46:25</t>
  </si>
  <si>
    <t>-P-tNo9XL9H64c7iUDj_</t>
  </si>
  <si>
    <t>2026-08-25 14:46:41</t>
  </si>
  <si>
    <t>-P-tVYCDvot199EC5-xZ</t>
  </si>
  <si>
    <t>357</t>
  </si>
  <si>
    <t>AA0026</t>
  </si>
  <si>
    <t>2026-11-26</t>
  </si>
  <si>
    <t>2026PD01422</t>
  </si>
  <si>
    <t>35260856429225000112550010000003571008301606</t>
  </si>
  <si>
    <t>2026-08-25 15:20:29</t>
  </si>
  <si>
    <t>-P-tVaVJ79yehYVPEOqS</t>
  </si>
  <si>
    <t>0092</t>
  </si>
  <si>
    <t>2027-01-27</t>
  </si>
  <si>
    <t>2026-08-25 15:20:42</t>
  </si>
  <si>
    <t>-P-tX-5YP5UBgUDvBz6m</t>
  </si>
  <si>
    <t>0078</t>
  </si>
  <si>
    <t>2026-08-25 15:26:49</t>
  </si>
  <si>
    <t>-P-txMKDT78KOU2SwLJ9</t>
  </si>
  <si>
    <t>lote 03/02/2026</t>
  </si>
  <si>
    <t>2026-08-25 17:26:22</t>
  </si>
  <si>
    <t>-P-txNAYIPahO6GdOMxs</t>
  </si>
  <si>
    <t>2026-08-25 17:26:26</t>
  </si>
  <si>
    <t>-P-txO1-I4R2hhwLuoux</t>
  </si>
  <si>
    <t>2026-08-25 17:26:29</t>
  </si>
  <si>
    <t>-P-u3CK6ODSYA9FDJ1TG</t>
  </si>
  <si>
    <t>lote 20/02/2026</t>
  </si>
  <si>
    <t>3FDE87E2-4</t>
  </si>
  <si>
    <t>2026-08-25 17:56:16</t>
  </si>
  <si>
    <t>-P-u3Do7qiWGIMyep9TJ</t>
  </si>
  <si>
    <t>3BFC53CA-7</t>
  </si>
  <si>
    <t>2026-08-25 17:56:22</t>
  </si>
  <si>
    <t>-P-u3G7b1jJOZwMHnxzG</t>
  </si>
  <si>
    <t>20/02/2026</t>
  </si>
  <si>
    <t>B2936574-6</t>
  </si>
  <si>
    <t>2026-08-25 17:56:32</t>
  </si>
  <si>
    <t>-P-u3IOr5uX5-emmZgcY</t>
  </si>
  <si>
    <t>20022026</t>
  </si>
  <si>
    <t>50766F48-A</t>
  </si>
  <si>
    <t>2026-08-25 17:56:41</t>
  </si>
  <si>
    <t>-P-y0oaMS8Xf4SJgVc9b</t>
  </si>
  <si>
    <t>lote 11/03/2026</t>
  </si>
  <si>
    <t>CBE97C3E-0</t>
  </si>
  <si>
    <t>2026-08-26 12:24:20</t>
  </si>
  <si>
    <t>-P-y0phPW6TiACjalahI</t>
  </si>
  <si>
    <t>8E5AC3E3-4</t>
  </si>
  <si>
    <t>2026-08-26 12:24:25</t>
  </si>
  <si>
    <t>-P-y0qjDEfQkuIyx1HLO</t>
  </si>
  <si>
    <t>DD3748AC-4</t>
  </si>
  <si>
    <t>2026-08-26 12:24:29</t>
  </si>
  <si>
    <t>-P-y0roAaqGJhdyqxnfQ</t>
  </si>
  <si>
    <t xml:space="preserve">laranja </t>
  </si>
  <si>
    <t>B8204CF1-3</t>
  </si>
  <si>
    <t>2026-08-26 12:24:34</t>
  </si>
  <si>
    <t>-P-y5o8HUy3rXdvO_k0I</t>
  </si>
  <si>
    <t>2026-08-26 12:46:09</t>
  </si>
  <si>
    <t>-P-y7kH548xVny0sEcTL</t>
  </si>
  <si>
    <t>CARNE BOVINA IN NATURA TIPO CORTE:PALETA (PÁ), APRESENTAÇÃO: PEÇAINTEIRA, ESTADO DE CONSERVAÇÃO:RESFRIADO</t>
  </si>
  <si>
    <t>5241</t>
  </si>
  <si>
    <t>200826</t>
  </si>
  <si>
    <t>2027-08-02</t>
  </si>
  <si>
    <t>2026PD01432</t>
  </si>
  <si>
    <t>2026NE01492</t>
  </si>
  <si>
    <t>35260843192676000137550010000052411446062603</t>
  </si>
  <si>
    <t>2026-08-26 12:54:38</t>
  </si>
  <si>
    <t>-P-y8tCIp74fgTzlQPw0</t>
  </si>
  <si>
    <t>564</t>
  </si>
  <si>
    <t xml:space="preserve">	2026PD00501</t>
  </si>
  <si>
    <t>35260317875886000110550010000005641200000202</t>
  </si>
  <si>
    <t>2026-08-26 12:59:36</t>
  </si>
  <si>
    <t>-P-y90s6Pj1eA-h7UJ3C</t>
  </si>
  <si>
    <t>9821</t>
  </si>
  <si>
    <t>26082026</t>
  </si>
  <si>
    <t>2026PD01441</t>
  </si>
  <si>
    <t>35260841339668000145550010000098211179280623</t>
  </si>
  <si>
    <t>2026-08-26 13:00:12</t>
  </si>
  <si>
    <t>-P-yAw-iPbLzY_gOIRZS</t>
  </si>
  <si>
    <t>lote 12/02/2026</t>
  </si>
  <si>
    <t>2026PD00499</t>
  </si>
  <si>
    <t>2026NE00053</t>
  </si>
  <si>
    <t>C8D5410F-9</t>
  </si>
  <si>
    <t>2026-08-26 13:08:32</t>
  </si>
  <si>
    <t>-P-yAwzBSSk7aKV9t-Vz</t>
  </si>
  <si>
    <t>batata doce</t>
  </si>
  <si>
    <t>12/02/2026</t>
  </si>
  <si>
    <t>20CBCF45-2</t>
  </si>
  <si>
    <t>2026-08-26 13:08:36</t>
  </si>
  <si>
    <t>-P-yAy5sf0CRzvpTw9Rm</t>
  </si>
  <si>
    <t>beterraba</t>
  </si>
  <si>
    <t>F79469B0-F</t>
  </si>
  <si>
    <t>2026-08-26 13:08:41</t>
  </si>
  <si>
    <t>-P-yAzDatbZ1KlZ0-4jL</t>
  </si>
  <si>
    <t>cenoura</t>
  </si>
  <si>
    <t>5BB46A30-C</t>
  </si>
  <si>
    <t>2026-08-26 13:08:45</t>
  </si>
  <si>
    <t>-P-yB-sEjb5sIoXx9Ftb</t>
  </si>
  <si>
    <t>mandioca</t>
  </si>
  <si>
    <t>22629FDB-2</t>
  </si>
  <si>
    <t>2026-08-26 13:08:52</t>
  </si>
  <si>
    <t>-P-yB0wv96sRtd4z3yP_</t>
  </si>
  <si>
    <t>18F83C7B-5</t>
  </si>
  <si>
    <t>2026-08-26 13:08:56</t>
  </si>
  <si>
    <t>-P-yJI-FUxsJlXO0i877</t>
  </si>
  <si>
    <t>06/03/2026</t>
  </si>
  <si>
    <t>396398C8-F</t>
  </si>
  <si>
    <t>2026-08-26 13:45:03</t>
  </si>
  <si>
    <t>-P-yLpVp9cMtXNxVwqsF</t>
  </si>
  <si>
    <t>ABOBORA JAPONESA</t>
  </si>
  <si>
    <t>19/03/2026</t>
  </si>
  <si>
    <t>0D468D91-F</t>
  </si>
  <si>
    <t>2026-08-26 13:56:09</t>
  </si>
  <si>
    <t>-P-yLqyiW7sruDkCEhyP</t>
  </si>
  <si>
    <t>37830D48-8</t>
  </si>
  <si>
    <t>2026-08-26 13:56:15</t>
  </si>
  <si>
    <t>-P-yLspTaYBua_HhhzZb</t>
  </si>
  <si>
    <t>19AB061B-D</t>
  </si>
  <si>
    <t>2026-08-26 13:56:23</t>
  </si>
  <si>
    <t>-P-yLtmoJDx9pe8Ix2rG</t>
  </si>
  <si>
    <t>8AEDC367-6</t>
  </si>
  <si>
    <t>2026-08-26 13:56:27</t>
  </si>
  <si>
    <t>-P-yLvTDxlVyG0tfwaZc</t>
  </si>
  <si>
    <t>43C19FE8-7</t>
  </si>
  <si>
    <t>2026-08-26 13:56:34</t>
  </si>
  <si>
    <t>-P-yQfd9ht24YLfzAAW0</t>
  </si>
  <si>
    <t>226</t>
  </si>
  <si>
    <t>11/03/26</t>
  </si>
  <si>
    <t>2026PD00526</t>
  </si>
  <si>
    <t>2026NL04743</t>
  </si>
  <si>
    <t>8A914BF8-2</t>
  </si>
  <si>
    <t>2026-08-26 14:17:20</t>
  </si>
  <si>
    <t>-P-yQgdN918SuxjUt1vS</t>
  </si>
  <si>
    <t>11/03/2026</t>
  </si>
  <si>
    <t>3436F128-0</t>
  </si>
  <si>
    <t>2026-08-26 14:17:23</t>
  </si>
  <si>
    <t>-P-yXGdjxYEwhT-3rSr4</t>
  </si>
  <si>
    <t>AÇUCAR CRISTAL 5KG</t>
  </si>
  <si>
    <t>3777</t>
  </si>
  <si>
    <t>2028-07-03</t>
  </si>
  <si>
    <t>2026PD01442</t>
  </si>
  <si>
    <t>2026NE01521</t>
  </si>
  <si>
    <t>35260840712072000186550010000037771645174884</t>
  </si>
  <si>
    <t>2026-08-26 14:46:08</t>
  </si>
  <si>
    <t>-P-yYSrC8T4Vzc0ca5Nu</t>
  </si>
  <si>
    <t>PUDIM BAUNILHA</t>
  </si>
  <si>
    <t>H20659562</t>
  </si>
  <si>
    <t>2027-08-20</t>
  </si>
  <si>
    <t>2026PD01437</t>
  </si>
  <si>
    <t>2026NE01520</t>
  </si>
  <si>
    <t>35260840712072000186550010000037761244941372</t>
  </si>
  <si>
    <t>2026-08-26 14:51:20</t>
  </si>
  <si>
    <t>-P-yYXW21vjLodv_fLR9</t>
  </si>
  <si>
    <t>OLEO DE SOJA 900ML</t>
  </si>
  <si>
    <t>LUD0817</t>
  </si>
  <si>
    <t>0027-10-16</t>
  </si>
  <si>
    <t>2026-08-26 14:51:39</t>
  </si>
  <si>
    <t>-P-z6i2cOTLtqJatVroo</t>
  </si>
  <si>
    <t>2026-08-26 17:29:43</t>
  </si>
  <si>
    <t>-P-z9sRFN6VYUGD6TjNK</t>
  </si>
  <si>
    <t>169</t>
  </si>
  <si>
    <t>2026PD01510</t>
  </si>
  <si>
    <t>2026NE01505</t>
  </si>
  <si>
    <t>3526 0814 3396 0100 0138 5500 1000 0001 6910 0900 8470</t>
  </si>
  <si>
    <t>2026-08-26 17:43:32</t>
  </si>
  <si>
    <t>-P02d1DFCRQnwFvRSnhV</t>
  </si>
  <si>
    <t>5262</t>
  </si>
  <si>
    <t>260826</t>
  </si>
  <si>
    <t>2026-10-25</t>
  </si>
  <si>
    <t>2026PD01431</t>
  </si>
  <si>
    <t>35260843192676000137550010000052621468362600</t>
  </si>
  <si>
    <t>2026-08-27 14:33:46</t>
  </si>
  <si>
    <t>-P08yhRo5lajj_SIeTSm</t>
  </si>
  <si>
    <t>2026PD01454</t>
  </si>
  <si>
    <t>2026NE01519</t>
  </si>
  <si>
    <t>2026-08-28 20:06:11</t>
  </si>
  <si>
    <t>-P08yhRp4Kap8yj1Kd6k</t>
  </si>
  <si>
    <t>-P08yhRp4Kap8yj1Kd6l</t>
  </si>
  <si>
    <t>-P08yhRp4Kap8yj1Kd6m</t>
  </si>
  <si>
    <t>-P08yhRp4Kap8yj1Kd6n</t>
  </si>
  <si>
    <t>-P08yhRp4Kap8yj1Kd6o</t>
  </si>
  <si>
    <t>-P0NAsR7N4L51ktHWC9y</t>
  </si>
  <si>
    <t>AÇUCAR CRISTAL</t>
  </si>
  <si>
    <t>3791</t>
  </si>
  <si>
    <t>20262027</t>
  </si>
  <si>
    <t>2028-06-06</t>
  </si>
  <si>
    <t>35260840712072000186550010000037911419819232</t>
  </si>
  <si>
    <t>2026-08-31 14:18:26</t>
  </si>
  <si>
    <t>-P0NBHCkgRPx0MWe8fJQ</t>
  </si>
  <si>
    <t>4062</t>
  </si>
  <si>
    <t>2026PD014342026PD01435</t>
  </si>
  <si>
    <t>2026NE01525</t>
  </si>
  <si>
    <t>2026-08-31 14:20:07</t>
  </si>
  <si>
    <t>-P0NFtTmWypbJWAZKVJp</t>
  </si>
  <si>
    <t>ARROZ BENEFICIADO TIPO: AGULHINHA/BRANCO, SUBGRUPO: POLIDO, CLASSE: LONGO FINO,QUALIDADE: TIPO 1</t>
  </si>
  <si>
    <t>L82</t>
  </si>
  <si>
    <t>2026PD01423</t>
  </si>
  <si>
    <t>35260856429225000112550010000003731348449310</t>
  </si>
  <si>
    <t>2026-08-31 14:40:21</t>
  </si>
  <si>
    <t>-P0SEbslirskhn7GNCT0</t>
  </si>
  <si>
    <t>2026PD01516</t>
  </si>
  <si>
    <t>2026NE01648</t>
  </si>
  <si>
    <t>3526081087757500140550010000000781935274298</t>
  </si>
  <si>
    <t>2026-09-01 13:52:51</t>
  </si>
  <si>
    <t>-P0SFGGxY6mx-E14-j6S</t>
  </si>
  <si>
    <t>35260859067351000162550010000002651087771585</t>
  </si>
  <si>
    <t>2026-09-01 13:55:41</t>
  </si>
  <si>
    <t>-P0SGHWhyYZ0YoQJfeIf</t>
  </si>
  <si>
    <t>97</t>
  </si>
  <si>
    <t>2026PD01517</t>
  </si>
  <si>
    <t>2026NE01646</t>
  </si>
  <si>
    <t>35260810877596000166550010000000971440597954</t>
  </si>
  <si>
    <t>2026-09-01 14:00:08</t>
  </si>
  <si>
    <t>-P0SI7og7s1O2cA5otx_</t>
  </si>
  <si>
    <t>199</t>
  </si>
  <si>
    <t>01092025</t>
  </si>
  <si>
    <t>2026NE01647</t>
  </si>
  <si>
    <t>35260856052055000108550010000001991986574765</t>
  </si>
  <si>
    <t>2026-09-01 14:08:13</t>
  </si>
  <si>
    <t>-P0SNjuqQz57KM59c2zM</t>
  </si>
  <si>
    <t>lote 10/08/2026</t>
  </si>
  <si>
    <t>35260817130305000110550010000004061027800001</t>
  </si>
  <si>
    <t>2026-09-01 14:32:44</t>
  </si>
  <si>
    <t>-P0SNlStNlnoAqwc_3vB</t>
  </si>
  <si>
    <t>2026-09-01 14:32:50</t>
  </si>
  <si>
    <t>-P0TD9lgpwligDhOYwDK</t>
  </si>
  <si>
    <t>172</t>
  </si>
  <si>
    <t>2026-09-01 18:26:07</t>
  </si>
  <si>
    <t>-P0XqeNZZH0Bd49x4Dkn</t>
  </si>
  <si>
    <t>270</t>
  </si>
  <si>
    <t>02092026</t>
  </si>
  <si>
    <t>2026-09-12</t>
  </si>
  <si>
    <t>2026PD01511</t>
  </si>
  <si>
    <t>3526 0919 7182 9600 0109 5500 1000 0002 7010 0000 5403</t>
  </si>
  <si>
    <t>2026-09-02 16:02:37</t>
  </si>
  <si>
    <t>-P0XqeNZZH0Bd49x4Dko</t>
  </si>
  <si>
    <t>-P0XqeNZZH0Bd49x4Dkp</t>
  </si>
  <si>
    <t>-P0Xr5L0g122dFfxc4wm</t>
  </si>
  <si>
    <t>178</t>
  </si>
  <si>
    <t>2026PD01515</t>
  </si>
  <si>
    <t>3526 0908 3818 2800 0149 5500 1000 0001 7810 0000 3560</t>
  </si>
  <si>
    <t>2026-09-02 16:04:31</t>
  </si>
  <si>
    <t>-P0Xr5L15uBJOniMmaxU</t>
  </si>
  <si>
    <t>-P0Xr5L15uBJOniMmaxV</t>
  </si>
  <si>
    <t>-P0gLc_kyPwN9YSxmVN-</t>
  </si>
  <si>
    <t>44944</t>
  </si>
  <si>
    <t>2026PD01430</t>
  </si>
  <si>
    <t>35260804788913000175550010000449441609644899</t>
  </si>
  <si>
    <t>2026-09-04 12:17:48</t>
  </si>
  <si>
    <t>-P0gLf1fexC6wxXAEwfp</t>
  </si>
  <si>
    <t>04092026</t>
  </si>
  <si>
    <t>2026-09-04 12:17:58</t>
  </si>
  <si>
    <t>-P0ggzbwT8Ng1PmIdSJy</t>
  </si>
  <si>
    <t>3762</t>
  </si>
  <si>
    <t>07082604TZ</t>
  </si>
  <si>
    <t>2026-11-06</t>
  </si>
  <si>
    <t>2026PD01429</t>
  </si>
  <si>
    <t>35260857493580000113550010000037621544651139</t>
  </si>
  <si>
    <t>2026-09-04 13:55:29</t>
  </si>
  <si>
    <t>-P0gh0uD6LXu7_oTHPeX</t>
  </si>
  <si>
    <t>12012120826</t>
  </si>
  <si>
    <t>2026-09-04 13:55:38</t>
  </si>
  <si>
    <t>-P0gigi1rh9kgZ8N4iLT</t>
  </si>
  <si>
    <t>313</t>
  </si>
  <si>
    <t>2027-09-02</t>
  </si>
  <si>
    <t>2026NE01428</t>
  </si>
  <si>
    <t>35260854401485000154550010000003131401665457</t>
  </si>
  <si>
    <t>2026-09-04 14:02:56</t>
  </si>
  <si>
    <t>-P0gjn_wozSCMRl3qU17</t>
  </si>
  <si>
    <t>FILÉ DE PEITO ,APRESENTAÇÃO: FATIADO , ESTADO DECONSERVAÇÃO: RESFRIADO(A) , PROCESSAMENTO: SEM PELE,SEM OSSO</t>
  </si>
  <si>
    <t>8731</t>
  </si>
  <si>
    <t>2027-08-19</t>
  </si>
  <si>
    <t>2026PD01427</t>
  </si>
  <si>
    <t>35260841255020000190550010000087311837973391</t>
  </si>
  <si>
    <t>2026-09-04 14:07:46</t>
  </si>
  <si>
    <t>-P0h9T0mUYKfgz1ALfZa</t>
  </si>
  <si>
    <t>1002</t>
  </si>
  <si>
    <t>3006</t>
  </si>
  <si>
    <t>2026-10-01</t>
  </si>
  <si>
    <t>2026PD01426</t>
  </si>
  <si>
    <t>35260805336786000136550030000010021300001009</t>
  </si>
  <si>
    <t>2026-09-04 16:04:16</t>
  </si>
  <si>
    <t>-P0h9VO-O6WibIJy8Fdj</t>
  </si>
  <si>
    <t>2026-09-04 16:04:26</t>
  </si>
  <si>
    <t>-P0h9YoDacDIh2k81Wun</t>
  </si>
  <si>
    <t>2026-09-04 16:04:40</t>
  </si>
  <si>
    <t>-P0hAtQrCj8cJNWr_T8z</t>
  </si>
  <si>
    <t>1003</t>
  </si>
  <si>
    <t>1502</t>
  </si>
  <si>
    <t>2026PD01425</t>
  </si>
  <si>
    <t>35260805336786000136550030000010031300001014</t>
  </si>
  <si>
    <t>2026-09-04 16:10:30</t>
  </si>
  <si>
    <t>-P11QPc9WkYafKZ6g2Nz</t>
  </si>
  <si>
    <t>000000024</t>
  </si>
  <si>
    <t>08092026</t>
  </si>
  <si>
    <t>2026NE01644</t>
  </si>
  <si>
    <t>3526 0957 0931 1000 0162 5500 1000 0000 2418 9005 2009</t>
  </si>
  <si>
    <t>2026-09-08 19:10:18</t>
  </si>
  <si>
    <t>-P11QPcA6mQ7Bupz9TFz</t>
  </si>
  <si>
    <t>-P14urrA12wCmQIA12Rj</t>
  </si>
  <si>
    <t>68</t>
  </si>
  <si>
    <t>3526 0914 7760 5100 0114 5500 1000 0000 6814 8010 0089</t>
  </si>
  <si>
    <t>2026-09-09 11:26:45</t>
  </si>
  <si>
    <t>-P14urrA12wCmQIA12Rk</t>
  </si>
  <si>
    <t>-P14urrA12wCmQIA12Rl</t>
  </si>
  <si>
    <t>-P14urrA12wCmQIA12Rm</t>
  </si>
  <si>
    <t>-P14urrA12wCmQIA12Rn</t>
  </si>
  <si>
    <t>-P14urrA12wCmQIA12Ro</t>
  </si>
  <si>
    <t>09092026</t>
  </si>
  <si>
    <t>-P14urrA12wCmQIA12Rp</t>
  </si>
  <si>
    <t>14092026</t>
  </si>
  <si>
    <t>-P14urrA12wCmQIA12Rq</t>
  </si>
  <si>
    <t>-P14urrA12wCmQIA12Rr</t>
  </si>
  <si>
    <t>040920026</t>
  </si>
  <si>
    <t>-P14urrA12wCmQIA12Rs</t>
  </si>
  <si>
    <t>-P14urrA12wCmQIA12Rt</t>
  </si>
  <si>
    <t>-P14urrA12wCmQIA12Ru</t>
  </si>
  <si>
    <t>-P14urrA12wCmQIA12Rv</t>
  </si>
  <si>
    <t>-P16H7pC8EAGJ_GZE181</t>
  </si>
  <si>
    <t>154185</t>
  </si>
  <si>
    <t>2027-08-03</t>
  </si>
  <si>
    <t>2026-09-09 17:47:53</t>
  </si>
  <si>
    <t>-P19ysvCrYiUkJiKVErt</t>
  </si>
  <si>
    <t xml:space="preserve">Café torrado e moido </t>
  </si>
  <si>
    <t>1310</t>
  </si>
  <si>
    <t>L-200826</t>
  </si>
  <si>
    <t>2026pd01459</t>
  </si>
  <si>
    <t>35260834473095000182550010000013101620018020</t>
  </si>
  <si>
    <t>2026-09-10 11:02:17</t>
  </si>
  <si>
    <t>-P19zyW_5d4mW1kSuWXt</t>
  </si>
  <si>
    <t>666</t>
  </si>
  <si>
    <t>l-23082026</t>
  </si>
  <si>
    <t>2026pd01460</t>
  </si>
  <si>
    <t>35260817875886000110550010000006661800880040</t>
  </si>
  <si>
    <t>2026-09-10 11:07:01</t>
  </si>
  <si>
    <t>-P1A09lckJZitDJVXOuT</t>
  </si>
  <si>
    <t>986</t>
  </si>
  <si>
    <t>l - 240826</t>
  </si>
  <si>
    <t>2026pd01457</t>
  </si>
  <si>
    <t>35260818107834000166550010000009861803046837</t>
  </si>
  <si>
    <t>2026-09-10 11:12:14</t>
  </si>
  <si>
    <t>-P1A0yHS9Zx-Mmqirri3</t>
  </si>
  <si>
    <t>625</t>
  </si>
  <si>
    <t>l - 24082026</t>
  </si>
  <si>
    <t>2026pd01456</t>
  </si>
  <si>
    <t>35260820672752000106550010000006251700000077</t>
  </si>
  <si>
    <t>2026-09-10 11:15:45</t>
  </si>
  <si>
    <t>-P1FY3UJONUTjDbDDsqG</t>
  </si>
  <si>
    <t>13</t>
  </si>
  <si>
    <t>11092026</t>
  </si>
  <si>
    <t>3526 0966 7699 1100 0196 5500 1000 0000 1314 0403 2857</t>
  </si>
  <si>
    <t>2026-09-11 12:58:28</t>
  </si>
  <si>
    <t>-P1FY3UJONUTjDbDDsqH</t>
  </si>
  <si>
    <t>-P1FY3UKjH2licf6mrrU</t>
  </si>
  <si>
    <t>-P1FY3UKjH2licf6mrrV</t>
  </si>
  <si>
    <t>-P1FY3UKjH2licf6mrrW</t>
  </si>
  <si>
    <t>-P1FY3UKjH2licf6mrrX</t>
  </si>
  <si>
    <t>-P1FY3UKjH2licf6mrrY</t>
  </si>
  <si>
    <t>-P1FY3UKjH2licf6mrrZ</t>
  </si>
  <si>
    <t>-P1FY3UKjH2licf6mrr_</t>
  </si>
  <si>
    <t>-P1FY3UKjH2licf6mrra</t>
  </si>
  <si>
    <t>-P1FY3UKjH2licf6mrrb</t>
  </si>
  <si>
    <t>-P1FY3UKjH2licf6mrrc</t>
  </si>
  <si>
    <t>-P1FY3UKjH2licf6mrrd</t>
  </si>
  <si>
    <t>-P1H2LwRARchS4mxcGUf</t>
  </si>
  <si>
    <t>000000051</t>
  </si>
  <si>
    <t>2026-09-11 19:59:08</t>
  </si>
  <si>
    <t>-P1H2LwSbOF6S-jp4_Os</t>
  </si>
  <si>
    <t>-P1H2LwTST-TgigXDR0t</t>
  </si>
  <si>
    <t>-P1H2LwTST-TgigXDR0u</t>
  </si>
  <si>
    <t>-P1H2LwTST-TgigXDR0v</t>
  </si>
  <si>
    <t>-P1H2LwTST-TgigXDR0w</t>
  </si>
  <si>
    <t>-P1HKMQ3wL0LDoL2KHFQ</t>
  </si>
  <si>
    <t>261</t>
  </si>
  <si>
    <t>35260944008927000143550010000002611300002544</t>
  </si>
  <si>
    <t>2026-09-11 21:17:49</t>
  </si>
  <si>
    <t>-P1HKMQ3wL0LDoL2KHFR</t>
  </si>
  <si>
    <t>-P1HKMQ4oRWoefKuDVpp</t>
  </si>
  <si>
    <t>-P1HKMQ4oRWoefKuDVpq</t>
  </si>
  <si>
    <t>-P1HKwGjjtDI36_FYCGz</t>
  </si>
  <si>
    <t>2026-09-26</t>
  </si>
  <si>
    <t>35260963134694000170550010000000331300000342</t>
  </si>
  <si>
    <t>2026-09-11 21:20:20</t>
  </si>
  <si>
    <t>-P1HKwGkjyOU7UHsGWw-</t>
  </si>
  <si>
    <t>2026-09-25</t>
  </si>
  <si>
    <t>-P1HKwGkjyOU7UHsGWw0</t>
  </si>
  <si>
    <t>-P1HKwGkjyOU7UHsGWw1</t>
  </si>
  <si>
    <t>-P1HKwGkjyOU7UHsGWw2</t>
  </si>
  <si>
    <t>22092026</t>
  </si>
  <si>
    <t>-P1dms68zbzF6Dui_Aj-</t>
  </si>
  <si>
    <t>62</t>
  </si>
  <si>
    <t>2026PD01512</t>
  </si>
  <si>
    <t>2026-09-16 10:38:01</t>
  </si>
  <si>
    <t>-P1dms69lT0ia4H3qeWK</t>
  </si>
  <si>
    <t>-P1f96yosZew8syl_gDH</t>
  </si>
  <si>
    <t>9983</t>
  </si>
  <si>
    <t>35260941339668000145550010000099831927745753</t>
  </si>
  <si>
    <t>2026-09-16 16:59:13</t>
  </si>
  <si>
    <t>-P1f96yosZew8syl_gDI</t>
  </si>
  <si>
    <t>-P1f96yosZew8syl_gDJ</t>
  </si>
  <si>
    <t>-P1fCNH6XrFsGNb6kCPT</t>
  </si>
  <si>
    <t>file peito dalla</t>
  </si>
  <si>
    <t>213.839</t>
  </si>
  <si>
    <t>35260952657483000103550010002138391741462800</t>
  </si>
  <si>
    <t>2026-09-16 17:13:26</t>
  </si>
  <si>
    <t>-P1fCi33FBKxloEYysrF</t>
  </si>
  <si>
    <t>2026-09-16 17:14:55</t>
  </si>
  <si>
    <t>-P1fJkz1gti8yvRxBL_L</t>
  </si>
  <si>
    <t>2026-09-13</t>
  </si>
  <si>
    <t>45055</t>
  </si>
  <si>
    <t>252</t>
  </si>
  <si>
    <t>2026-10-09</t>
  </si>
  <si>
    <t>35260904788913000175550010000450551904389457</t>
  </si>
  <si>
    <t>2026-09-16 17:45:44</t>
  </si>
  <si>
    <t>-P1fJo7Si9BNPLsdjlp7</t>
  </si>
  <si>
    <t>2026-09-16 17:45:56</t>
  </si>
  <si>
    <t>-P1kN_1e70eHNn-W0cpZ</t>
  </si>
  <si>
    <t>2026-09-17 17:20:28</t>
  </si>
  <si>
    <t>-P1kN_1e70eHNn-W0cp_</t>
  </si>
  <si>
    <t>-P1kN_1e70eHNn-W0cpa</t>
  </si>
  <si>
    <t>-P1kN_1e70eHNn-W0cpb</t>
  </si>
  <si>
    <t>-P1kN_1e70eHNn-W0cpc</t>
  </si>
  <si>
    <t>-P1kN_1e70eHNn-W0cpd</t>
  </si>
  <si>
    <t>-P23pSwMQ8Jlwry4SGPn</t>
  </si>
  <si>
    <t>646</t>
  </si>
  <si>
    <t>21092026</t>
  </si>
  <si>
    <t>2026-09-30</t>
  </si>
  <si>
    <t>2026PD01513</t>
  </si>
  <si>
    <t>2026NE01506</t>
  </si>
  <si>
    <t>35260920672752000106550010000006461502501430</t>
  </si>
  <si>
    <t>2026-09-21 16:39:08</t>
  </si>
  <si>
    <t>-P23qF0r0rCdJvtxcfOx</t>
  </si>
  <si>
    <t>683</t>
  </si>
  <si>
    <t>2026PD01514</t>
  </si>
  <si>
    <t>2026NE01507</t>
  </si>
  <si>
    <t>35260917875886000110550010000006831350006160</t>
  </si>
  <si>
    <t>2026-09-21 16:42:33</t>
  </si>
  <si>
    <t>-P23qsjEsJ9EL7C7Y_OQ</t>
  </si>
  <si>
    <t>1011</t>
  </si>
  <si>
    <t>35260918107834000166550010000010111050000329</t>
  </si>
  <si>
    <t>2026-09-21 16:45:20</t>
  </si>
  <si>
    <t>-P24iARXjGYUK-hJg2GA</t>
  </si>
  <si>
    <t>34</t>
  </si>
  <si>
    <t>2026-09-21 20:46:51</t>
  </si>
  <si>
    <t>-P24iARYyTo3jfGEOSzR</t>
  </si>
  <si>
    <t>-P24iARZogRbNJOE87Ww</t>
  </si>
  <si>
    <t>-P24iARZogRbNJOE87Wx</t>
  </si>
  <si>
    <t>-P27vAYLQIqy8L_59kJ4</t>
  </si>
  <si>
    <t>2027-09-03</t>
  </si>
  <si>
    <t>2026-09-22 11:42:33</t>
  </si>
  <si>
    <t>-P27yiYMgtliY4d6GEfS</t>
  </si>
  <si>
    <t>417</t>
  </si>
  <si>
    <t>J26</t>
  </si>
  <si>
    <t>2027-01-02</t>
  </si>
  <si>
    <t>35260956429225000112550010000004171497101803</t>
  </si>
  <si>
    <t>2026-09-22 11:58:03</t>
  </si>
  <si>
    <t>-P27ynZKsiH8Tru85cuQ</t>
  </si>
  <si>
    <t>L100</t>
  </si>
  <si>
    <t>2027-03-15</t>
  </si>
  <si>
    <t>2026-09-22 11:58:23</t>
  </si>
  <si>
    <t>-P27ysECqDvo8TaB98HM</t>
  </si>
  <si>
    <t>J100</t>
  </si>
  <si>
    <t>2026-09-22 11:58:42</t>
  </si>
  <si>
    <t>-P28EHdsmzcJ52qHmHQQ</t>
  </si>
  <si>
    <t>740</t>
  </si>
  <si>
    <t>13092026</t>
  </si>
  <si>
    <t>2026-10-04</t>
  </si>
  <si>
    <t>35260937635494000190550010000007401000012950</t>
  </si>
  <si>
    <t>2026-09-22 13:10:25</t>
  </si>
  <si>
    <t>-P28ELBC9RXcnuE0dmZX</t>
  </si>
  <si>
    <t>2026-09-22 13:10:39</t>
  </si>
  <si>
    <t>-P28EQOe9cEpl4ftTup4</t>
  </si>
  <si>
    <t>2026-09-22 13:11:01</t>
  </si>
  <si>
    <t>-P28zNtR9DlAHtZRh8C8</t>
  </si>
  <si>
    <t>COXÃO DURO RESF</t>
  </si>
  <si>
    <t>5317</t>
  </si>
  <si>
    <t>16391639</t>
  </si>
  <si>
    <t>2026-11-17</t>
  </si>
  <si>
    <t>35260943192676000137550010000053171510862869</t>
  </si>
  <si>
    <t>2026-09-22 16:40:32</t>
  </si>
  <si>
    <t>-P293Jk6mg7B95MEpGQM</t>
  </si>
  <si>
    <t>2026-09-22 17:02:06</t>
  </si>
  <si>
    <t>-P29DQer-C79OI6iL68t</t>
  </si>
  <si>
    <t>423</t>
  </si>
  <si>
    <t>3526 0917 1303 0500 0110 5500 1000 0004 2315 0290 1134</t>
  </si>
  <si>
    <t>2026-09-22 17:46:14</t>
  </si>
  <si>
    <t>-P29DQer-C79OI6iL68u</t>
  </si>
  <si>
    <t>-P2E3lqGHfI-Bo8AmqNk</t>
  </si>
  <si>
    <t>1060</t>
  </si>
  <si>
    <t>809</t>
  </si>
  <si>
    <t>2026-12-09</t>
  </si>
  <si>
    <t>35260905336786000136550030000010601300001588</t>
  </si>
  <si>
    <t>2026-09-23 16:22:11</t>
  </si>
  <si>
    <t>-P2E4uAfvsLnQcYTx1hO</t>
  </si>
  <si>
    <t>1059</t>
  </si>
  <si>
    <t>1409</t>
  </si>
  <si>
    <t>2026-12-15</t>
  </si>
  <si>
    <t>35260905336786000136550030000010591300001579</t>
  </si>
  <si>
    <t>2026-09-23 16:27:08</t>
  </si>
  <si>
    <t>-P2E4x7yV-X3lyq-agfV</t>
  </si>
  <si>
    <t>TOUCINHO</t>
  </si>
  <si>
    <t>109</t>
  </si>
  <si>
    <t>2026-12-31</t>
  </si>
  <si>
    <t>2026-09-23 16:27:20</t>
  </si>
  <si>
    <t>-P2E50PMwMmWHhHaCVPT</t>
  </si>
  <si>
    <t>2608</t>
  </si>
  <si>
    <t>2026-11-27</t>
  </si>
  <si>
    <t>2026-09-23 16:27:37</t>
  </si>
  <si>
    <t>-P2ISsjtFbijMb7ohp7P</t>
  </si>
  <si>
    <t>24092026</t>
  </si>
  <si>
    <t>2026-10-05</t>
  </si>
  <si>
    <t>33260962280885000187550010000002201300001339</t>
  </si>
  <si>
    <t>2026-09-24 12:50:20</t>
  </si>
  <si>
    <t>-P2JFLnNSbw8jN6flmTZ</t>
  </si>
  <si>
    <t>COXA E SOBRECOXA (PCT SEARA) 15KG</t>
  </si>
  <si>
    <t xml:space="preserve">ALIMENTAR DISTRIBUIDORA DE CARNES E FRIOS LTDA </t>
  </si>
  <si>
    <t>314778</t>
  </si>
  <si>
    <t>35260907612306000148550010003147781601851654</t>
  </si>
  <si>
    <t>2026-09-24 16:30:52</t>
  </si>
  <si>
    <t>-P2JFP3PN-WGuF0ujtt6</t>
  </si>
  <si>
    <t>QUEIJO MUSSARELA</t>
  </si>
  <si>
    <t>2026-09-24 16:31:06</t>
  </si>
  <si>
    <t>TOTAL GERAL</t>
  </si>
  <si>
    <t>REGISTRO DE SAÍDAS, BAIXAS E CONSUMO DE ALMOXARIFADO</t>
  </si>
  <si>
    <t>Registro de requisições, per capita e retiradas autorizadas</t>
  </si>
  <si>
    <t>ID Saída</t>
  </si>
  <si>
    <t>Item / Produto</t>
  </si>
  <si>
    <t>Quantidade Baixada</t>
  </si>
  <si>
    <t>Destino / Setor Solicitante</t>
  </si>
  <si>
    <t>Responsável pela Saída</t>
  </si>
  <si>
    <t>Tipo de Movimento</t>
  </si>
  <si>
    <t>dir-1770407431737</t>
  </si>
  <si>
    <t>Diretor de Disciplina</t>
  </si>
  <si>
    <t>Diretoria</t>
  </si>
  <si>
    <t>saída</t>
  </si>
  <si>
    <t>Retirada Per Capita</t>
  </si>
  <si>
    <t>ARROZ BENEFICIADO</t>
  </si>
  <si>
    <t>dir-1770407338917</t>
  </si>
  <si>
    <t>dir-1770407208900</t>
  </si>
  <si>
    <t>Chefe de Departamento</t>
  </si>
  <si>
    <t>CADASTRO COMPLETO DE FORNECEDORES E PRODUTORES</t>
  </si>
  <si>
    <t>Total de 81 Fornecedores • Contratos, CNPJ/CPF, Processos SEI e Entregas</t>
  </si>
  <si>
    <t>Razão Social / Nome do Produtor</t>
  </si>
  <si>
    <t>CNPJ / CPF</t>
  </si>
  <si>
    <t>Processo SEI</t>
  </si>
  <si>
    <t>Cidade / UF</t>
  </si>
  <si>
    <t>Endereço</t>
  </si>
  <si>
    <t>Valor Total Contrato (R$)</t>
  </si>
  <si>
    <t>Itens Contratados</t>
  </si>
  <si>
    <t>Entregas Realizadas</t>
  </si>
  <si>
    <t>Semanas Permitidas</t>
  </si>
  <si>
    <t>ITEM FRACASSADO - RELANÇADOS</t>
  </si>
  <si>
    <t>00000000000</t>
  </si>
  <si>
    <t>2, 7, 11, 15</t>
  </si>
  <si>
    <t>00272863807</t>
  </si>
  <si>
    <t>006.00091368/2026-57</t>
  </si>
  <si>
    <t>LOTE 44 ASSENTAMENTO CORREGO RICO, BAIRRO ASSENTAMENTO CORREGO RICO, CEP 14888-490</t>
  </si>
  <si>
    <t>20, 25, 29, 34, 38, 42, 47, 51</t>
  </si>
  <si>
    <t>00840591000105</t>
  </si>
  <si>
    <t>18, 19, 20, 21, 22, 23, 24, 25, 26, 27, 28, 29, 30, 31, 32, 33, 34, 35, 36, 37, 38, 39, 40, 41, 42, 43, 44, 45, 46, 47, 48, 49, 50, 51, 52, 53</t>
  </si>
  <si>
    <t>03070089836</t>
  </si>
  <si>
    <t>RESTINGA</t>
  </si>
  <si>
    <t>ASSENTAMENTO BOA SORTE LOTE, 55</t>
  </si>
  <si>
    <t>22, 27, 31, 36, 40, 44, 49, 53</t>
  </si>
  <si>
    <t>03152469870</t>
  </si>
  <si>
    <t>3, 9, 11, 16, 21, 26, 30, 35, 39, 43, 48, 52</t>
  </si>
  <si>
    <t>03191880860</t>
  </si>
  <si>
    <t>5, 8, 13, 18, 19, 24, 28, 33, 37, 41, 46, 50</t>
  </si>
  <si>
    <t>04543280873</t>
  </si>
  <si>
    <t>4, 8, 12, 17</t>
  </si>
  <si>
    <t>04788913000175</t>
  </si>
  <si>
    <t>5, 8, 12, 17, 20, 21, 25, 29, 34, 38, 42, 47, 51</t>
  </si>
  <si>
    <t>05098638000120</t>
  </si>
  <si>
    <t>Todas</t>
  </si>
  <si>
    <t>05336786000</t>
  </si>
  <si>
    <t>006.00104661/2026-91</t>
  </si>
  <si>
    <t>TAQUARITINGA</t>
  </si>
  <si>
    <t xml:space="preserve">AV. PAULO ROBERTO SCANDAR, Nº 558, BAIRRO JARDIM BELA VISTA, </t>
  </si>
  <si>
    <t>20, 25, 29, 34</t>
  </si>
  <si>
    <t>07612306000</t>
  </si>
  <si>
    <t xml:space="preserve"> 006.00324843/2026-87</t>
  </si>
  <si>
    <t>NUPORANGA/SP</t>
  </si>
  <si>
    <t>RUA PRUDENTE DE MORAES Nº 220, BAIRRO CENTRO</t>
  </si>
  <si>
    <t>08810562860</t>
  </si>
  <si>
    <t>2, 6, 9, 10, 12, 15, 18, 20, 21, 24, 28, 33, 37, 41, 46, 50</t>
  </si>
  <si>
    <t>09114512858</t>
  </si>
  <si>
    <t>LOTE 26 ASSENTAMENTO CORREGO RICO, BAIRRO ASSENTAMENTO CORREGO RICO, CEP 14888-490</t>
  </si>
  <si>
    <t>19, 24, 28, 33, 37, 41, 46, 50</t>
  </si>
  <si>
    <t>09206039000</t>
  </si>
  <si>
    <t>006.00164040/2026-67</t>
  </si>
  <si>
    <t>BRODOWSKI/SP</t>
  </si>
  <si>
    <t>RUA VEREADOR ABRAHÃO SAAD, Nº 131, SALA 2, BRODOWSKI/SP, CEP 14.340-000</t>
  </si>
  <si>
    <t>19, 20, 24, 25, 28, 29, 33, 34</t>
  </si>
  <si>
    <t>09206039000134</t>
  </si>
  <si>
    <t>11706412886</t>
  </si>
  <si>
    <t>MONTE AZUL PAULISTA</t>
  </si>
  <si>
    <t>RUA SEBASTIAO DE SOUZA LIMA</t>
  </si>
  <si>
    <t>21, 26, 30, 35, 39, 43, 48, 52</t>
  </si>
  <si>
    <t>11866308840</t>
  </si>
  <si>
    <t>4, 9, 12, 17, 18, 22, 24, 25, 27, 32, 36, 40, 45, 49</t>
  </si>
  <si>
    <t>12237251894</t>
  </si>
  <si>
    <t>2, 6, 10, 15, 21, 25, 29, 34, 38, 42, 47, 51</t>
  </si>
  <si>
    <t>12275456000143</t>
  </si>
  <si>
    <t>5, 9, 14, 18</t>
  </si>
  <si>
    <t>13386520000126</t>
  </si>
  <si>
    <t>EMPENHADO APENAS PARA A NOTA DE MARÇO O VALOR DE R$15.480,00 EMPENHO 2026NE00209</t>
  </si>
  <si>
    <t>13868404830</t>
  </si>
  <si>
    <t>12, 13, 17, 4, 8</t>
  </si>
  <si>
    <t>14100775865</t>
  </si>
  <si>
    <t>2, 6, 10, 15</t>
  </si>
  <si>
    <t>14112381840</t>
  </si>
  <si>
    <t>15721949000158</t>
  </si>
  <si>
    <t>17088309000188</t>
  </si>
  <si>
    <t>18658019845</t>
  </si>
  <si>
    <t>4, 7, 8, 12, 17, 20, 25, 29, 34, 38, 42, 47, 51</t>
  </si>
  <si>
    <t>19507400800</t>
  </si>
  <si>
    <t>4, 8, 12, 17, 20, 25, 29, 34, 38, 42, 47, 51</t>
  </si>
  <si>
    <t>19637644806</t>
  </si>
  <si>
    <t>2, 6, 10, 15, 21, 26, 30, 35, 39, 43, 48, 52</t>
  </si>
  <si>
    <t>19962694884</t>
  </si>
  <si>
    <t>5, 8, 13, 18</t>
  </si>
  <si>
    <t>20002779000</t>
  </si>
  <si>
    <t>ARAÇOIABA DA SERRA/SP</t>
  </si>
  <si>
    <t>EST. JUNDIACANGA, S/Nº, BAIRRO JUNDIACANGA</t>
  </si>
  <si>
    <t>20, 24, 28, 33</t>
  </si>
  <si>
    <t>22242971816</t>
  </si>
  <si>
    <t>3, 7, 11, 14, 15, 16, 17, 18, 20, 25, 29, 30, 34, 38, 42, 47, 51</t>
  </si>
  <si>
    <t>24201681000114</t>
  </si>
  <si>
    <t>24582776000125</t>
  </si>
  <si>
    <t>24744074000109</t>
  </si>
  <si>
    <t>26389577800</t>
  </si>
  <si>
    <t>2, 6, 10, 15, 20, 25, 29, 34, 38, 42, 47, 51</t>
  </si>
  <si>
    <t>29316828880</t>
  </si>
  <si>
    <t>SITIO PAINEIRAS, ESTR. MUNICIPAL PARA GUARIROBA KM 5</t>
  </si>
  <si>
    <t>29725258000</t>
  </si>
  <si>
    <t>RUA COSTA BARROS,204 - , BAIRRO VILA ALPINA</t>
  </si>
  <si>
    <t>18, 23, 27, 32</t>
  </si>
  <si>
    <t>30247188859</t>
  </si>
  <si>
    <t>31245209809</t>
  </si>
  <si>
    <t>4, 9, 12, 17, 19, 24, 28, 33, 37, 41, 46, 50</t>
  </si>
  <si>
    <t>32274227861</t>
  </si>
  <si>
    <t>ITÁPOLIS</t>
  </si>
  <si>
    <t xml:space="preserve">DISTRITO DE NOVA AMÉRICA </t>
  </si>
  <si>
    <t>21, 25, 29, 34, 38, 42, 47, 51</t>
  </si>
  <si>
    <t>32710271885</t>
  </si>
  <si>
    <t>11, 15, 2, 6</t>
  </si>
  <si>
    <t>34473095000182</t>
  </si>
  <si>
    <t>35678685000104</t>
  </si>
  <si>
    <t>006.001640400/2026-67</t>
  </si>
  <si>
    <t>OLIMPIA-SP</t>
  </si>
  <si>
    <t>RUA TAIZO NAKAMURA, 35 E</t>
  </si>
  <si>
    <t>22, 27, 31, 36</t>
  </si>
  <si>
    <t>36071943949</t>
  </si>
  <si>
    <t>DESCALVADO</t>
  </si>
  <si>
    <t>COMUNIDADE AGRÁRIA, LOTE 7</t>
  </si>
  <si>
    <t>19, 23, 27, 32, 36, 40, 45, 49</t>
  </si>
  <si>
    <t>37322367812</t>
  </si>
  <si>
    <t>3, 7, 11, 16, 18, 19, 23, 27, 32, 33, 36, 40, 45, 49</t>
  </si>
  <si>
    <t>37417334822</t>
  </si>
  <si>
    <t>ASSENTAMENTO 21 DE DEZEMBRO LOTE 14</t>
  </si>
  <si>
    <t>18, 19, 23, 27, 32, 36, 40, 45, 49</t>
  </si>
  <si>
    <t>37845451819</t>
  </si>
  <si>
    <t>ASSENTAMENTO 21 DE DEZEMBRO, LOTE 11</t>
  </si>
  <si>
    <t>40712072000186</t>
  </si>
  <si>
    <t>Nota  3.213, EMPENHADO APENAS DO MÊS DE MARÇO 2026NE00208VALOR DE r$ 11.700,00 18/03/2026</t>
  </si>
  <si>
    <t>41255020000</t>
  </si>
  <si>
    <t>MARILIA/SP</t>
  </si>
  <si>
    <t>RUA ITOROROS - 199 , BAIRRO MONTE CASTELO</t>
  </si>
  <si>
    <t>19, 24, 28, 33</t>
  </si>
  <si>
    <t>41339668000145</t>
  </si>
  <si>
    <t>006.00250620/2026-76</t>
  </si>
  <si>
    <t>RUA ANTONIO SPECHOTO PRIMO 85 LOTE 13 14 15 QUADRA23 JARDIM SANTA LUCIA</t>
  </si>
  <si>
    <t>43192676000137</t>
  </si>
  <si>
    <t>43803274850</t>
  </si>
  <si>
    <t>ASSENTAMENTO BOA SORTE LOTE 18</t>
  </si>
  <si>
    <t>20, 24, 28, 33, 37, 41, 46, 50</t>
  </si>
  <si>
    <t>44441407000</t>
  </si>
  <si>
    <t>SOROCABA/SP</t>
  </si>
  <si>
    <t>RUA EUGENIO RABELLO, Nº 98, SALA 01, JARDIM EMBAIXADOR</t>
  </si>
  <si>
    <t>21, 26, 30, 35</t>
  </si>
  <si>
    <t>45829098000122</t>
  </si>
  <si>
    <t>45839300896</t>
  </si>
  <si>
    <t>4, 9, 12, 17, 18, 22, 27, 31, 36, 40, 44, 49, 53</t>
  </si>
  <si>
    <t>MV COBRANCA E ALIMENTOS LTDA</t>
  </si>
  <si>
    <t>45916973000</t>
  </si>
  <si>
    <t>° 006.00324843/2026-87</t>
  </si>
  <si>
    <t xml:space="preserve"> MUNICÍPIO: MARÍLIA  ESTADO: SÃO PAULO</t>
  </si>
  <si>
    <t xml:space="preserve"> AVENIDA PASTOR DARCI DA SILVA LIMA, 709  BAIRRO: RESIDENCIAL VIDA NOVA MARACA (PADRE NOBREGA)  CEP: 17533-371 </t>
  </si>
  <si>
    <t>46329254893</t>
  </si>
  <si>
    <t>LOTE 12 ASSENTAMENTO CORREGO RICO, BAIRRO ASSENTAMENTO CORREGO RICO, CEP 14888-490</t>
  </si>
  <si>
    <t>52561872000122</t>
  </si>
  <si>
    <t>2026NE00191, falta envio da nota, em contato com a empresa, entrega em 10 dias a partir de 12/036</t>
  </si>
  <si>
    <t>52657483000</t>
  </si>
  <si>
    <t>RIBEIRÃO PRETO /SP</t>
  </si>
  <si>
    <t>RUA PROFESSOR ANTONIO BARACHINI Nº 179, BAIRRO JARDIM SÃO LUIZ</t>
  </si>
  <si>
    <t>19, 20, 21, 22, 24, 25, 26, 27, 30, 35</t>
  </si>
  <si>
    <t>52657483000103</t>
  </si>
  <si>
    <t>53274780000124</t>
  </si>
  <si>
    <t>Tem nota, 22/03/2026 NO VALOR DE R$6.181,74 NO QUAL FOI EMPENHADO O MÊS DE MARÇO 2026NE00211</t>
  </si>
  <si>
    <t>54401485000</t>
  </si>
  <si>
    <t>TAUBATE/SP</t>
  </si>
  <si>
    <t>AVENIDA CHARLES SCHNNEIDER, 781, BAIRRO BARRANCO</t>
  </si>
  <si>
    <t>54543018000169</t>
  </si>
  <si>
    <t>54703516000121</t>
  </si>
  <si>
    <t>56037267000108</t>
  </si>
  <si>
    <t>RUA DAS PRIMAVERAS, 456 - JARDIM PRIMAVERAS</t>
  </si>
  <si>
    <t>56429225000112</t>
  </si>
  <si>
    <t>SOROCABA</t>
  </si>
  <si>
    <t>RUA MILTON MONZONI WAGNER, Nº 193</t>
  </si>
  <si>
    <t>18, 19, 20, 21, 22, 23, 24, 25, 26, 27, 28, 29, 30, 31, 32, 33, 34, 35, 36</t>
  </si>
  <si>
    <t>57493580000</t>
  </si>
  <si>
    <t>IACANGA/SP</t>
  </si>
  <si>
    <t>AVENIDA SÃO JOÃO, Nº 860</t>
  </si>
  <si>
    <t>57812230000</t>
  </si>
  <si>
    <t>OSASCO/SP</t>
  </si>
  <si>
    <t>RUA VITÓRIO TAFARELLO Nº 676, SALA 02, KM 18, OSASCO/SP, CEP 06.192-150</t>
  </si>
  <si>
    <t>21, 22, 26, 27, 30, 31, 35, 36</t>
  </si>
  <si>
    <t>57812230000172</t>
  </si>
  <si>
    <t>ESMERALDA COMERCIO DE CERAIS</t>
  </si>
  <si>
    <t>57991352000173</t>
  </si>
  <si>
    <t>1, 2, 3, 4, 5, 6, 7, 8, 9, 10, 11, 12, 13, 14, 15, 16, 17, 18</t>
  </si>
  <si>
    <t>58356851000151</t>
  </si>
  <si>
    <t>LANÇADA A NOTA 734 NO VALOR DE R$ 10.608,00 COM O EMPENHO 2026NE00210</t>
  </si>
  <si>
    <t>59413441804</t>
  </si>
  <si>
    <t>3, 7, 11, 16</t>
  </si>
  <si>
    <t>60147761000100</t>
  </si>
  <si>
    <t>10, 11, 12, 14, 15, 16, 17, 18</t>
  </si>
  <si>
    <t>61580443000</t>
  </si>
  <si>
    <t>RUA: ALAGOAS, N.º 569, CENTRO, CEP: 15.801-310</t>
  </si>
  <si>
    <t>61645926000129</t>
  </si>
  <si>
    <t>62280885000187</t>
  </si>
  <si>
    <t>SEROPEDICA/RJ</t>
  </si>
  <si>
    <t xml:space="preserve"> AV MINISTRO FERNANDO COSTA Nº 101, KM 74</t>
  </si>
  <si>
    <t>30, 32, 34, 36</t>
  </si>
  <si>
    <t>62656712000110</t>
  </si>
  <si>
    <t>62953865000120</t>
  </si>
  <si>
    <t>Nota 64 EMPENHADO APENAS A NOTA DE MARÇO 2026NE00207 de 500 pacotes de gelatina de 1kg</t>
  </si>
  <si>
    <t>63626010000157</t>
  </si>
  <si>
    <t>RUA MONTEIRO LOBATO 2143 VILA CARDIA</t>
  </si>
  <si>
    <t>71859624987</t>
  </si>
  <si>
    <t>ASSENTAMENTO 21 DE DEZEMBRO, LOTE 15</t>
  </si>
  <si>
    <t>87132180001</t>
  </si>
  <si>
    <t>MOGI GUAÇU/SP</t>
  </si>
  <si>
    <t>RUA EUCLIDES TOLEDO PIZA, Nº 78, JARDIM SÃO CAMILO, MOGI GUAÇU/SP, CEP 13.848-150</t>
  </si>
  <si>
    <t>CADASTRO DE VEÍCULOS E VIATURAS OFICIAIS</t>
  </si>
  <si>
    <t>Modelo / Veículo</t>
  </si>
  <si>
    <t>Nº Patrimônio</t>
  </si>
  <si>
    <t>Tipo de Viatura</t>
  </si>
  <si>
    <t>Status Operacional</t>
  </si>
  <si>
    <t>Oficial / Operacional</t>
  </si>
  <si>
    <t>ATIVO</t>
  </si>
  <si>
    <t>RELAÇÃO DE MOTORISTAS E CONDUTORES AUTORIZADOS</t>
  </si>
  <si>
    <t>Nome Completo do Servidor</t>
  </si>
  <si>
    <t>Registro Geral (RG)</t>
  </si>
  <si>
    <t>Cargo / Função</t>
  </si>
  <si>
    <t>Categoria CNH</t>
  </si>
  <si>
    <t>Status</t>
  </si>
  <si>
    <t>B/D</t>
  </si>
  <si>
    <t>HABILITADO</t>
  </si>
  <si>
    <t>EDUARDO ALFREDO ALVES</t>
  </si>
  <si>
    <t>ELIZA YOSHIE NISHIDA ALVES</t>
  </si>
  <si>
    <t>MICHEL DA SILVA</t>
  </si>
  <si>
    <t>PAULO HENRIQUE SIMÃO</t>
  </si>
  <si>
    <t>SAULO DE PAULA CABRAL</t>
  </si>
  <si>
    <t>WERNER FERNANDO BATISTA FATORI</t>
  </si>
  <si>
    <t>DARIO CARVALHO</t>
  </si>
  <si>
    <t>ORLANDO TIMÓTIO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</si>
</sst>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13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94A3B8"/>
      <sz val="9"/>
      <name val="Segoe UI"/>
    </font>
    <font>
      <b/>
      <color rgb="FFFFFF"/>
      <sz val="10"/>
      <name val="Segoe UI"/>
    </font>
    <font>
      <b/>
      <sz val="10"/>
      <name val="Segoe UI"/>
    </font>
    <font>
      <b/>
      <color rgb="1E3A8A"/>
      <sz val="11"/>
      <name val="Segoe UI"/>
    </font>
    <font>
      <sz val="9"/>
      <name val="Segoe UI"/>
    </font>
    <font>
      <b/>
      <color rgb="065F46"/>
      <sz val="9"/>
      <name val="Segoe UI"/>
    </font>
    <font>
      <color rgb="334155"/>
      <sz val="9"/>
      <name val="Segoe UI"/>
    </font>
    <font>
      <b/>
      <color rgb="FFFFFF"/>
      <sz val="12"/>
      <name val="Segoe UI"/>
    </font>
    <font>
      <i/>
      <color rgb="CBD5E1"/>
      <sz val="9"/>
      <name val="Segoe UI"/>
    </font>
    <font>
      <i/>
      <color rgb="D1FAE5"/>
      <sz val="9"/>
      <name val="Segoe UI"/>
    </font>
    <font>
      <i/>
      <color rgb="FEF3C7"/>
      <sz val="9"/>
      <name val="Segoe UI"/>
    </font>
  </fonts>
  <fills count="11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312E81"/>
      </patternFill>
    </fill>
    <fill>
      <patternFill patternType="solid">
        <fgColor rgb="F8FAFC"/>
      </patternFill>
    </fill>
    <fill>
      <patternFill patternType="solid">
        <fgColor rgb="FFFFFF"/>
      </patternFill>
    </fill>
    <fill>
      <patternFill patternType="solid">
        <fgColor rgb="1E3A8A"/>
      </patternFill>
    </fill>
    <fill>
      <patternFill patternType="solid">
        <fgColor rgb="F1F5F9"/>
      </patternFill>
    </fill>
    <fill>
      <patternFill patternType="solid">
        <fgColor rgb="065F46"/>
      </patternFill>
    </fill>
    <fill>
      <patternFill patternType="solid">
        <fgColor rgb="DBEAFE"/>
      </patternFill>
    </fill>
    <fill>
      <patternFill patternType="solid">
        <fgColor rgb="92400E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4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0" fillId="5" borderId="0" xfId="0" applyFill="1"/>
    <xf numFmtId="0" fontId="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3" fillId="2" borderId="0" xfId="0" applyFont="1" applyFill="1"/>
    <xf numFmtId="0" fontId="8" fillId="0" borderId="0" xfId="0" applyFont="1"/>
    <xf numFmtId="0" fontId="9" fillId="3" borderId="0" xfId="0" applyFont="1" applyFill="1"/>
    <xf numFmtId="0" fontId="10" fillId="3" borderId="0" xfId="0" applyFont="1" applyFill="1"/>
    <xf numFmtId="0" fontId="3" fillId="6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0" fillId="7" borderId="0" xfId="0" applyFill="1"/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/>
    <xf numFmtId="0" fontId="9" fillId="8" borderId="0" xfId="0" applyFont="1" applyFill="1"/>
    <xf numFmtId="0" fontId="11" fillId="8" borderId="0" xfId="0" applyFont="1" applyFill="1"/>
    <xf numFmtId="0" fontId="3" fillId="8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" fontId="6" fillId="0" borderId="1" xfId="0" applyNumberFormat="1" applyFont="1" applyBorder="1"/>
    <xf numFmtId="164" fontId="6" fillId="0" borderId="1" xfId="0" applyNumberFormat="1" applyFont="1" applyBorder="1"/>
    <xf numFmtId="4" fontId="6" fillId="7" borderId="1" xfId="0" applyNumberFormat="1" applyFont="1" applyFill="1" applyBorder="1"/>
    <xf numFmtId="164" fontId="6" fillId="7" borderId="1" xfId="0" applyNumberFormat="1" applyFont="1" applyFill="1" applyBorder="1"/>
    <xf numFmtId="0" fontId="4" fillId="9" borderId="0" xfId="0" applyFont="1" applyFill="1"/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/>
    <xf numFmtId="4" fontId="4" fillId="9" borderId="1" xfId="0" applyNumberFormat="1" applyFont="1" applyFill="1" applyBorder="1"/>
    <xf numFmtId="164" fontId="4" fillId="9" borderId="1" xfId="0" applyNumberFormat="1" applyFont="1" applyFill="1" applyBorder="1"/>
    <xf numFmtId="0" fontId="9" fillId="10" borderId="0" xfId="0" applyFont="1" applyFill="1"/>
    <xf numFmtId="0" fontId="12" fillId="10" borderId="0" xfId="0" applyFont="1" applyFill="1"/>
    <xf numFmtId="0" fontId="3" fillId="10" borderId="0" xfId="0" applyFont="1" applyFill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9" fillId="2" borderId="0" xfId="0" applyFont="1" applyFill="1"/>
    <xf numFmtId="0" fontId="10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8"/>
  <sheetViews>
    <sheetView workbookViewId="0"/>
  </sheetViews>
  <sheetFormatPr defaultRowHeight="15" outlineLevelRow="0" outlineLevelCol="0" x14ac:dyDescent="55"/>
  <cols>
    <col min="1" max="8" width="50" customWidth="1"/>
  </cols>
  <sheetData>
    <row r="2" ht="36" customHeight="1" spans="1:8" s="1" customFormat="1" x14ac:dyDescent="0.25">
      <c r="A2" s="1" t="s">
        <v>0</v>
      </c>
      <c r="B2" s="1"/>
      <c r="C2" s="1"/>
      <c r="D2" s="1"/>
      <c r="E2" s="1"/>
      <c r="F2" s="1"/>
      <c r="G2" s="1"/>
      <c r="H2" s="1"/>
    </row>
    <row r="3" ht="20" customHeight="1" spans="1:8" s="2" customFormat="1" x14ac:dyDescent="0.25">
      <c r="A3" s="2" t="s">
        <v>1</v>
      </c>
      <c r="B3" s="2"/>
      <c r="C3" s="2"/>
      <c r="D3" s="2"/>
      <c r="E3" s="2"/>
      <c r="F3" s="2"/>
      <c r="G3" s="2"/>
      <c r="H3" s="2"/>
    </row>
    <row r="5" ht="28" customHeight="1" spans="1:8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3"/>
      <c r="F5" s="3"/>
      <c r="G5" s="3"/>
      <c r="H5" s="3"/>
    </row>
    <row r="6" ht="24" customHeight="1" spans="1:8" s="5" customFormat="1" x14ac:dyDescent="0.25">
      <c r="A6" s="6" t="s">
        <v>6</v>
      </c>
      <c r="B6" s="7">
        <v>834</v>
      </c>
      <c r="C6" s="8" t="s">
        <v>7</v>
      </c>
      <c r="D6" s="9" t="s">
        <v>8</v>
      </c>
      <c r="E6" s="5"/>
      <c r="F6" s="5"/>
      <c r="G6" s="5"/>
      <c r="H6" s="5"/>
    </row>
    <row r="7" ht="24" customHeight="1" spans="1:8" s="10" customFormat="1" x14ac:dyDescent="0.25">
      <c r="A7" s="11" t="s">
        <v>9</v>
      </c>
      <c r="B7" s="12">
        <v>1217</v>
      </c>
      <c r="C7" s="13" t="s">
        <v>10</v>
      </c>
      <c r="D7" s="14" t="s">
        <v>11</v>
      </c>
      <c r="E7" s="10"/>
      <c r="F7" s="10"/>
      <c r="G7" s="10"/>
      <c r="H7" s="10"/>
    </row>
    <row r="8" ht="24" customHeight="1" spans="1:8" s="5" customFormat="1" x14ac:dyDescent="0.25">
      <c r="A8" s="6" t="s">
        <v>12</v>
      </c>
      <c r="B8" s="7">
        <v>81</v>
      </c>
      <c r="C8" s="8" t="s">
        <v>13</v>
      </c>
      <c r="D8" s="9" t="s">
        <v>14</v>
      </c>
      <c r="E8" s="5"/>
      <c r="F8" s="5"/>
      <c r="G8" s="5"/>
      <c r="H8" s="5"/>
    </row>
    <row r="9" ht="24" customHeight="1" spans="1:8" s="10" customFormat="1" x14ac:dyDescent="0.25">
      <c r="A9" s="11" t="s">
        <v>15</v>
      </c>
      <c r="B9" s="12">
        <v>13</v>
      </c>
      <c r="C9" s="13" t="s">
        <v>16</v>
      </c>
      <c r="D9" s="14" t="s">
        <v>17</v>
      </c>
      <c r="E9" s="10"/>
      <c r="F9" s="10"/>
      <c r="G9" s="10"/>
      <c r="H9" s="10"/>
    </row>
    <row r="10" ht="24" customHeight="1" spans="1:8" s="5" customFormat="1" x14ac:dyDescent="0.25">
      <c r="A10" s="6" t="s">
        <v>18</v>
      </c>
      <c r="B10" s="7">
        <v>56</v>
      </c>
      <c r="C10" s="8" t="s">
        <v>19</v>
      </c>
      <c r="D10" s="9" t="s">
        <v>20</v>
      </c>
      <c r="E10" s="5"/>
      <c r="F10" s="5"/>
      <c r="G10" s="5"/>
      <c r="H10" s="5"/>
    </row>
    <row r="11" ht="24" customHeight="1" spans="1:8" s="10" customFormat="1" x14ac:dyDescent="0.25">
      <c r="A11" s="11" t="s">
        <v>21</v>
      </c>
      <c r="B11" s="12">
        <v>1026</v>
      </c>
      <c r="C11" s="13" t="s">
        <v>22</v>
      </c>
      <c r="D11" s="14" t="s">
        <v>23</v>
      </c>
      <c r="E11" s="10"/>
      <c r="F11" s="10"/>
      <c r="G11" s="10"/>
      <c r="H11" s="10"/>
    </row>
    <row r="13" spans="1:8" s="15" customFormat="1" x14ac:dyDescent="0.25">
      <c r="A13" s="15" t="s">
        <v>24</v>
      </c>
      <c r="B13" s="15"/>
      <c r="C13" s="15"/>
      <c r="D13" s="15"/>
      <c r="E13" s="15"/>
      <c r="F13" s="15"/>
      <c r="G13" s="15"/>
      <c r="H13" s="15"/>
    </row>
    <row r="14" ht="20" customHeight="1" spans="1:8" s="16" customFormat="1" x14ac:dyDescent="0.25">
      <c r="A14" s="16" t="s">
        <v>25</v>
      </c>
      <c r="B14" s="16"/>
      <c r="C14" s="16"/>
      <c r="D14" s="16"/>
      <c r="E14" s="16"/>
      <c r="F14" s="16"/>
      <c r="G14" s="16"/>
      <c r="H14" s="16"/>
    </row>
    <row r="15" ht="20" customHeight="1" spans="1:8" s="16" customFormat="1" x14ac:dyDescent="0.25">
      <c r="A15" s="16" t="s">
        <v>26</v>
      </c>
      <c r="B15" s="16"/>
      <c r="C15" s="16"/>
      <c r="D15" s="16"/>
      <c r="E15" s="16"/>
      <c r="F15" s="16"/>
      <c r="G15" s="16"/>
      <c r="H15" s="16"/>
    </row>
    <row r="16" ht="20" customHeight="1" spans="1:8" s="16" customFormat="1" x14ac:dyDescent="0.25">
      <c r="A16" s="16" t="s">
        <v>27</v>
      </c>
      <c r="B16" s="16"/>
      <c r="C16" s="16"/>
      <c r="D16" s="16"/>
      <c r="E16" s="16"/>
      <c r="F16" s="16"/>
      <c r="G16" s="16"/>
      <c r="H16" s="16"/>
    </row>
    <row r="17" ht="20" customHeight="1" spans="1:8" s="16" customFormat="1" x14ac:dyDescent="0.25">
      <c r="A17" s="16" t="s">
        <v>28</v>
      </c>
      <c r="B17" s="16"/>
      <c r="C17" s="16"/>
      <c r="D17" s="16"/>
      <c r="E17" s="16"/>
      <c r="F17" s="16"/>
      <c r="G17" s="16"/>
      <c r="H17" s="16"/>
    </row>
    <row r="18" ht="20" customHeight="1" spans="1:8" s="16" customFormat="1" x14ac:dyDescent="0.25">
      <c r="A18" s="16" t="s">
        <v>29</v>
      </c>
      <c r="B18" s="16"/>
      <c r="C18" s="16"/>
      <c r="D18" s="16"/>
      <c r="E18" s="16"/>
      <c r="F18" s="16"/>
      <c r="G18" s="16"/>
      <c r="H18" s="16"/>
    </row>
  </sheetData>
  <mergeCells count="8">
    <mergeCell ref="A2:H2"/>
    <mergeCell ref="A3:H3"/>
    <mergeCell ref="A13:D13"/>
    <mergeCell ref="A14:D14"/>
    <mergeCell ref="A15:D15"/>
    <mergeCell ref="A16:D16"/>
    <mergeCell ref="A17:D17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7"/>
  <sheetViews>
    <sheetView workbookViewId="0"/>
  </sheetViews>
  <sheetFormatPr defaultRowHeight="15" outlineLevelRow="0" outlineLevelCol="0" x14ac:dyDescent="55"/>
  <cols>
    <col min="1" max="16" width="50" customWidth="1"/>
  </cols>
  <sheetData>
    <row r="1" ht="30" customHeight="1" spans="1:16" s="17" customFormat="1" x14ac:dyDescent="0.25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ht="18" customHeight="1" spans="1:16" s="18" customFormat="1" x14ac:dyDescent="0.25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ht="28" customHeight="1" spans="1:16" s="19" customFormat="1" x14ac:dyDescent="0.25">
      <c r="A3" s="20" t="s">
        <v>32</v>
      </c>
      <c r="B3" s="20" t="s">
        <v>33</v>
      </c>
      <c r="C3" s="20" t="s">
        <v>34</v>
      </c>
      <c r="D3" s="20" t="s">
        <v>35</v>
      </c>
      <c r="E3" s="20" t="s">
        <v>36</v>
      </c>
      <c r="F3" s="20" t="s">
        <v>37</v>
      </c>
      <c r="G3" s="20" t="s">
        <v>38</v>
      </c>
      <c r="H3" s="20" t="s">
        <v>39</v>
      </c>
      <c r="I3" s="20" t="s">
        <v>40</v>
      </c>
      <c r="J3" s="20" t="s">
        <v>41</v>
      </c>
      <c r="K3" s="20" t="s">
        <v>42</v>
      </c>
      <c r="L3" s="20" t="s">
        <v>43</v>
      </c>
      <c r="M3" s="20" t="s">
        <v>44</v>
      </c>
      <c r="N3" s="20" t="s">
        <v>45</v>
      </c>
      <c r="O3" s="20" t="s">
        <v>46</v>
      </c>
      <c r="P3" s="20" t="s">
        <v>47</v>
      </c>
    </row>
    <row r="4" ht="20" customHeight="1" spans="1:16" x14ac:dyDescent="0.25">
      <c r="A4" s="21" t="s">
        <v>48</v>
      </c>
      <c r="B4" s="21" t="s">
        <v>49</v>
      </c>
      <c r="C4" s="21" t="s">
        <v>50</v>
      </c>
      <c r="D4" s="21" t="s">
        <v>51</v>
      </c>
      <c r="E4" s="21" t="s">
        <v>52</v>
      </c>
      <c r="F4" s="22" t="s">
        <v>53</v>
      </c>
      <c r="G4" s="21" t="s">
        <v>54</v>
      </c>
      <c r="H4" s="21" t="s">
        <v>55</v>
      </c>
      <c r="I4" s="22" t="s">
        <v>56</v>
      </c>
      <c r="J4" s="22" t="s">
        <v>57</v>
      </c>
      <c r="K4" s="22" t="s">
        <v>58</v>
      </c>
      <c r="L4" s="22" t="s">
        <v>59</v>
      </c>
      <c r="M4" s="22" t="s">
        <v>60</v>
      </c>
      <c r="N4" s="22" t="s">
        <v>61</v>
      </c>
      <c r="O4" s="22" t="s">
        <v>62</v>
      </c>
      <c r="P4" s="22" t="s">
        <v>63</v>
      </c>
    </row>
    <row r="5" ht="20" customHeight="1" spans="1:16" s="23" customFormat="1" x14ac:dyDescent="0.25">
      <c r="A5" s="24" t="s">
        <v>64</v>
      </c>
      <c r="B5" s="24" t="s">
        <v>65</v>
      </c>
      <c r="C5" s="24" t="s">
        <v>66</v>
      </c>
      <c r="D5" s="24" t="s">
        <v>63</v>
      </c>
      <c r="E5" s="24" t="s">
        <v>67</v>
      </c>
      <c r="F5" s="25" t="s">
        <v>68</v>
      </c>
      <c r="G5" s="24" t="s">
        <v>69</v>
      </c>
      <c r="H5" s="24" t="s">
        <v>70</v>
      </c>
      <c r="I5" s="25" t="s">
        <v>71</v>
      </c>
      <c r="J5" s="25" t="s">
        <v>57</v>
      </c>
      <c r="K5" s="25" t="s">
        <v>72</v>
      </c>
      <c r="L5" s="25" t="s">
        <v>73</v>
      </c>
      <c r="M5" s="25" t="s">
        <v>63</v>
      </c>
      <c r="N5" s="25" t="s">
        <v>63</v>
      </c>
      <c r="O5" s="25" t="s">
        <v>63</v>
      </c>
      <c r="P5" s="25" t="s">
        <v>63</v>
      </c>
    </row>
    <row r="6" ht="20" customHeight="1" spans="1:16" x14ac:dyDescent="0.25">
      <c r="A6" s="21" t="s">
        <v>74</v>
      </c>
      <c r="B6" s="21" t="s">
        <v>65</v>
      </c>
      <c r="C6" s="21" t="s">
        <v>75</v>
      </c>
      <c r="D6" s="21" t="s">
        <v>51</v>
      </c>
      <c r="E6" s="21" t="s">
        <v>52</v>
      </c>
      <c r="F6" s="22" t="s">
        <v>53</v>
      </c>
      <c r="G6" s="21" t="s">
        <v>54</v>
      </c>
      <c r="H6" s="21" t="s">
        <v>55</v>
      </c>
      <c r="I6" s="22" t="s">
        <v>71</v>
      </c>
      <c r="J6" s="22" t="s">
        <v>57</v>
      </c>
      <c r="K6" s="22" t="s">
        <v>76</v>
      </c>
      <c r="L6" s="22" t="s">
        <v>73</v>
      </c>
      <c r="M6" s="22" t="s">
        <v>63</v>
      </c>
      <c r="N6" s="22" t="s">
        <v>63</v>
      </c>
      <c r="O6" s="22" t="s">
        <v>63</v>
      </c>
      <c r="P6" s="22" t="s">
        <v>63</v>
      </c>
    </row>
    <row r="7" ht="20" customHeight="1" spans="1:16" s="23" customFormat="1" x14ac:dyDescent="0.25">
      <c r="A7" s="24" t="s">
        <v>77</v>
      </c>
      <c r="B7" s="24" t="s">
        <v>65</v>
      </c>
      <c r="C7" s="24" t="s">
        <v>78</v>
      </c>
      <c r="D7" s="24" t="s">
        <v>63</v>
      </c>
      <c r="E7" s="24" t="s">
        <v>79</v>
      </c>
      <c r="F7" s="25" t="s">
        <v>53</v>
      </c>
      <c r="G7" s="24" t="s">
        <v>54</v>
      </c>
      <c r="H7" s="24" t="s">
        <v>55</v>
      </c>
      <c r="I7" s="25" t="s">
        <v>80</v>
      </c>
      <c r="J7" s="25" t="s">
        <v>57</v>
      </c>
      <c r="K7" s="25" t="s">
        <v>81</v>
      </c>
      <c r="L7" s="25" t="s">
        <v>82</v>
      </c>
      <c r="M7" s="25" t="s">
        <v>63</v>
      </c>
      <c r="N7" s="25" t="s">
        <v>63</v>
      </c>
      <c r="O7" s="25" t="s">
        <v>63</v>
      </c>
      <c r="P7" s="25" t="s">
        <v>63</v>
      </c>
    </row>
    <row r="8" ht="20" customHeight="1" spans="1:16" x14ac:dyDescent="0.25">
      <c r="A8" s="21" t="s">
        <v>83</v>
      </c>
      <c r="B8" s="21" t="s">
        <v>65</v>
      </c>
      <c r="C8" s="21" t="s">
        <v>50</v>
      </c>
      <c r="D8" s="21" t="s">
        <v>63</v>
      </c>
      <c r="E8" s="21" t="s">
        <v>84</v>
      </c>
      <c r="F8" s="22" t="s">
        <v>85</v>
      </c>
      <c r="G8" s="21" t="s">
        <v>86</v>
      </c>
      <c r="H8" s="21" t="s">
        <v>87</v>
      </c>
      <c r="I8" s="22" t="s">
        <v>88</v>
      </c>
      <c r="J8" s="22" t="s">
        <v>57</v>
      </c>
      <c r="K8" s="22" t="s">
        <v>89</v>
      </c>
      <c r="L8" s="22" t="s">
        <v>73</v>
      </c>
      <c r="M8" s="22" t="s">
        <v>60</v>
      </c>
      <c r="N8" s="22" t="s">
        <v>61</v>
      </c>
      <c r="O8" s="22" t="s">
        <v>90</v>
      </c>
      <c r="P8" s="22" t="s">
        <v>63</v>
      </c>
    </row>
    <row r="9" ht="20" customHeight="1" spans="1:16" s="23" customFormat="1" x14ac:dyDescent="0.25">
      <c r="A9" s="24" t="s">
        <v>91</v>
      </c>
      <c r="B9" s="24" t="s">
        <v>92</v>
      </c>
      <c r="C9" s="24" t="s">
        <v>93</v>
      </c>
      <c r="D9" s="24" t="s">
        <v>94</v>
      </c>
      <c r="E9" s="24" t="s">
        <v>95</v>
      </c>
      <c r="F9" s="25" t="s">
        <v>53</v>
      </c>
      <c r="G9" s="24" t="s">
        <v>54</v>
      </c>
      <c r="H9" s="24" t="s">
        <v>55</v>
      </c>
      <c r="I9" s="25" t="s">
        <v>71</v>
      </c>
      <c r="J9" s="25" t="s">
        <v>57</v>
      </c>
      <c r="K9" s="25" t="s">
        <v>96</v>
      </c>
      <c r="L9" s="25" t="s">
        <v>73</v>
      </c>
      <c r="M9" s="25" t="s">
        <v>63</v>
      </c>
      <c r="N9" s="25" t="s">
        <v>63</v>
      </c>
      <c r="O9" s="25" t="s">
        <v>63</v>
      </c>
      <c r="P9" s="25" t="s">
        <v>63</v>
      </c>
    </row>
    <row r="10" ht="20" customHeight="1" spans="1:16" x14ac:dyDescent="0.25">
      <c r="A10" s="21" t="s">
        <v>97</v>
      </c>
      <c r="B10" s="21" t="s">
        <v>92</v>
      </c>
      <c r="C10" s="21" t="s">
        <v>98</v>
      </c>
      <c r="D10" s="21" t="s">
        <v>63</v>
      </c>
      <c r="E10" s="21" t="s">
        <v>99</v>
      </c>
      <c r="F10" s="22" t="s">
        <v>85</v>
      </c>
      <c r="G10" s="21" t="s">
        <v>86</v>
      </c>
      <c r="H10" s="21" t="s">
        <v>87</v>
      </c>
      <c r="I10" s="22" t="s">
        <v>100</v>
      </c>
      <c r="J10" s="22" t="s">
        <v>57</v>
      </c>
      <c r="K10" s="22" t="s">
        <v>101</v>
      </c>
      <c r="L10" s="22" t="s">
        <v>73</v>
      </c>
      <c r="M10" s="22" t="s">
        <v>63</v>
      </c>
      <c r="N10" s="22" t="s">
        <v>63</v>
      </c>
      <c r="O10" s="22" t="s">
        <v>63</v>
      </c>
      <c r="P10" s="22" t="s">
        <v>63</v>
      </c>
    </row>
    <row r="11" ht="20" customHeight="1" spans="1:16" s="23" customFormat="1" x14ac:dyDescent="0.25">
      <c r="A11" s="24" t="s">
        <v>102</v>
      </c>
      <c r="B11" s="24" t="s">
        <v>92</v>
      </c>
      <c r="C11" s="24" t="s">
        <v>103</v>
      </c>
      <c r="D11" s="24" t="s">
        <v>63</v>
      </c>
      <c r="E11" s="24" t="s">
        <v>104</v>
      </c>
      <c r="F11" s="25" t="s">
        <v>53</v>
      </c>
      <c r="G11" s="24" t="s">
        <v>105</v>
      </c>
      <c r="H11" s="24" t="s">
        <v>55</v>
      </c>
      <c r="I11" s="25" t="s">
        <v>80</v>
      </c>
      <c r="J11" s="25" t="s">
        <v>57</v>
      </c>
      <c r="K11" s="25" t="s">
        <v>72</v>
      </c>
      <c r="L11" s="25" t="s">
        <v>106</v>
      </c>
      <c r="M11" s="25" t="s">
        <v>63</v>
      </c>
      <c r="N11" s="25" t="s">
        <v>63</v>
      </c>
      <c r="O11" s="25" t="s">
        <v>63</v>
      </c>
      <c r="P11" s="25" t="s">
        <v>63</v>
      </c>
    </row>
    <row r="12" ht="20" customHeight="1" spans="1:16" x14ac:dyDescent="0.25">
      <c r="A12" s="21" t="s">
        <v>107</v>
      </c>
      <c r="B12" s="21" t="s">
        <v>92</v>
      </c>
      <c r="C12" s="21" t="s">
        <v>108</v>
      </c>
      <c r="D12" s="21" t="s">
        <v>63</v>
      </c>
      <c r="E12" s="21" t="s">
        <v>109</v>
      </c>
      <c r="F12" s="22" t="s">
        <v>53</v>
      </c>
      <c r="G12" s="21" t="s">
        <v>105</v>
      </c>
      <c r="H12" s="21" t="s">
        <v>55</v>
      </c>
      <c r="I12" s="22" t="s">
        <v>88</v>
      </c>
      <c r="J12" s="22" t="s">
        <v>57</v>
      </c>
      <c r="K12" s="22" t="s">
        <v>72</v>
      </c>
      <c r="L12" s="22" t="s">
        <v>73</v>
      </c>
      <c r="M12" s="22" t="s">
        <v>63</v>
      </c>
      <c r="N12" s="22" t="s">
        <v>63</v>
      </c>
      <c r="O12" s="22" t="s">
        <v>63</v>
      </c>
      <c r="P12" s="22" t="s">
        <v>63</v>
      </c>
    </row>
    <row r="13" ht="20" customHeight="1" spans="1:16" s="23" customFormat="1" x14ac:dyDescent="0.25">
      <c r="A13" s="24" t="s">
        <v>110</v>
      </c>
      <c r="B13" s="24" t="s">
        <v>92</v>
      </c>
      <c r="C13" s="24" t="s">
        <v>111</v>
      </c>
      <c r="D13" s="24" t="s">
        <v>63</v>
      </c>
      <c r="E13" s="24" t="s">
        <v>112</v>
      </c>
      <c r="F13" s="25" t="s">
        <v>53</v>
      </c>
      <c r="G13" s="24" t="s">
        <v>105</v>
      </c>
      <c r="H13" s="24" t="s">
        <v>55</v>
      </c>
      <c r="I13" s="25" t="s">
        <v>113</v>
      </c>
      <c r="J13" s="25" t="s">
        <v>57</v>
      </c>
      <c r="K13" s="25" t="s">
        <v>114</v>
      </c>
      <c r="L13" s="25" t="s">
        <v>73</v>
      </c>
      <c r="M13" s="25" t="s">
        <v>63</v>
      </c>
      <c r="N13" s="25" t="s">
        <v>63</v>
      </c>
      <c r="O13" s="25" t="s">
        <v>63</v>
      </c>
      <c r="P13" s="25" t="s">
        <v>63</v>
      </c>
    </row>
    <row r="14" ht="20" customHeight="1" spans="1:16" x14ac:dyDescent="0.25">
      <c r="A14" s="21" t="s">
        <v>115</v>
      </c>
      <c r="B14" s="21" t="s">
        <v>116</v>
      </c>
      <c r="C14" s="21" t="s">
        <v>117</v>
      </c>
      <c r="D14" s="21" t="s">
        <v>51</v>
      </c>
      <c r="E14" s="21" t="s">
        <v>52</v>
      </c>
      <c r="F14" s="22" t="s">
        <v>68</v>
      </c>
      <c r="G14" s="21" t="s">
        <v>69</v>
      </c>
      <c r="H14" s="21" t="s">
        <v>70</v>
      </c>
      <c r="I14" s="22" t="s">
        <v>118</v>
      </c>
      <c r="J14" s="22" t="s">
        <v>57</v>
      </c>
      <c r="K14" s="22" t="s">
        <v>119</v>
      </c>
      <c r="L14" s="22" t="s">
        <v>73</v>
      </c>
      <c r="M14" s="22" t="s">
        <v>63</v>
      </c>
      <c r="N14" s="22" t="s">
        <v>63</v>
      </c>
      <c r="O14" s="22" t="s">
        <v>63</v>
      </c>
      <c r="P14" s="22" t="s">
        <v>63</v>
      </c>
    </row>
    <row r="15" ht="20" customHeight="1" spans="1:16" s="23" customFormat="1" x14ac:dyDescent="0.25">
      <c r="A15" s="24" t="s">
        <v>120</v>
      </c>
      <c r="B15" s="24" t="s">
        <v>116</v>
      </c>
      <c r="C15" s="24" t="s">
        <v>117</v>
      </c>
      <c r="D15" s="24" t="s">
        <v>51</v>
      </c>
      <c r="E15" s="24" t="s">
        <v>121</v>
      </c>
      <c r="F15" s="25" t="s">
        <v>68</v>
      </c>
      <c r="G15" s="24" t="s">
        <v>69</v>
      </c>
      <c r="H15" s="24" t="s">
        <v>70</v>
      </c>
      <c r="I15" s="25" t="s">
        <v>122</v>
      </c>
      <c r="J15" s="25" t="s">
        <v>57</v>
      </c>
      <c r="K15" s="25" t="s">
        <v>123</v>
      </c>
      <c r="L15" s="25" t="s">
        <v>124</v>
      </c>
      <c r="M15" s="25" t="s">
        <v>63</v>
      </c>
      <c r="N15" s="25" t="s">
        <v>63</v>
      </c>
      <c r="O15" s="25" t="s">
        <v>63</v>
      </c>
      <c r="P15" s="25" t="s">
        <v>63</v>
      </c>
    </row>
    <row r="16" ht="20" customHeight="1" spans="1:16" x14ac:dyDescent="0.25">
      <c r="A16" s="21" t="s">
        <v>125</v>
      </c>
      <c r="B16" s="21" t="s">
        <v>116</v>
      </c>
      <c r="C16" s="21" t="s">
        <v>117</v>
      </c>
      <c r="D16" s="21" t="s">
        <v>51</v>
      </c>
      <c r="E16" s="21" t="s">
        <v>126</v>
      </c>
      <c r="F16" s="22" t="s">
        <v>53</v>
      </c>
      <c r="G16" s="21" t="s">
        <v>54</v>
      </c>
      <c r="H16" s="21" t="s">
        <v>55</v>
      </c>
      <c r="I16" s="22" t="s">
        <v>127</v>
      </c>
      <c r="J16" s="22" t="s">
        <v>57</v>
      </c>
      <c r="K16" s="22" t="s">
        <v>128</v>
      </c>
      <c r="L16" s="22" t="s">
        <v>73</v>
      </c>
      <c r="M16" s="22" t="s">
        <v>63</v>
      </c>
      <c r="N16" s="22" t="s">
        <v>63</v>
      </c>
      <c r="O16" s="22" t="s">
        <v>63</v>
      </c>
      <c r="P16" s="22" t="s">
        <v>63</v>
      </c>
    </row>
    <row r="17" ht="20" customHeight="1" spans="1:16" s="23" customFormat="1" x14ac:dyDescent="0.25">
      <c r="A17" s="24" t="s">
        <v>129</v>
      </c>
      <c r="B17" s="24" t="s">
        <v>130</v>
      </c>
      <c r="C17" s="24" t="s">
        <v>117</v>
      </c>
      <c r="D17" s="24" t="s">
        <v>51</v>
      </c>
      <c r="E17" s="24" t="s">
        <v>126</v>
      </c>
      <c r="F17" s="25" t="s">
        <v>53</v>
      </c>
      <c r="G17" s="24" t="s">
        <v>131</v>
      </c>
      <c r="H17" s="24" t="s">
        <v>55</v>
      </c>
      <c r="I17" s="25" t="s">
        <v>132</v>
      </c>
      <c r="J17" s="25" t="s">
        <v>57</v>
      </c>
      <c r="K17" s="25" t="s">
        <v>133</v>
      </c>
      <c r="L17" s="25" t="s">
        <v>73</v>
      </c>
      <c r="M17" s="25" t="s">
        <v>63</v>
      </c>
      <c r="N17" s="25" t="s">
        <v>63</v>
      </c>
      <c r="O17" s="25" t="s">
        <v>63</v>
      </c>
      <c r="P17" s="25" t="s">
        <v>63</v>
      </c>
    </row>
    <row r="18" ht="20" customHeight="1" spans="1:16" x14ac:dyDescent="0.25">
      <c r="A18" s="21" t="s">
        <v>134</v>
      </c>
      <c r="B18" s="21" t="s">
        <v>94</v>
      </c>
      <c r="C18" s="21" t="s">
        <v>135</v>
      </c>
      <c r="D18" s="21" t="s">
        <v>63</v>
      </c>
      <c r="E18" s="21" t="s">
        <v>136</v>
      </c>
      <c r="F18" s="22" t="s">
        <v>137</v>
      </c>
      <c r="G18" s="21" t="s">
        <v>138</v>
      </c>
      <c r="H18" s="21" t="s">
        <v>139</v>
      </c>
      <c r="I18" s="22" t="s">
        <v>140</v>
      </c>
      <c r="J18" s="22" t="s">
        <v>57</v>
      </c>
      <c r="K18" s="22" t="s">
        <v>81</v>
      </c>
      <c r="L18" s="22" t="s">
        <v>73</v>
      </c>
      <c r="M18" s="22" t="s">
        <v>63</v>
      </c>
      <c r="N18" s="22" t="s">
        <v>63</v>
      </c>
      <c r="O18" s="22" t="s">
        <v>63</v>
      </c>
      <c r="P18" s="22" t="s">
        <v>63</v>
      </c>
    </row>
    <row r="19" ht="20" customHeight="1" spans="1:16" s="23" customFormat="1" x14ac:dyDescent="0.25">
      <c r="A19" s="24" t="s">
        <v>141</v>
      </c>
      <c r="B19" s="24" t="s">
        <v>94</v>
      </c>
      <c r="C19" s="24" t="s">
        <v>142</v>
      </c>
      <c r="D19" s="24" t="s">
        <v>94</v>
      </c>
      <c r="E19" s="24" t="s">
        <v>143</v>
      </c>
      <c r="F19" s="25" t="s">
        <v>53</v>
      </c>
      <c r="G19" s="24" t="s">
        <v>105</v>
      </c>
      <c r="H19" s="24" t="s">
        <v>55</v>
      </c>
      <c r="I19" s="25" t="s">
        <v>80</v>
      </c>
      <c r="J19" s="25" t="s">
        <v>57</v>
      </c>
      <c r="K19" s="25" t="s">
        <v>81</v>
      </c>
      <c r="L19" s="25" t="s">
        <v>73</v>
      </c>
      <c r="M19" s="25" t="s">
        <v>63</v>
      </c>
      <c r="N19" s="25" t="s">
        <v>63</v>
      </c>
      <c r="O19" s="25" t="s">
        <v>63</v>
      </c>
      <c r="P19" s="25" t="s">
        <v>63</v>
      </c>
    </row>
    <row r="20" ht="20" customHeight="1" spans="1:16" x14ac:dyDescent="0.25">
      <c r="A20" s="21" t="s">
        <v>144</v>
      </c>
      <c r="B20" s="21" t="s">
        <v>94</v>
      </c>
      <c r="C20" s="21" t="s">
        <v>145</v>
      </c>
      <c r="D20" s="21" t="s">
        <v>94</v>
      </c>
      <c r="E20" s="21" t="s">
        <v>146</v>
      </c>
      <c r="F20" s="22" t="s">
        <v>68</v>
      </c>
      <c r="G20" s="21" t="s">
        <v>69</v>
      </c>
      <c r="H20" s="21" t="s">
        <v>70</v>
      </c>
      <c r="I20" s="22" t="s">
        <v>140</v>
      </c>
      <c r="J20" s="22" t="s">
        <v>57</v>
      </c>
      <c r="K20" s="22" t="s">
        <v>147</v>
      </c>
      <c r="L20" s="22" t="s">
        <v>73</v>
      </c>
      <c r="M20" s="22" t="s">
        <v>63</v>
      </c>
      <c r="N20" s="22" t="s">
        <v>63</v>
      </c>
      <c r="O20" s="22" t="s">
        <v>63</v>
      </c>
      <c r="P20" s="22" t="s">
        <v>63</v>
      </c>
    </row>
    <row r="21" ht="20" customHeight="1" spans="1:16" s="23" customFormat="1" x14ac:dyDescent="0.25">
      <c r="A21" s="24" t="s">
        <v>148</v>
      </c>
      <c r="B21" s="24" t="s">
        <v>94</v>
      </c>
      <c r="C21" s="24" t="s">
        <v>149</v>
      </c>
      <c r="D21" s="24" t="s">
        <v>94</v>
      </c>
      <c r="E21" s="24" t="s">
        <v>150</v>
      </c>
      <c r="F21" s="25" t="s">
        <v>85</v>
      </c>
      <c r="G21" s="24" t="s">
        <v>86</v>
      </c>
      <c r="H21" s="24" t="s">
        <v>87</v>
      </c>
      <c r="I21" s="25" t="s">
        <v>80</v>
      </c>
      <c r="J21" s="25" t="s">
        <v>57</v>
      </c>
      <c r="K21" s="25" t="s">
        <v>151</v>
      </c>
      <c r="L21" s="25" t="s">
        <v>73</v>
      </c>
      <c r="M21" s="25" t="s">
        <v>63</v>
      </c>
      <c r="N21" s="25" t="s">
        <v>63</v>
      </c>
      <c r="O21" s="25" t="s">
        <v>63</v>
      </c>
      <c r="P21" s="25" t="s">
        <v>63</v>
      </c>
    </row>
    <row r="22" ht="20" customHeight="1" spans="1:16" x14ac:dyDescent="0.25">
      <c r="A22" s="21" t="s">
        <v>152</v>
      </c>
      <c r="B22" s="21" t="s">
        <v>94</v>
      </c>
      <c r="C22" s="21" t="s">
        <v>117</v>
      </c>
      <c r="D22" s="21" t="s">
        <v>51</v>
      </c>
      <c r="E22" s="21" t="s">
        <v>121</v>
      </c>
      <c r="F22" s="22" t="s">
        <v>53</v>
      </c>
      <c r="G22" s="21" t="s">
        <v>54</v>
      </c>
      <c r="H22" s="21" t="s">
        <v>55</v>
      </c>
      <c r="I22" s="22" t="s">
        <v>153</v>
      </c>
      <c r="J22" s="22" t="s">
        <v>57</v>
      </c>
      <c r="K22" s="22" t="s">
        <v>154</v>
      </c>
      <c r="L22" s="22" t="s">
        <v>155</v>
      </c>
      <c r="M22" s="22" t="s">
        <v>63</v>
      </c>
      <c r="N22" s="22" t="s">
        <v>63</v>
      </c>
      <c r="O22" s="22" t="s">
        <v>63</v>
      </c>
      <c r="P22" s="22" t="s">
        <v>156</v>
      </c>
    </row>
    <row r="23" ht="20" customHeight="1" spans="1:16" s="23" customFormat="1" x14ac:dyDescent="0.25">
      <c r="A23" s="24" t="s">
        <v>157</v>
      </c>
      <c r="B23" s="24" t="s">
        <v>51</v>
      </c>
      <c r="C23" s="24" t="s">
        <v>158</v>
      </c>
      <c r="D23" s="24" t="s">
        <v>63</v>
      </c>
      <c r="E23" s="24" t="s">
        <v>159</v>
      </c>
      <c r="F23" s="25" t="s">
        <v>53</v>
      </c>
      <c r="G23" s="24" t="s">
        <v>105</v>
      </c>
      <c r="H23" s="24" t="s">
        <v>55</v>
      </c>
      <c r="I23" s="25" t="s">
        <v>160</v>
      </c>
      <c r="J23" s="25" t="s">
        <v>57</v>
      </c>
      <c r="K23" s="25" t="s">
        <v>96</v>
      </c>
      <c r="L23" s="25" t="s">
        <v>161</v>
      </c>
      <c r="M23" s="25" t="s">
        <v>63</v>
      </c>
      <c r="N23" s="25" t="s">
        <v>63</v>
      </c>
      <c r="O23" s="25" t="s">
        <v>63</v>
      </c>
      <c r="P23" s="25" t="s">
        <v>63</v>
      </c>
    </row>
    <row r="24" ht="20" customHeight="1" spans="1:16" x14ac:dyDescent="0.25">
      <c r="A24" s="21" t="s">
        <v>157</v>
      </c>
      <c r="B24" s="21" t="s">
        <v>51</v>
      </c>
      <c r="C24" s="21" t="s">
        <v>117</v>
      </c>
      <c r="D24" s="21" t="s">
        <v>51</v>
      </c>
      <c r="E24" s="21" t="s">
        <v>121</v>
      </c>
      <c r="F24" s="22" t="s">
        <v>53</v>
      </c>
      <c r="G24" s="21" t="s">
        <v>105</v>
      </c>
      <c r="H24" s="21" t="s">
        <v>55</v>
      </c>
      <c r="I24" s="22" t="s">
        <v>160</v>
      </c>
      <c r="J24" s="22" t="s">
        <v>57</v>
      </c>
      <c r="K24" s="22" t="s">
        <v>162</v>
      </c>
      <c r="L24" s="22" t="s">
        <v>161</v>
      </c>
      <c r="M24" s="22" t="s">
        <v>63</v>
      </c>
      <c r="N24" s="22" t="s">
        <v>63</v>
      </c>
      <c r="O24" s="22" t="s">
        <v>63</v>
      </c>
      <c r="P24" s="22" t="s">
        <v>63</v>
      </c>
    </row>
    <row r="25" ht="20" customHeight="1" spans="1:16" s="23" customFormat="1" x14ac:dyDescent="0.25">
      <c r="A25" s="24" t="s">
        <v>163</v>
      </c>
      <c r="B25" s="24" t="s">
        <v>51</v>
      </c>
      <c r="C25" s="24" t="s">
        <v>164</v>
      </c>
      <c r="D25" s="24" t="s">
        <v>63</v>
      </c>
      <c r="E25" s="24" t="s">
        <v>165</v>
      </c>
      <c r="F25" s="25" t="s">
        <v>137</v>
      </c>
      <c r="G25" s="24" t="s">
        <v>166</v>
      </c>
      <c r="H25" s="24" t="s">
        <v>139</v>
      </c>
      <c r="I25" s="25" t="s">
        <v>71</v>
      </c>
      <c r="J25" s="25" t="s">
        <v>57</v>
      </c>
      <c r="K25" s="25" t="s">
        <v>167</v>
      </c>
      <c r="L25" s="25" t="s">
        <v>73</v>
      </c>
      <c r="M25" s="25" t="s">
        <v>63</v>
      </c>
      <c r="N25" s="25" t="s">
        <v>63</v>
      </c>
      <c r="O25" s="25" t="s">
        <v>63</v>
      </c>
      <c r="P25" s="25" t="s">
        <v>63</v>
      </c>
    </row>
    <row r="26" ht="20" customHeight="1" spans="1:16" x14ac:dyDescent="0.25">
      <c r="A26" s="21" t="s">
        <v>168</v>
      </c>
      <c r="B26" s="21" t="s">
        <v>51</v>
      </c>
      <c r="C26" s="21" t="s">
        <v>169</v>
      </c>
      <c r="D26" s="21" t="s">
        <v>51</v>
      </c>
      <c r="E26" s="21" t="s">
        <v>170</v>
      </c>
      <c r="F26" s="22" t="s">
        <v>53</v>
      </c>
      <c r="G26" s="21" t="s">
        <v>54</v>
      </c>
      <c r="H26" s="21" t="s">
        <v>55</v>
      </c>
      <c r="I26" s="22" t="s">
        <v>100</v>
      </c>
      <c r="J26" s="22" t="s">
        <v>57</v>
      </c>
      <c r="K26" s="22" t="s">
        <v>171</v>
      </c>
      <c r="L26" s="22" t="s">
        <v>172</v>
      </c>
      <c r="M26" s="22" t="s">
        <v>63</v>
      </c>
      <c r="N26" s="22" t="s">
        <v>63</v>
      </c>
      <c r="O26" s="22" t="s">
        <v>63</v>
      </c>
      <c r="P26" s="22" t="s">
        <v>173</v>
      </c>
    </row>
    <row r="27" ht="20" customHeight="1" spans="1:16" s="23" customFormat="1" x14ac:dyDescent="0.25">
      <c r="A27" s="24" t="s">
        <v>174</v>
      </c>
      <c r="B27" s="24" t="s">
        <v>51</v>
      </c>
      <c r="C27" s="24" t="s">
        <v>175</v>
      </c>
      <c r="D27" s="24" t="s">
        <v>51</v>
      </c>
      <c r="E27" s="24" t="s">
        <v>176</v>
      </c>
      <c r="F27" s="25" t="s">
        <v>68</v>
      </c>
      <c r="G27" s="24" t="s">
        <v>69</v>
      </c>
      <c r="H27" s="24" t="s">
        <v>70</v>
      </c>
      <c r="I27" s="25" t="s">
        <v>80</v>
      </c>
      <c r="J27" s="25" t="s">
        <v>57</v>
      </c>
      <c r="K27" s="25" t="s">
        <v>81</v>
      </c>
      <c r="L27" s="25" t="s">
        <v>177</v>
      </c>
      <c r="M27" s="25" t="s">
        <v>63</v>
      </c>
      <c r="N27" s="25" t="s">
        <v>63</v>
      </c>
      <c r="O27" s="25" t="s">
        <v>63</v>
      </c>
      <c r="P27" s="25" t="s">
        <v>63</v>
      </c>
    </row>
    <row r="28" ht="20" customHeight="1" spans="1:16" x14ac:dyDescent="0.25">
      <c r="A28" s="21" t="s">
        <v>178</v>
      </c>
      <c r="B28" s="21" t="s">
        <v>51</v>
      </c>
      <c r="C28" s="21" t="s">
        <v>179</v>
      </c>
      <c r="D28" s="21" t="s">
        <v>180</v>
      </c>
      <c r="E28" s="21" t="s">
        <v>179</v>
      </c>
      <c r="F28" s="22" t="s">
        <v>53</v>
      </c>
      <c r="G28" s="21" t="s">
        <v>105</v>
      </c>
      <c r="H28" s="21" t="s">
        <v>55</v>
      </c>
      <c r="I28" s="22" t="s">
        <v>181</v>
      </c>
      <c r="J28" s="22" t="s">
        <v>57</v>
      </c>
      <c r="K28" s="22" t="s">
        <v>182</v>
      </c>
      <c r="L28" s="22" t="s">
        <v>73</v>
      </c>
      <c r="M28" s="22" t="s">
        <v>63</v>
      </c>
      <c r="N28" s="22" t="s">
        <v>63</v>
      </c>
      <c r="O28" s="22" t="s">
        <v>63</v>
      </c>
      <c r="P28" s="22" t="s">
        <v>63</v>
      </c>
    </row>
    <row r="29" ht="20" customHeight="1" spans="1:16" s="23" customFormat="1" x14ac:dyDescent="0.25">
      <c r="A29" s="24" t="s">
        <v>183</v>
      </c>
      <c r="B29" s="24" t="s">
        <v>184</v>
      </c>
      <c r="C29" s="24" t="s">
        <v>185</v>
      </c>
      <c r="D29" s="24" t="s">
        <v>184</v>
      </c>
      <c r="E29" s="24" t="s">
        <v>185</v>
      </c>
      <c r="F29" s="25" t="s">
        <v>53</v>
      </c>
      <c r="G29" s="24" t="s">
        <v>131</v>
      </c>
      <c r="H29" s="24" t="s">
        <v>55</v>
      </c>
      <c r="I29" s="25" t="s">
        <v>186</v>
      </c>
      <c r="J29" s="25" t="s">
        <v>57</v>
      </c>
      <c r="K29" s="25" t="s">
        <v>187</v>
      </c>
      <c r="L29" s="25" t="s">
        <v>188</v>
      </c>
      <c r="M29" s="25" t="s">
        <v>63</v>
      </c>
      <c r="N29" s="25" t="s">
        <v>63</v>
      </c>
      <c r="O29" s="25" t="s">
        <v>63</v>
      </c>
      <c r="P29" s="25" t="s">
        <v>63</v>
      </c>
    </row>
    <row r="30" ht="20" customHeight="1" spans="1:16" x14ac:dyDescent="0.25">
      <c r="A30" s="21" t="s">
        <v>157</v>
      </c>
      <c r="B30" s="21" t="s">
        <v>51</v>
      </c>
      <c r="C30" s="21" t="s">
        <v>179</v>
      </c>
      <c r="D30" s="21" t="s">
        <v>180</v>
      </c>
      <c r="E30" s="21" t="s">
        <v>179</v>
      </c>
      <c r="F30" s="22" t="s">
        <v>53</v>
      </c>
      <c r="G30" s="21" t="s">
        <v>105</v>
      </c>
      <c r="H30" s="21" t="s">
        <v>55</v>
      </c>
      <c r="I30" s="22" t="s">
        <v>160</v>
      </c>
      <c r="J30" s="22" t="s">
        <v>57</v>
      </c>
      <c r="K30" s="22" t="s">
        <v>189</v>
      </c>
      <c r="L30" s="22" t="s">
        <v>190</v>
      </c>
      <c r="M30" s="22" t="s">
        <v>63</v>
      </c>
      <c r="N30" s="22" t="s">
        <v>63</v>
      </c>
      <c r="O30" s="22" t="s">
        <v>63</v>
      </c>
      <c r="P30" s="22" t="s">
        <v>63</v>
      </c>
    </row>
    <row r="31" ht="20" customHeight="1" spans="1:16" s="23" customFormat="1" x14ac:dyDescent="0.25">
      <c r="A31" s="24" t="s">
        <v>191</v>
      </c>
      <c r="B31" s="24" t="s">
        <v>184</v>
      </c>
      <c r="C31" s="24" t="s">
        <v>192</v>
      </c>
      <c r="D31" s="24" t="s">
        <v>184</v>
      </c>
      <c r="E31" s="24" t="s">
        <v>193</v>
      </c>
      <c r="F31" s="25" t="s">
        <v>53</v>
      </c>
      <c r="G31" s="24" t="s">
        <v>105</v>
      </c>
      <c r="H31" s="24" t="s">
        <v>55</v>
      </c>
      <c r="I31" s="25" t="s">
        <v>80</v>
      </c>
      <c r="J31" s="25" t="s">
        <v>57</v>
      </c>
      <c r="K31" s="25" t="s">
        <v>81</v>
      </c>
      <c r="L31" s="25" t="s">
        <v>73</v>
      </c>
      <c r="M31" s="25" t="s">
        <v>63</v>
      </c>
      <c r="N31" s="25" t="s">
        <v>63</v>
      </c>
      <c r="O31" s="25" t="s">
        <v>63</v>
      </c>
      <c r="P31" s="25" t="s">
        <v>63</v>
      </c>
    </row>
    <row r="32" ht="20" customHeight="1" spans="1:16" x14ac:dyDescent="0.25">
      <c r="A32" s="21" t="s">
        <v>194</v>
      </c>
      <c r="B32" s="21" t="s">
        <v>184</v>
      </c>
      <c r="C32" s="21" t="s">
        <v>179</v>
      </c>
      <c r="D32" s="21" t="s">
        <v>180</v>
      </c>
      <c r="E32" s="21" t="s">
        <v>179</v>
      </c>
      <c r="F32" s="22" t="s">
        <v>53</v>
      </c>
      <c r="G32" s="21" t="s">
        <v>105</v>
      </c>
      <c r="H32" s="21" t="s">
        <v>55</v>
      </c>
      <c r="I32" s="22" t="s">
        <v>153</v>
      </c>
      <c r="J32" s="22" t="s">
        <v>57</v>
      </c>
      <c r="K32" s="22" t="s">
        <v>195</v>
      </c>
      <c r="L32" s="22" t="s">
        <v>196</v>
      </c>
      <c r="M32" s="22" t="s">
        <v>63</v>
      </c>
      <c r="N32" s="22" t="s">
        <v>63</v>
      </c>
      <c r="O32" s="22" t="s">
        <v>63</v>
      </c>
      <c r="P32" s="22" t="s">
        <v>197</v>
      </c>
    </row>
    <row r="33" ht="20" customHeight="1" spans="1:16" s="23" customFormat="1" x14ac:dyDescent="0.25">
      <c r="A33" s="24" t="s">
        <v>198</v>
      </c>
      <c r="B33" s="24" t="s">
        <v>180</v>
      </c>
      <c r="C33" s="24" t="s">
        <v>199</v>
      </c>
      <c r="D33" s="24" t="s">
        <v>180</v>
      </c>
      <c r="E33" s="24" t="s">
        <v>200</v>
      </c>
      <c r="F33" s="25" t="s">
        <v>53</v>
      </c>
      <c r="G33" s="24" t="s">
        <v>54</v>
      </c>
      <c r="H33" s="24" t="s">
        <v>55</v>
      </c>
      <c r="I33" s="25" t="s">
        <v>201</v>
      </c>
      <c r="J33" s="25" t="s">
        <v>57</v>
      </c>
      <c r="K33" s="25" t="s">
        <v>202</v>
      </c>
      <c r="L33" s="25" t="s">
        <v>73</v>
      </c>
      <c r="M33" s="25" t="s">
        <v>63</v>
      </c>
      <c r="N33" s="25" t="s">
        <v>63</v>
      </c>
      <c r="O33" s="25" t="s">
        <v>63</v>
      </c>
      <c r="P33" s="25" t="s">
        <v>63</v>
      </c>
    </row>
    <row r="34" ht="20" customHeight="1" spans="1:16" x14ac:dyDescent="0.25">
      <c r="A34" s="21" t="s">
        <v>203</v>
      </c>
      <c r="B34" s="21" t="s">
        <v>180</v>
      </c>
      <c r="C34" s="21" t="s">
        <v>204</v>
      </c>
      <c r="D34" s="21" t="s">
        <v>180</v>
      </c>
      <c r="E34" s="21" t="s">
        <v>205</v>
      </c>
      <c r="F34" s="22" t="s">
        <v>137</v>
      </c>
      <c r="G34" s="21" t="s">
        <v>166</v>
      </c>
      <c r="H34" s="21" t="s">
        <v>139</v>
      </c>
      <c r="I34" s="22" t="s">
        <v>71</v>
      </c>
      <c r="J34" s="22" t="s">
        <v>57</v>
      </c>
      <c r="K34" s="22" t="s">
        <v>206</v>
      </c>
      <c r="L34" s="22" t="s">
        <v>73</v>
      </c>
      <c r="M34" s="22" t="s">
        <v>63</v>
      </c>
      <c r="N34" s="22" t="s">
        <v>63</v>
      </c>
      <c r="O34" s="22" t="s">
        <v>63</v>
      </c>
      <c r="P34" s="22" t="s">
        <v>63</v>
      </c>
    </row>
    <row r="35" ht="20" customHeight="1" spans="1:16" s="23" customFormat="1" x14ac:dyDescent="0.25">
      <c r="A35" s="24" t="s">
        <v>207</v>
      </c>
      <c r="B35" s="24" t="s">
        <v>180</v>
      </c>
      <c r="C35" s="24" t="s">
        <v>208</v>
      </c>
      <c r="D35" s="24" t="s">
        <v>180</v>
      </c>
      <c r="E35" s="24" t="s">
        <v>205</v>
      </c>
      <c r="F35" s="25" t="s">
        <v>53</v>
      </c>
      <c r="G35" s="24" t="s">
        <v>54</v>
      </c>
      <c r="H35" s="24" t="s">
        <v>55</v>
      </c>
      <c r="I35" s="25" t="s">
        <v>209</v>
      </c>
      <c r="J35" s="25" t="s">
        <v>57</v>
      </c>
      <c r="K35" s="25" t="s">
        <v>210</v>
      </c>
      <c r="L35" s="25" t="s">
        <v>73</v>
      </c>
      <c r="M35" s="25" t="s">
        <v>63</v>
      </c>
      <c r="N35" s="25" t="s">
        <v>63</v>
      </c>
      <c r="O35" s="25" t="s">
        <v>63</v>
      </c>
      <c r="P35" s="25" t="s">
        <v>63</v>
      </c>
    </row>
    <row r="36" ht="20" customHeight="1" spans="1:16" x14ac:dyDescent="0.25">
      <c r="A36" s="21" t="s">
        <v>211</v>
      </c>
      <c r="B36" s="21" t="s">
        <v>180</v>
      </c>
      <c r="C36" s="21" t="s">
        <v>212</v>
      </c>
      <c r="D36" s="21" t="s">
        <v>180</v>
      </c>
      <c r="E36" s="21" t="s">
        <v>213</v>
      </c>
      <c r="F36" s="22" t="s">
        <v>53</v>
      </c>
      <c r="G36" s="21" t="s">
        <v>105</v>
      </c>
      <c r="H36" s="21" t="s">
        <v>55</v>
      </c>
      <c r="I36" s="22" t="s">
        <v>80</v>
      </c>
      <c r="J36" s="22" t="s">
        <v>57</v>
      </c>
      <c r="K36" s="22" t="s">
        <v>72</v>
      </c>
      <c r="L36" s="22" t="s">
        <v>73</v>
      </c>
      <c r="M36" s="22" t="s">
        <v>63</v>
      </c>
      <c r="N36" s="22" t="s">
        <v>63</v>
      </c>
      <c r="O36" s="22" t="s">
        <v>63</v>
      </c>
      <c r="P36" s="22" t="s">
        <v>63</v>
      </c>
    </row>
    <row r="37" ht="20" customHeight="1" spans="1:16" s="23" customFormat="1" x14ac:dyDescent="0.25">
      <c r="A37" s="24" t="s">
        <v>214</v>
      </c>
      <c r="B37" s="24" t="s">
        <v>180</v>
      </c>
      <c r="C37" s="24" t="s">
        <v>179</v>
      </c>
      <c r="D37" s="24" t="s">
        <v>180</v>
      </c>
      <c r="E37" s="24" t="s">
        <v>179</v>
      </c>
      <c r="F37" s="25" t="s">
        <v>137</v>
      </c>
      <c r="G37" s="24" t="s">
        <v>166</v>
      </c>
      <c r="H37" s="24" t="s">
        <v>139</v>
      </c>
      <c r="I37" s="25" t="s">
        <v>71</v>
      </c>
      <c r="J37" s="25" t="s">
        <v>57</v>
      </c>
      <c r="K37" s="25" t="s">
        <v>81</v>
      </c>
      <c r="L37" s="25" t="s">
        <v>73</v>
      </c>
      <c r="M37" s="25" t="s">
        <v>63</v>
      </c>
      <c r="N37" s="25" t="s">
        <v>63</v>
      </c>
      <c r="O37" s="25" t="s">
        <v>63</v>
      </c>
      <c r="P37" s="25" t="s">
        <v>63</v>
      </c>
    </row>
    <row r="38" ht="20" customHeight="1" spans="1:16" x14ac:dyDescent="0.25">
      <c r="A38" s="21" t="s">
        <v>215</v>
      </c>
      <c r="B38" s="21" t="s">
        <v>180</v>
      </c>
      <c r="C38" s="21" t="s">
        <v>216</v>
      </c>
      <c r="D38" s="21" t="s">
        <v>180</v>
      </c>
      <c r="E38" s="21" t="s">
        <v>216</v>
      </c>
      <c r="F38" s="22" t="s">
        <v>53</v>
      </c>
      <c r="G38" s="21" t="s">
        <v>54</v>
      </c>
      <c r="H38" s="21" t="s">
        <v>55</v>
      </c>
      <c r="I38" s="22" t="s">
        <v>113</v>
      </c>
      <c r="J38" s="22" t="s">
        <v>57</v>
      </c>
      <c r="K38" s="22" t="s">
        <v>217</v>
      </c>
      <c r="L38" s="22" t="s">
        <v>73</v>
      </c>
      <c r="M38" s="22" t="s">
        <v>63</v>
      </c>
      <c r="N38" s="22" t="s">
        <v>63</v>
      </c>
      <c r="O38" s="22" t="s">
        <v>63</v>
      </c>
      <c r="P38" s="22" t="s">
        <v>63</v>
      </c>
    </row>
    <row r="39" ht="20" customHeight="1" spans="1:16" s="23" customFormat="1" x14ac:dyDescent="0.25">
      <c r="A39" s="24" t="s">
        <v>218</v>
      </c>
      <c r="B39" s="24" t="s">
        <v>180</v>
      </c>
      <c r="C39" s="24" t="s">
        <v>179</v>
      </c>
      <c r="D39" s="24" t="s">
        <v>180</v>
      </c>
      <c r="E39" s="24" t="s">
        <v>179</v>
      </c>
      <c r="F39" s="25" t="s">
        <v>53</v>
      </c>
      <c r="G39" s="24" t="s">
        <v>54</v>
      </c>
      <c r="H39" s="24" t="s">
        <v>55</v>
      </c>
      <c r="I39" s="25" t="s">
        <v>113</v>
      </c>
      <c r="J39" s="25" t="s">
        <v>57</v>
      </c>
      <c r="K39" s="25" t="s">
        <v>217</v>
      </c>
      <c r="L39" s="25" t="s">
        <v>219</v>
      </c>
      <c r="M39" s="25" t="s">
        <v>63</v>
      </c>
      <c r="N39" s="25" t="s">
        <v>63</v>
      </c>
      <c r="O39" s="25" t="s">
        <v>63</v>
      </c>
      <c r="P39" s="25" t="s">
        <v>63</v>
      </c>
    </row>
    <row r="40" ht="20" customHeight="1" spans="1:16" x14ac:dyDescent="0.25">
      <c r="A40" s="21" t="s">
        <v>220</v>
      </c>
      <c r="B40" s="21" t="s">
        <v>180</v>
      </c>
      <c r="C40" s="21" t="s">
        <v>221</v>
      </c>
      <c r="D40" s="21" t="s">
        <v>222</v>
      </c>
      <c r="E40" s="21" t="s">
        <v>145</v>
      </c>
      <c r="F40" s="22" t="s">
        <v>53</v>
      </c>
      <c r="G40" s="21" t="s">
        <v>105</v>
      </c>
      <c r="H40" s="21" t="s">
        <v>55</v>
      </c>
      <c r="I40" s="22" t="s">
        <v>223</v>
      </c>
      <c r="J40" s="22" t="s">
        <v>57</v>
      </c>
      <c r="K40" s="22" t="s">
        <v>224</v>
      </c>
      <c r="L40" s="22" t="s">
        <v>73</v>
      </c>
      <c r="M40" s="22" t="s">
        <v>63</v>
      </c>
      <c r="N40" s="22" t="s">
        <v>63</v>
      </c>
      <c r="O40" s="22" t="s">
        <v>63</v>
      </c>
      <c r="P40" s="22" t="s">
        <v>63</v>
      </c>
    </row>
    <row r="41" ht="20" customHeight="1" spans="1:16" s="23" customFormat="1" x14ac:dyDescent="0.25">
      <c r="A41" s="24" t="s">
        <v>225</v>
      </c>
      <c r="B41" s="24" t="s">
        <v>180</v>
      </c>
      <c r="C41" s="24" t="s">
        <v>226</v>
      </c>
      <c r="D41" s="24" t="s">
        <v>222</v>
      </c>
      <c r="E41" s="24" t="s">
        <v>226</v>
      </c>
      <c r="F41" s="25" t="s">
        <v>137</v>
      </c>
      <c r="G41" s="24" t="s">
        <v>166</v>
      </c>
      <c r="H41" s="24" t="s">
        <v>139</v>
      </c>
      <c r="I41" s="25" t="s">
        <v>132</v>
      </c>
      <c r="J41" s="25" t="s">
        <v>57</v>
      </c>
      <c r="K41" s="25" t="s">
        <v>227</v>
      </c>
      <c r="L41" s="25" t="s">
        <v>228</v>
      </c>
      <c r="M41" s="25" t="s">
        <v>63</v>
      </c>
      <c r="N41" s="25" t="s">
        <v>63</v>
      </c>
      <c r="O41" s="25" t="s">
        <v>63</v>
      </c>
      <c r="P41" s="25" t="s">
        <v>229</v>
      </c>
    </row>
    <row r="42" ht="20" customHeight="1" spans="1:16" x14ac:dyDescent="0.25">
      <c r="A42" s="21" t="s">
        <v>230</v>
      </c>
      <c r="B42" s="21" t="s">
        <v>231</v>
      </c>
      <c r="C42" s="21" t="s">
        <v>232</v>
      </c>
      <c r="D42" s="21" t="s">
        <v>231</v>
      </c>
      <c r="E42" s="21" t="s">
        <v>232</v>
      </c>
      <c r="F42" s="22" t="s">
        <v>53</v>
      </c>
      <c r="G42" s="21" t="s">
        <v>105</v>
      </c>
      <c r="H42" s="21" t="s">
        <v>55</v>
      </c>
      <c r="I42" s="22" t="s">
        <v>233</v>
      </c>
      <c r="J42" s="22" t="s">
        <v>57</v>
      </c>
      <c r="K42" s="22" t="s">
        <v>234</v>
      </c>
      <c r="L42" s="22" t="s">
        <v>235</v>
      </c>
      <c r="M42" s="22" t="s">
        <v>63</v>
      </c>
      <c r="N42" s="22" t="s">
        <v>63</v>
      </c>
      <c r="O42" s="22" t="s">
        <v>63</v>
      </c>
      <c r="P42" s="22" t="s">
        <v>236</v>
      </c>
    </row>
    <row r="43" ht="20" customHeight="1" spans="1:16" s="23" customFormat="1" x14ac:dyDescent="0.25">
      <c r="A43" s="24" t="s">
        <v>237</v>
      </c>
      <c r="B43" s="24" t="s">
        <v>231</v>
      </c>
      <c r="C43" s="24" t="s">
        <v>232</v>
      </c>
      <c r="D43" s="24" t="s">
        <v>231</v>
      </c>
      <c r="E43" s="24" t="s">
        <v>238</v>
      </c>
      <c r="F43" s="25" t="s">
        <v>53</v>
      </c>
      <c r="G43" s="24" t="s">
        <v>105</v>
      </c>
      <c r="H43" s="24" t="s">
        <v>55</v>
      </c>
      <c r="I43" s="25" t="s">
        <v>71</v>
      </c>
      <c r="J43" s="25" t="s">
        <v>57</v>
      </c>
      <c r="K43" s="25" t="s">
        <v>72</v>
      </c>
      <c r="L43" s="25" t="s">
        <v>73</v>
      </c>
      <c r="M43" s="25" t="s">
        <v>63</v>
      </c>
      <c r="N43" s="25" t="s">
        <v>63</v>
      </c>
      <c r="O43" s="25" t="s">
        <v>63</v>
      </c>
      <c r="P43" s="25" t="s">
        <v>63</v>
      </c>
    </row>
    <row r="44" ht="20" customHeight="1" spans="1:16" x14ac:dyDescent="0.25">
      <c r="A44" s="21" t="s">
        <v>239</v>
      </c>
      <c r="B44" s="21" t="s">
        <v>231</v>
      </c>
      <c r="C44" s="21" t="s">
        <v>240</v>
      </c>
      <c r="D44" s="21" t="s">
        <v>231</v>
      </c>
      <c r="E44" s="21" t="s">
        <v>241</v>
      </c>
      <c r="F44" s="22" t="s">
        <v>53</v>
      </c>
      <c r="G44" s="21" t="s">
        <v>54</v>
      </c>
      <c r="H44" s="21" t="s">
        <v>55</v>
      </c>
      <c r="I44" s="22" t="s">
        <v>80</v>
      </c>
      <c r="J44" s="22" t="s">
        <v>57</v>
      </c>
      <c r="K44" s="22" t="s">
        <v>81</v>
      </c>
      <c r="L44" s="22" t="s">
        <v>242</v>
      </c>
      <c r="M44" s="22" t="s">
        <v>63</v>
      </c>
      <c r="N44" s="22" t="s">
        <v>63</v>
      </c>
      <c r="O44" s="22" t="s">
        <v>63</v>
      </c>
      <c r="P44" s="22" t="s">
        <v>63</v>
      </c>
    </row>
    <row r="45" ht="20" customHeight="1" spans="1:16" s="23" customFormat="1" x14ac:dyDescent="0.25">
      <c r="A45" s="24" t="s">
        <v>243</v>
      </c>
      <c r="B45" s="24" t="s">
        <v>231</v>
      </c>
      <c r="C45" s="24" t="s">
        <v>244</v>
      </c>
      <c r="D45" s="24" t="s">
        <v>231</v>
      </c>
      <c r="E45" s="24" t="s">
        <v>245</v>
      </c>
      <c r="F45" s="25" t="s">
        <v>68</v>
      </c>
      <c r="G45" s="24" t="s">
        <v>69</v>
      </c>
      <c r="H45" s="24" t="s">
        <v>70</v>
      </c>
      <c r="I45" s="25" t="s">
        <v>246</v>
      </c>
      <c r="J45" s="25" t="s">
        <v>57</v>
      </c>
      <c r="K45" s="25" t="s">
        <v>247</v>
      </c>
      <c r="L45" s="25" t="s">
        <v>248</v>
      </c>
      <c r="M45" s="25" t="s">
        <v>63</v>
      </c>
      <c r="N45" s="25" t="s">
        <v>63</v>
      </c>
      <c r="O45" s="25" t="s">
        <v>63</v>
      </c>
      <c r="P45" s="25" t="s">
        <v>63</v>
      </c>
    </row>
    <row r="46" ht="20" customHeight="1" spans="1:16" x14ac:dyDescent="0.25">
      <c r="A46" s="21" t="s">
        <v>249</v>
      </c>
      <c r="B46" s="21" t="s">
        <v>231</v>
      </c>
      <c r="C46" s="21" t="s">
        <v>250</v>
      </c>
      <c r="D46" s="21" t="s">
        <v>231</v>
      </c>
      <c r="E46" s="21" t="s">
        <v>251</v>
      </c>
      <c r="F46" s="22" t="s">
        <v>85</v>
      </c>
      <c r="G46" s="21" t="s">
        <v>86</v>
      </c>
      <c r="H46" s="21" t="s">
        <v>87</v>
      </c>
      <c r="I46" s="22" t="s">
        <v>100</v>
      </c>
      <c r="J46" s="22" t="s">
        <v>57</v>
      </c>
      <c r="K46" s="22" t="s">
        <v>96</v>
      </c>
      <c r="L46" s="22" t="s">
        <v>73</v>
      </c>
      <c r="M46" s="22" t="s">
        <v>63</v>
      </c>
      <c r="N46" s="22" t="s">
        <v>63</v>
      </c>
      <c r="O46" s="22" t="s">
        <v>63</v>
      </c>
      <c r="P46" s="22" t="s">
        <v>63</v>
      </c>
    </row>
    <row r="47" ht="20" customHeight="1" spans="1:16" s="23" customFormat="1" x14ac:dyDescent="0.25">
      <c r="A47" s="24" t="s">
        <v>252</v>
      </c>
      <c r="B47" s="24" t="s">
        <v>231</v>
      </c>
      <c r="C47" s="24" t="s">
        <v>226</v>
      </c>
      <c r="D47" s="24" t="s">
        <v>222</v>
      </c>
      <c r="E47" s="24" t="s">
        <v>226</v>
      </c>
      <c r="F47" s="25" t="s">
        <v>137</v>
      </c>
      <c r="G47" s="24" t="s">
        <v>166</v>
      </c>
      <c r="H47" s="24" t="s">
        <v>139</v>
      </c>
      <c r="I47" s="25" t="s">
        <v>71</v>
      </c>
      <c r="J47" s="25" t="s">
        <v>57</v>
      </c>
      <c r="K47" s="25" t="s">
        <v>253</v>
      </c>
      <c r="L47" s="25" t="s">
        <v>73</v>
      </c>
      <c r="M47" s="25" t="s">
        <v>63</v>
      </c>
      <c r="N47" s="25" t="s">
        <v>63</v>
      </c>
      <c r="O47" s="25" t="s">
        <v>63</v>
      </c>
      <c r="P47" s="25" t="s">
        <v>63</v>
      </c>
    </row>
    <row r="48" ht="20" customHeight="1" spans="1:16" x14ac:dyDescent="0.25">
      <c r="A48" s="21" t="s">
        <v>254</v>
      </c>
      <c r="B48" s="21" t="s">
        <v>231</v>
      </c>
      <c r="C48" s="21" t="s">
        <v>226</v>
      </c>
      <c r="D48" s="21" t="s">
        <v>222</v>
      </c>
      <c r="E48" s="21" t="s">
        <v>226</v>
      </c>
      <c r="F48" s="22" t="s">
        <v>53</v>
      </c>
      <c r="G48" s="21" t="s">
        <v>54</v>
      </c>
      <c r="H48" s="21" t="s">
        <v>55</v>
      </c>
      <c r="I48" s="22" t="s">
        <v>153</v>
      </c>
      <c r="J48" s="22" t="s">
        <v>57</v>
      </c>
      <c r="K48" s="22" t="s">
        <v>255</v>
      </c>
      <c r="L48" s="22" t="s">
        <v>256</v>
      </c>
      <c r="M48" s="22" t="s">
        <v>63</v>
      </c>
      <c r="N48" s="22" t="s">
        <v>63</v>
      </c>
      <c r="O48" s="22" t="s">
        <v>63</v>
      </c>
      <c r="P48" s="22" t="s">
        <v>257</v>
      </c>
    </row>
    <row r="49" ht="20" customHeight="1" spans="1:16" s="23" customFormat="1" x14ac:dyDescent="0.25">
      <c r="A49" s="24" t="s">
        <v>258</v>
      </c>
      <c r="B49" s="24" t="s">
        <v>231</v>
      </c>
      <c r="C49" s="24" t="s">
        <v>226</v>
      </c>
      <c r="D49" s="24" t="s">
        <v>222</v>
      </c>
      <c r="E49" s="24" t="s">
        <v>226</v>
      </c>
      <c r="F49" s="25" t="s">
        <v>53</v>
      </c>
      <c r="G49" s="24" t="s">
        <v>54</v>
      </c>
      <c r="H49" s="24" t="s">
        <v>55</v>
      </c>
      <c r="I49" s="25" t="s">
        <v>259</v>
      </c>
      <c r="J49" s="25" t="s">
        <v>57</v>
      </c>
      <c r="K49" s="25" t="s">
        <v>260</v>
      </c>
      <c r="L49" s="25" t="s">
        <v>73</v>
      </c>
      <c r="M49" s="25" t="s">
        <v>63</v>
      </c>
      <c r="N49" s="25" t="s">
        <v>63</v>
      </c>
      <c r="O49" s="25" t="s">
        <v>63</v>
      </c>
      <c r="P49" s="25" t="s">
        <v>63</v>
      </c>
    </row>
    <row r="50" ht="20" customHeight="1" spans="1:16" x14ac:dyDescent="0.25">
      <c r="A50" s="21" t="s">
        <v>261</v>
      </c>
      <c r="B50" s="21" t="s">
        <v>262</v>
      </c>
      <c r="C50" s="21" t="s">
        <v>263</v>
      </c>
      <c r="D50" s="21" t="s">
        <v>262</v>
      </c>
      <c r="E50" s="21" t="s">
        <v>108</v>
      </c>
      <c r="F50" s="22" t="s">
        <v>53</v>
      </c>
      <c r="G50" s="21" t="s">
        <v>105</v>
      </c>
      <c r="H50" s="21" t="s">
        <v>55</v>
      </c>
      <c r="I50" s="22" t="s">
        <v>140</v>
      </c>
      <c r="J50" s="22" t="s">
        <v>57</v>
      </c>
      <c r="K50" s="22" t="s">
        <v>182</v>
      </c>
      <c r="L50" s="22" t="s">
        <v>264</v>
      </c>
      <c r="M50" s="22" t="s">
        <v>63</v>
      </c>
      <c r="N50" s="22" t="s">
        <v>63</v>
      </c>
      <c r="O50" s="22" t="s">
        <v>63</v>
      </c>
      <c r="P50" s="22" t="s">
        <v>63</v>
      </c>
    </row>
    <row r="51" ht="20" customHeight="1" spans="1:16" s="23" customFormat="1" x14ac:dyDescent="0.25">
      <c r="A51" s="24" t="s">
        <v>265</v>
      </c>
      <c r="B51" s="24" t="s">
        <v>262</v>
      </c>
      <c r="C51" s="24" t="s">
        <v>226</v>
      </c>
      <c r="D51" s="24" t="s">
        <v>222</v>
      </c>
      <c r="E51" s="24" t="s">
        <v>226</v>
      </c>
      <c r="F51" s="25" t="s">
        <v>68</v>
      </c>
      <c r="G51" s="24" t="s">
        <v>69</v>
      </c>
      <c r="H51" s="24" t="s">
        <v>70</v>
      </c>
      <c r="I51" s="25" t="s">
        <v>233</v>
      </c>
      <c r="J51" s="25" t="s">
        <v>57</v>
      </c>
      <c r="K51" s="25" t="s">
        <v>81</v>
      </c>
      <c r="L51" s="25" t="s">
        <v>73</v>
      </c>
      <c r="M51" s="25" t="s">
        <v>63</v>
      </c>
      <c r="N51" s="25" t="s">
        <v>63</v>
      </c>
      <c r="O51" s="25" t="s">
        <v>63</v>
      </c>
      <c r="P51" s="25" t="s">
        <v>63</v>
      </c>
    </row>
    <row r="52" ht="20" customHeight="1" spans="1:16" x14ac:dyDescent="0.25">
      <c r="A52" s="21" t="s">
        <v>266</v>
      </c>
      <c r="B52" s="21" t="s">
        <v>262</v>
      </c>
      <c r="C52" s="21" t="s">
        <v>226</v>
      </c>
      <c r="D52" s="21" t="s">
        <v>222</v>
      </c>
      <c r="E52" s="21" t="s">
        <v>226</v>
      </c>
      <c r="F52" s="22" t="s">
        <v>53</v>
      </c>
      <c r="G52" s="21" t="s">
        <v>105</v>
      </c>
      <c r="H52" s="21" t="s">
        <v>55</v>
      </c>
      <c r="I52" s="22" t="s">
        <v>223</v>
      </c>
      <c r="J52" s="22" t="s">
        <v>57</v>
      </c>
      <c r="K52" s="22" t="s">
        <v>182</v>
      </c>
      <c r="L52" s="22" t="s">
        <v>73</v>
      </c>
      <c r="M52" s="22" t="s">
        <v>63</v>
      </c>
      <c r="N52" s="22" t="s">
        <v>63</v>
      </c>
      <c r="O52" s="22" t="s">
        <v>63</v>
      </c>
      <c r="P52" s="22" t="s">
        <v>267</v>
      </c>
    </row>
    <row r="53" ht="20" customHeight="1" spans="1:16" s="23" customFormat="1" x14ac:dyDescent="0.25">
      <c r="A53" s="24" t="s">
        <v>268</v>
      </c>
      <c r="B53" s="24" t="s">
        <v>269</v>
      </c>
      <c r="C53" s="24" t="s">
        <v>226</v>
      </c>
      <c r="D53" s="24" t="s">
        <v>222</v>
      </c>
      <c r="E53" s="24" t="s">
        <v>226</v>
      </c>
      <c r="F53" s="25" t="s">
        <v>53</v>
      </c>
      <c r="G53" s="24" t="s">
        <v>270</v>
      </c>
      <c r="H53" s="24" t="s">
        <v>55</v>
      </c>
      <c r="I53" s="25" t="s">
        <v>186</v>
      </c>
      <c r="J53" s="25" t="s">
        <v>57</v>
      </c>
      <c r="K53" s="25" t="s">
        <v>271</v>
      </c>
      <c r="L53" s="25" t="s">
        <v>73</v>
      </c>
      <c r="M53" s="25" t="s">
        <v>63</v>
      </c>
      <c r="N53" s="25" t="s">
        <v>63</v>
      </c>
      <c r="O53" s="25" t="s">
        <v>63</v>
      </c>
      <c r="P53" s="25" t="s">
        <v>63</v>
      </c>
    </row>
    <row r="54" ht="20" customHeight="1" spans="1:16" x14ac:dyDescent="0.25">
      <c r="A54" s="21" t="s">
        <v>272</v>
      </c>
      <c r="B54" s="21" t="s">
        <v>269</v>
      </c>
      <c r="C54" s="21" t="s">
        <v>273</v>
      </c>
      <c r="D54" s="21" t="s">
        <v>222</v>
      </c>
      <c r="E54" s="21" t="s">
        <v>274</v>
      </c>
      <c r="F54" s="22" t="s">
        <v>68</v>
      </c>
      <c r="G54" s="21" t="s">
        <v>69</v>
      </c>
      <c r="H54" s="21" t="s">
        <v>70</v>
      </c>
      <c r="I54" s="22" t="s">
        <v>275</v>
      </c>
      <c r="J54" s="22" t="s">
        <v>57</v>
      </c>
      <c r="K54" s="22" t="s">
        <v>260</v>
      </c>
      <c r="L54" s="22" t="s">
        <v>276</v>
      </c>
      <c r="M54" s="22" t="s">
        <v>63</v>
      </c>
      <c r="N54" s="22" t="s">
        <v>63</v>
      </c>
      <c r="O54" s="22" t="s">
        <v>63</v>
      </c>
      <c r="P54" s="22" t="s">
        <v>63</v>
      </c>
    </row>
    <row r="55" ht="20" customHeight="1" spans="1:16" s="23" customFormat="1" x14ac:dyDescent="0.25">
      <c r="A55" s="24" t="s">
        <v>277</v>
      </c>
      <c r="B55" s="24" t="s">
        <v>269</v>
      </c>
      <c r="C55" s="24" t="s">
        <v>226</v>
      </c>
      <c r="D55" s="24" t="s">
        <v>222</v>
      </c>
      <c r="E55" s="24" t="s">
        <v>226</v>
      </c>
      <c r="F55" s="25" t="s">
        <v>53</v>
      </c>
      <c r="G55" s="24" t="s">
        <v>54</v>
      </c>
      <c r="H55" s="24" t="s">
        <v>55</v>
      </c>
      <c r="I55" s="25" t="s">
        <v>278</v>
      </c>
      <c r="J55" s="25" t="s">
        <v>57</v>
      </c>
      <c r="K55" s="25" t="s">
        <v>279</v>
      </c>
      <c r="L55" s="25" t="s">
        <v>280</v>
      </c>
      <c r="M55" s="25" t="s">
        <v>63</v>
      </c>
      <c r="N55" s="25" t="s">
        <v>63</v>
      </c>
      <c r="O55" s="25" t="s">
        <v>63</v>
      </c>
      <c r="P55" s="25" t="s">
        <v>63</v>
      </c>
    </row>
    <row r="56" ht="20" customHeight="1" spans="1:16" x14ac:dyDescent="0.25">
      <c r="A56" s="21" t="s">
        <v>281</v>
      </c>
      <c r="B56" s="21" t="s">
        <v>222</v>
      </c>
      <c r="C56" s="21" t="s">
        <v>226</v>
      </c>
      <c r="D56" s="21" t="s">
        <v>222</v>
      </c>
      <c r="E56" s="21" t="s">
        <v>282</v>
      </c>
      <c r="F56" s="22" t="s">
        <v>53</v>
      </c>
      <c r="G56" s="21" t="s">
        <v>105</v>
      </c>
      <c r="H56" s="21" t="s">
        <v>55</v>
      </c>
      <c r="I56" s="22" t="s">
        <v>140</v>
      </c>
      <c r="J56" s="22" t="s">
        <v>57</v>
      </c>
      <c r="K56" s="22" t="s">
        <v>283</v>
      </c>
      <c r="L56" s="22" t="s">
        <v>73</v>
      </c>
      <c r="M56" s="22" t="s">
        <v>63</v>
      </c>
      <c r="N56" s="22" t="s">
        <v>63</v>
      </c>
      <c r="O56" s="22" t="s">
        <v>63</v>
      </c>
      <c r="P56" s="22" t="s">
        <v>284</v>
      </c>
    </row>
    <row r="57" ht="20" customHeight="1" spans="1:16" s="23" customFormat="1" x14ac:dyDescent="0.25">
      <c r="A57" s="24" t="s">
        <v>285</v>
      </c>
      <c r="B57" s="24" t="s">
        <v>222</v>
      </c>
      <c r="C57" s="24" t="s">
        <v>221</v>
      </c>
      <c r="D57" s="24" t="s">
        <v>222</v>
      </c>
      <c r="E57" s="24" t="s">
        <v>126</v>
      </c>
      <c r="F57" s="25" t="s">
        <v>53</v>
      </c>
      <c r="G57" s="24" t="s">
        <v>54</v>
      </c>
      <c r="H57" s="24" t="s">
        <v>55</v>
      </c>
      <c r="I57" s="25" t="s">
        <v>80</v>
      </c>
      <c r="J57" s="25" t="s">
        <v>57</v>
      </c>
      <c r="K57" s="25" t="s">
        <v>247</v>
      </c>
      <c r="L57" s="25" t="s">
        <v>73</v>
      </c>
      <c r="M57" s="25" t="s">
        <v>63</v>
      </c>
      <c r="N57" s="25" t="s">
        <v>63</v>
      </c>
      <c r="O57" s="25" t="s">
        <v>63</v>
      </c>
      <c r="P57" s="25" t="s">
        <v>63</v>
      </c>
    </row>
    <row r="58" ht="20" customHeight="1" spans="1:16" x14ac:dyDescent="0.25">
      <c r="A58" s="21" t="s">
        <v>286</v>
      </c>
      <c r="B58" s="21" t="s">
        <v>222</v>
      </c>
      <c r="C58" s="21" t="s">
        <v>282</v>
      </c>
      <c r="D58" s="21" t="s">
        <v>222</v>
      </c>
      <c r="E58" s="21" t="s">
        <v>287</v>
      </c>
      <c r="F58" s="22" t="s">
        <v>53</v>
      </c>
      <c r="G58" s="21" t="s">
        <v>54</v>
      </c>
      <c r="H58" s="21" t="s">
        <v>55</v>
      </c>
      <c r="I58" s="22" t="s">
        <v>80</v>
      </c>
      <c r="J58" s="22" t="s">
        <v>57</v>
      </c>
      <c r="K58" s="22" t="s">
        <v>81</v>
      </c>
      <c r="L58" s="22" t="s">
        <v>73</v>
      </c>
      <c r="M58" s="22" t="s">
        <v>63</v>
      </c>
      <c r="N58" s="22" t="s">
        <v>63</v>
      </c>
      <c r="O58" s="22" t="s">
        <v>63</v>
      </c>
      <c r="P58" s="22" t="s">
        <v>63</v>
      </c>
    </row>
    <row r="59" ht="20" customHeight="1" spans="1:16" s="23" customFormat="1" x14ac:dyDescent="0.25">
      <c r="A59" s="24" t="s">
        <v>288</v>
      </c>
      <c r="B59" s="24" t="s">
        <v>222</v>
      </c>
      <c r="C59" s="24" t="s">
        <v>226</v>
      </c>
      <c r="D59" s="24" t="s">
        <v>222</v>
      </c>
      <c r="E59" s="24" t="s">
        <v>226</v>
      </c>
      <c r="F59" s="25" t="s">
        <v>85</v>
      </c>
      <c r="G59" s="24" t="s">
        <v>86</v>
      </c>
      <c r="H59" s="24" t="s">
        <v>87</v>
      </c>
      <c r="I59" s="25" t="s">
        <v>100</v>
      </c>
      <c r="J59" s="25" t="s">
        <v>57</v>
      </c>
      <c r="K59" s="25" t="s">
        <v>247</v>
      </c>
      <c r="L59" s="25" t="s">
        <v>73</v>
      </c>
      <c r="M59" s="25" t="s">
        <v>63</v>
      </c>
      <c r="N59" s="25" t="s">
        <v>63</v>
      </c>
      <c r="O59" s="25" t="s">
        <v>63</v>
      </c>
      <c r="P59" s="25" t="s">
        <v>63</v>
      </c>
    </row>
    <row r="60" ht="20" customHeight="1" spans="1:16" x14ac:dyDescent="0.25">
      <c r="A60" s="21" t="s">
        <v>286</v>
      </c>
      <c r="B60" s="21" t="s">
        <v>222</v>
      </c>
      <c r="C60" s="21" t="s">
        <v>287</v>
      </c>
      <c r="D60" s="21" t="s">
        <v>222</v>
      </c>
      <c r="E60" s="21" t="s">
        <v>289</v>
      </c>
      <c r="F60" s="22" t="s">
        <v>53</v>
      </c>
      <c r="G60" s="21" t="s">
        <v>54</v>
      </c>
      <c r="H60" s="21" t="s">
        <v>55</v>
      </c>
      <c r="I60" s="22" t="s">
        <v>80</v>
      </c>
      <c r="J60" s="22" t="s">
        <v>57</v>
      </c>
      <c r="K60" s="22" t="s">
        <v>72</v>
      </c>
      <c r="L60" s="22" t="s">
        <v>73</v>
      </c>
      <c r="M60" s="22" t="s">
        <v>63</v>
      </c>
      <c r="N60" s="22" t="s">
        <v>63</v>
      </c>
      <c r="O60" s="22" t="s">
        <v>63</v>
      </c>
      <c r="P60" s="22" t="s">
        <v>63</v>
      </c>
    </row>
    <row r="61" ht="20" customHeight="1" spans="1:16" s="23" customFormat="1" x14ac:dyDescent="0.25">
      <c r="A61" s="24" t="s">
        <v>290</v>
      </c>
      <c r="B61" s="24" t="s">
        <v>222</v>
      </c>
      <c r="C61" s="24" t="s">
        <v>291</v>
      </c>
      <c r="D61" s="24" t="s">
        <v>292</v>
      </c>
      <c r="E61" s="24" t="s">
        <v>291</v>
      </c>
      <c r="F61" s="25" t="s">
        <v>53</v>
      </c>
      <c r="G61" s="24" t="s">
        <v>293</v>
      </c>
      <c r="H61" s="24" t="s">
        <v>55</v>
      </c>
      <c r="I61" s="25" t="s">
        <v>181</v>
      </c>
      <c r="J61" s="25" t="s">
        <v>57</v>
      </c>
      <c r="K61" s="25" t="s">
        <v>294</v>
      </c>
      <c r="L61" s="25" t="s">
        <v>73</v>
      </c>
      <c r="M61" s="25" t="s">
        <v>63</v>
      </c>
      <c r="N61" s="25" t="s">
        <v>63</v>
      </c>
      <c r="O61" s="25" t="s">
        <v>63</v>
      </c>
      <c r="P61" s="25" t="s">
        <v>63</v>
      </c>
    </row>
    <row r="62" ht="20" customHeight="1" spans="1:16" x14ac:dyDescent="0.25">
      <c r="A62" s="21" t="s">
        <v>295</v>
      </c>
      <c r="B62" s="21" t="s">
        <v>222</v>
      </c>
      <c r="C62" s="21" t="s">
        <v>291</v>
      </c>
      <c r="D62" s="21" t="s">
        <v>292</v>
      </c>
      <c r="E62" s="21" t="s">
        <v>291</v>
      </c>
      <c r="F62" s="22" t="s">
        <v>53</v>
      </c>
      <c r="G62" s="21" t="s">
        <v>105</v>
      </c>
      <c r="H62" s="21" t="s">
        <v>55</v>
      </c>
      <c r="I62" s="22" t="s">
        <v>181</v>
      </c>
      <c r="J62" s="22" t="s">
        <v>57</v>
      </c>
      <c r="K62" s="22" t="s">
        <v>294</v>
      </c>
      <c r="L62" s="22" t="s">
        <v>296</v>
      </c>
      <c r="M62" s="22" t="s">
        <v>63</v>
      </c>
      <c r="N62" s="22" t="s">
        <v>63</v>
      </c>
      <c r="O62" s="22" t="s">
        <v>63</v>
      </c>
      <c r="P62" s="22" t="s">
        <v>63</v>
      </c>
    </row>
    <row r="63" ht="20" customHeight="1" spans="1:16" s="23" customFormat="1" x14ac:dyDescent="0.25">
      <c r="A63" s="24" t="s">
        <v>295</v>
      </c>
      <c r="B63" s="24" t="s">
        <v>222</v>
      </c>
      <c r="C63" s="24" t="s">
        <v>291</v>
      </c>
      <c r="D63" s="24" t="s">
        <v>292</v>
      </c>
      <c r="E63" s="24" t="s">
        <v>291</v>
      </c>
      <c r="F63" s="25" t="s">
        <v>53</v>
      </c>
      <c r="G63" s="24" t="s">
        <v>105</v>
      </c>
      <c r="H63" s="24" t="s">
        <v>55</v>
      </c>
      <c r="I63" s="25" t="s">
        <v>132</v>
      </c>
      <c r="J63" s="25" t="s">
        <v>57</v>
      </c>
      <c r="K63" s="25" t="s">
        <v>297</v>
      </c>
      <c r="L63" s="25" t="s">
        <v>228</v>
      </c>
      <c r="M63" s="25" t="s">
        <v>63</v>
      </c>
      <c r="N63" s="25" t="s">
        <v>63</v>
      </c>
      <c r="O63" s="25" t="s">
        <v>63</v>
      </c>
      <c r="P63" s="25" t="s">
        <v>298</v>
      </c>
    </row>
    <row r="64" ht="20" customHeight="1" spans="1:16" x14ac:dyDescent="0.25">
      <c r="A64" s="21" t="s">
        <v>299</v>
      </c>
      <c r="B64" s="21" t="s">
        <v>300</v>
      </c>
      <c r="C64" s="21" t="s">
        <v>291</v>
      </c>
      <c r="D64" s="21" t="s">
        <v>292</v>
      </c>
      <c r="E64" s="21" t="s">
        <v>291</v>
      </c>
      <c r="F64" s="22" t="s">
        <v>53</v>
      </c>
      <c r="G64" s="21" t="s">
        <v>54</v>
      </c>
      <c r="H64" s="21" t="s">
        <v>55</v>
      </c>
      <c r="I64" s="22" t="s">
        <v>301</v>
      </c>
      <c r="J64" s="22" t="s">
        <v>57</v>
      </c>
      <c r="K64" s="22" t="s">
        <v>302</v>
      </c>
      <c r="L64" s="22" t="s">
        <v>233</v>
      </c>
      <c r="M64" s="22" t="s">
        <v>63</v>
      </c>
      <c r="N64" s="22" t="s">
        <v>63</v>
      </c>
      <c r="O64" s="22" t="s">
        <v>63</v>
      </c>
      <c r="P64" s="22" t="s">
        <v>63</v>
      </c>
    </row>
    <row r="65" ht="20" customHeight="1" spans="1:16" s="23" customFormat="1" x14ac:dyDescent="0.25">
      <c r="A65" s="24" t="s">
        <v>303</v>
      </c>
      <c r="B65" s="24" t="s">
        <v>300</v>
      </c>
      <c r="C65" s="24" t="s">
        <v>304</v>
      </c>
      <c r="D65" s="24" t="s">
        <v>292</v>
      </c>
      <c r="E65" s="24" t="s">
        <v>304</v>
      </c>
      <c r="F65" s="25" t="s">
        <v>53</v>
      </c>
      <c r="G65" s="24" t="s">
        <v>105</v>
      </c>
      <c r="H65" s="24" t="s">
        <v>55</v>
      </c>
      <c r="I65" s="25" t="s">
        <v>80</v>
      </c>
      <c r="J65" s="25" t="s">
        <v>57</v>
      </c>
      <c r="K65" s="25" t="s">
        <v>81</v>
      </c>
      <c r="L65" s="25" t="s">
        <v>305</v>
      </c>
      <c r="M65" s="25" t="s">
        <v>63</v>
      </c>
      <c r="N65" s="25" t="s">
        <v>63</v>
      </c>
      <c r="O65" s="25" t="s">
        <v>63</v>
      </c>
      <c r="P65" s="25" t="s">
        <v>63</v>
      </c>
    </row>
    <row r="66" ht="20" customHeight="1" spans="1:16" x14ac:dyDescent="0.25">
      <c r="A66" s="21" t="s">
        <v>306</v>
      </c>
      <c r="B66" s="21" t="s">
        <v>300</v>
      </c>
      <c r="C66" s="21" t="s">
        <v>291</v>
      </c>
      <c r="D66" s="21" t="s">
        <v>292</v>
      </c>
      <c r="E66" s="21" t="s">
        <v>291</v>
      </c>
      <c r="F66" s="22" t="s">
        <v>53</v>
      </c>
      <c r="G66" s="21" t="s">
        <v>54</v>
      </c>
      <c r="H66" s="21" t="s">
        <v>55</v>
      </c>
      <c r="I66" s="22" t="s">
        <v>113</v>
      </c>
      <c r="J66" s="22" t="s">
        <v>57</v>
      </c>
      <c r="K66" s="22" t="s">
        <v>81</v>
      </c>
      <c r="L66" s="22" t="s">
        <v>307</v>
      </c>
      <c r="M66" s="22" t="s">
        <v>63</v>
      </c>
      <c r="N66" s="22" t="s">
        <v>63</v>
      </c>
      <c r="O66" s="22" t="s">
        <v>63</v>
      </c>
      <c r="P66" s="22" t="s">
        <v>63</v>
      </c>
    </row>
    <row r="67" ht="20" customHeight="1" spans="1:16" s="23" customFormat="1" x14ac:dyDescent="0.25">
      <c r="A67" s="24" t="s">
        <v>308</v>
      </c>
      <c r="B67" s="24" t="s">
        <v>292</v>
      </c>
      <c r="C67" s="24" t="s">
        <v>309</v>
      </c>
      <c r="D67" s="24" t="s">
        <v>292</v>
      </c>
      <c r="E67" s="24" t="s">
        <v>310</v>
      </c>
      <c r="F67" s="25" t="s">
        <v>53</v>
      </c>
      <c r="G67" s="24" t="s">
        <v>54</v>
      </c>
      <c r="H67" s="24" t="s">
        <v>55</v>
      </c>
      <c r="I67" s="25" t="s">
        <v>56</v>
      </c>
      <c r="J67" s="25" t="s">
        <v>57</v>
      </c>
      <c r="K67" s="25" t="s">
        <v>96</v>
      </c>
      <c r="L67" s="25" t="s">
        <v>311</v>
      </c>
      <c r="M67" s="25" t="s">
        <v>63</v>
      </c>
      <c r="N67" s="25" t="s">
        <v>63</v>
      </c>
      <c r="O67" s="25" t="s">
        <v>63</v>
      </c>
      <c r="P67" s="25" t="s">
        <v>63</v>
      </c>
    </row>
    <row r="68" ht="20" customHeight="1" spans="1:16" x14ac:dyDescent="0.25">
      <c r="A68" s="21" t="s">
        <v>312</v>
      </c>
      <c r="B68" s="21" t="s">
        <v>292</v>
      </c>
      <c r="C68" s="21" t="s">
        <v>313</v>
      </c>
      <c r="D68" s="21" t="s">
        <v>292</v>
      </c>
      <c r="E68" s="21" t="s">
        <v>313</v>
      </c>
      <c r="F68" s="22" t="s">
        <v>53</v>
      </c>
      <c r="G68" s="21" t="s">
        <v>131</v>
      </c>
      <c r="H68" s="21" t="s">
        <v>55</v>
      </c>
      <c r="I68" s="22" t="s">
        <v>314</v>
      </c>
      <c r="J68" s="22" t="s">
        <v>57</v>
      </c>
      <c r="K68" s="22" t="s">
        <v>72</v>
      </c>
      <c r="L68" s="22" t="s">
        <v>315</v>
      </c>
      <c r="M68" s="22" t="s">
        <v>63</v>
      </c>
      <c r="N68" s="22" t="s">
        <v>63</v>
      </c>
      <c r="O68" s="22" t="s">
        <v>63</v>
      </c>
      <c r="P68" s="22" t="s">
        <v>63</v>
      </c>
    </row>
    <row r="69" ht="20" customHeight="1" spans="1:16" s="23" customFormat="1" x14ac:dyDescent="0.25">
      <c r="A69" s="24" t="s">
        <v>316</v>
      </c>
      <c r="B69" s="24" t="s">
        <v>292</v>
      </c>
      <c r="C69" s="24" t="s">
        <v>313</v>
      </c>
      <c r="D69" s="24" t="s">
        <v>292</v>
      </c>
      <c r="E69" s="24" t="s">
        <v>317</v>
      </c>
      <c r="F69" s="25" t="s">
        <v>137</v>
      </c>
      <c r="G69" s="24" t="s">
        <v>138</v>
      </c>
      <c r="H69" s="24" t="s">
        <v>139</v>
      </c>
      <c r="I69" s="25" t="s">
        <v>140</v>
      </c>
      <c r="J69" s="25" t="s">
        <v>57</v>
      </c>
      <c r="K69" s="25" t="s">
        <v>81</v>
      </c>
      <c r="L69" s="25" t="s">
        <v>73</v>
      </c>
      <c r="M69" s="25" t="s">
        <v>63</v>
      </c>
      <c r="N69" s="25" t="s">
        <v>63</v>
      </c>
      <c r="O69" s="25" t="s">
        <v>63</v>
      </c>
      <c r="P69" s="25" t="s">
        <v>63</v>
      </c>
    </row>
    <row r="70" ht="20" customHeight="1" spans="1:16" x14ac:dyDescent="0.25">
      <c r="A70" s="21" t="s">
        <v>318</v>
      </c>
      <c r="B70" s="21" t="s">
        <v>292</v>
      </c>
      <c r="C70" s="21" t="s">
        <v>319</v>
      </c>
      <c r="D70" s="21" t="s">
        <v>292</v>
      </c>
      <c r="E70" s="21" t="s">
        <v>320</v>
      </c>
      <c r="F70" s="22" t="s">
        <v>85</v>
      </c>
      <c r="G70" s="21" t="s">
        <v>86</v>
      </c>
      <c r="H70" s="21" t="s">
        <v>87</v>
      </c>
      <c r="I70" s="22" t="s">
        <v>80</v>
      </c>
      <c r="J70" s="22" t="s">
        <v>57</v>
      </c>
      <c r="K70" s="22" t="s">
        <v>321</v>
      </c>
      <c r="L70" s="22" t="s">
        <v>73</v>
      </c>
      <c r="M70" s="22" t="s">
        <v>63</v>
      </c>
      <c r="N70" s="22" t="s">
        <v>63</v>
      </c>
      <c r="O70" s="22" t="s">
        <v>63</v>
      </c>
      <c r="P70" s="22" t="s">
        <v>322</v>
      </c>
    </row>
    <row r="71" ht="20" customHeight="1" spans="1:16" s="23" customFormat="1" x14ac:dyDescent="0.25">
      <c r="A71" s="24" t="s">
        <v>323</v>
      </c>
      <c r="B71" s="24" t="s">
        <v>292</v>
      </c>
      <c r="C71" s="24" t="s">
        <v>324</v>
      </c>
      <c r="D71" s="24" t="s">
        <v>325</v>
      </c>
      <c r="E71" s="24" t="s">
        <v>326</v>
      </c>
      <c r="F71" s="25" t="s">
        <v>68</v>
      </c>
      <c r="G71" s="24" t="s">
        <v>69</v>
      </c>
      <c r="H71" s="24" t="s">
        <v>70</v>
      </c>
      <c r="I71" s="25" t="s">
        <v>181</v>
      </c>
      <c r="J71" s="25" t="s">
        <v>57</v>
      </c>
      <c r="K71" s="25" t="s">
        <v>294</v>
      </c>
      <c r="L71" s="25" t="s">
        <v>73</v>
      </c>
      <c r="M71" s="25" t="s">
        <v>63</v>
      </c>
      <c r="N71" s="25" t="s">
        <v>63</v>
      </c>
      <c r="O71" s="25" t="s">
        <v>63</v>
      </c>
      <c r="P71" s="25" t="s">
        <v>63</v>
      </c>
    </row>
    <row r="72" ht="20" customHeight="1" spans="1:16" x14ac:dyDescent="0.25">
      <c r="A72" s="21" t="s">
        <v>327</v>
      </c>
      <c r="B72" s="21" t="s">
        <v>292</v>
      </c>
      <c r="C72" s="21" t="s">
        <v>328</v>
      </c>
      <c r="D72" s="21" t="s">
        <v>325</v>
      </c>
      <c r="E72" s="21" t="s">
        <v>329</v>
      </c>
      <c r="F72" s="22" t="s">
        <v>53</v>
      </c>
      <c r="G72" s="21" t="s">
        <v>54</v>
      </c>
      <c r="H72" s="21" t="s">
        <v>55</v>
      </c>
      <c r="I72" s="22" t="s">
        <v>132</v>
      </c>
      <c r="J72" s="22" t="s">
        <v>57</v>
      </c>
      <c r="K72" s="22" t="s">
        <v>330</v>
      </c>
      <c r="L72" s="22" t="s">
        <v>331</v>
      </c>
      <c r="M72" s="22" t="s">
        <v>63</v>
      </c>
      <c r="N72" s="22" t="s">
        <v>63</v>
      </c>
      <c r="O72" s="22" t="s">
        <v>63</v>
      </c>
      <c r="P72" s="22" t="s">
        <v>332</v>
      </c>
    </row>
    <row r="73" ht="20" customHeight="1" spans="1:16" s="23" customFormat="1" x14ac:dyDescent="0.25">
      <c r="A73" s="24" t="s">
        <v>333</v>
      </c>
      <c r="B73" s="24" t="s">
        <v>334</v>
      </c>
      <c r="C73" s="24" t="s">
        <v>335</v>
      </c>
      <c r="D73" s="24" t="s">
        <v>334</v>
      </c>
      <c r="E73" s="24" t="s">
        <v>336</v>
      </c>
      <c r="F73" s="25" t="s">
        <v>53</v>
      </c>
      <c r="G73" s="24" t="s">
        <v>54</v>
      </c>
      <c r="H73" s="24" t="s">
        <v>55</v>
      </c>
      <c r="I73" s="25" t="s">
        <v>307</v>
      </c>
      <c r="J73" s="25" t="s">
        <v>57</v>
      </c>
      <c r="K73" s="25" t="s">
        <v>330</v>
      </c>
      <c r="L73" s="25" t="s">
        <v>118</v>
      </c>
      <c r="M73" s="25" t="s">
        <v>63</v>
      </c>
      <c r="N73" s="25" t="s">
        <v>63</v>
      </c>
      <c r="O73" s="25" t="s">
        <v>63</v>
      </c>
      <c r="P73" s="25" t="s">
        <v>337</v>
      </c>
    </row>
    <row r="74" ht="20" customHeight="1" spans="1:16" x14ac:dyDescent="0.25">
      <c r="A74" s="21" t="s">
        <v>338</v>
      </c>
      <c r="B74" s="21" t="s">
        <v>334</v>
      </c>
      <c r="C74" s="21" t="s">
        <v>339</v>
      </c>
      <c r="D74" s="21" t="s">
        <v>334</v>
      </c>
      <c r="E74" s="21" t="s">
        <v>340</v>
      </c>
      <c r="F74" s="22" t="s">
        <v>68</v>
      </c>
      <c r="G74" s="21" t="s">
        <v>69</v>
      </c>
      <c r="H74" s="21" t="s">
        <v>70</v>
      </c>
      <c r="I74" s="22" t="s">
        <v>209</v>
      </c>
      <c r="J74" s="22" t="s">
        <v>57</v>
      </c>
      <c r="K74" s="22" t="s">
        <v>341</v>
      </c>
      <c r="L74" s="22" t="s">
        <v>342</v>
      </c>
      <c r="M74" s="22" t="s">
        <v>63</v>
      </c>
      <c r="N74" s="22" t="s">
        <v>63</v>
      </c>
      <c r="O74" s="22" t="s">
        <v>63</v>
      </c>
      <c r="P74" s="22" t="s">
        <v>63</v>
      </c>
    </row>
    <row r="75" ht="20" customHeight="1" spans="1:16" s="23" customFormat="1" x14ac:dyDescent="0.25">
      <c r="A75" s="24" t="s">
        <v>343</v>
      </c>
      <c r="B75" s="24" t="s">
        <v>334</v>
      </c>
      <c r="C75" s="24" t="s">
        <v>344</v>
      </c>
      <c r="D75" s="24" t="s">
        <v>334</v>
      </c>
      <c r="E75" s="24" t="s">
        <v>345</v>
      </c>
      <c r="F75" s="25" t="s">
        <v>53</v>
      </c>
      <c r="G75" s="24" t="s">
        <v>105</v>
      </c>
      <c r="H75" s="24" t="s">
        <v>55</v>
      </c>
      <c r="I75" s="25" t="s">
        <v>80</v>
      </c>
      <c r="J75" s="25" t="s">
        <v>57</v>
      </c>
      <c r="K75" s="25" t="s">
        <v>279</v>
      </c>
      <c r="L75" s="25" t="s">
        <v>73</v>
      </c>
      <c r="M75" s="25" t="s">
        <v>60</v>
      </c>
      <c r="N75" s="25" t="s">
        <v>61</v>
      </c>
      <c r="O75" s="25" t="s">
        <v>63</v>
      </c>
      <c r="P75" s="25" t="s">
        <v>63</v>
      </c>
    </row>
    <row r="76" ht="20" customHeight="1" spans="1:16" x14ac:dyDescent="0.25">
      <c r="A76" s="21" t="s">
        <v>346</v>
      </c>
      <c r="B76" s="21" t="s">
        <v>334</v>
      </c>
      <c r="C76" s="21" t="s">
        <v>347</v>
      </c>
      <c r="D76" s="21" t="s">
        <v>325</v>
      </c>
      <c r="E76" s="21" t="s">
        <v>329</v>
      </c>
      <c r="F76" s="22" t="s">
        <v>53</v>
      </c>
      <c r="G76" s="21" t="s">
        <v>105</v>
      </c>
      <c r="H76" s="21" t="s">
        <v>55</v>
      </c>
      <c r="I76" s="22" t="s">
        <v>348</v>
      </c>
      <c r="J76" s="22" t="s">
        <v>57</v>
      </c>
      <c r="K76" s="22" t="s">
        <v>349</v>
      </c>
      <c r="L76" s="22" t="s">
        <v>73</v>
      </c>
      <c r="M76" s="22" t="s">
        <v>63</v>
      </c>
      <c r="N76" s="22" t="s">
        <v>63</v>
      </c>
      <c r="O76" s="22" t="s">
        <v>63</v>
      </c>
      <c r="P76" s="22" t="s">
        <v>63</v>
      </c>
    </row>
    <row r="77" ht="20" customHeight="1" spans="1:16" s="23" customFormat="1" x14ac:dyDescent="0.25">
      <c r="A77" s="24" t="s">
        <v>346</v>
      </c>
      <c r="B77" s="24" t="s">
        <v>334</v>
      </c>
      <c r="C77" s="24" t="s">
        <v>324</v>
      </c>
      <c r="D77" s="24" t="s">
        <v>325</v>
      </c>
      <c r="E77" s="24" t="s">
        <v>324</v>
      </c>
      <c r="F77" s="25" t="s">
        <v>53</v>
      </c>
      <c r="G77" s="24" t="s">
        <v>54</v>
      </c>
      <c r="H77" s="24" t="s">
        <v>55</v>
      </c>
      <c r="I77" s="25" t="s">
        <v>153</v>
      </c>
      <c r="J77" s="25" t="s">
        <v>57</v>
      </c>
      <c r="K77" s="25" t="s">
        <v>271</v>
      </c>
      <c r="L77" s="25" t="s">
        <v>73</v>
      </c>
      <c r="M77" s="25" t="s">
        <v>63</v>
      </c>
      <c r="N77" s="25" t="s">
        <v>63</v>
      </c>
      <c r="O77" s="25" t="s">
        <v>63</v>
      </c>
      <c r="P77" s="25" t="s">
        <v>63</v>
      </c>
    </row>
    <row r="78" ht="20" customHeight="1" spans="1:16" x14ac:dyDescent="0.25">
      <c r="A78" s="21" t="s">
        <v>350</v>
      </c>
      <c r="B78" s="21" t="s">
        <v>325</v>
      </c>
      <c r="C78" s="21" t="s">
        <v>351</v>
      </c>
      <c r="D78" s="21" t="s">
        <v>325</v>
      </c>
      <c r="E78" s="21" t="s">
        <v>324</v>
      </c>
      <c r="F78" s="22" t="s">
        <v>53</v>
      </c>
      <c r="G78" s="21" t="s">
        <v>105</v>
      </c>
      <c r="H78" s="21" t="s">
        <v>55</v>
      </c>
      <c r="I78" s="22" t="s">
        <v>80</v>
      </c>
      <c r="J78" s="22" t="s">
        <v>57</v>
      </c>
      <c r="K78" s="22" t="s">
        <v>352</v>
      </c>
      <c r="L78" s="22" t="s">
        <v>353</v>
      </c>
      <c r="M78" s="22" t="s">
        <v>354</v>
      </c>
      <c r="N78" s="22" t="s">
        <v>355</v>
      </c>
      <c r="O78" s="22" t="s">
        <v>356</v>
      </c>
      <c r="P78" s="22" t="s">
        <v>357</v>
      </c>
    </row>
    <row r="79" ht="20" customHeight="1" spans="1:16" s="23" customFormat="1" x14ac:dyDescent="0.25">
      <c r="A79" s="24" t="s">
        <v>358</v>
      </c>
      <c r="B79" s="24" t="s">
        <v>325</v>
      </c>
      <c r="C79" s="24" t="s">
        <v>50</v>
      </c>
      <c r="D79" s="24" t="s">
        <v>325</v>
      </c>
      <c r="E79" s="24" t="s">
        <v>359</v>
      </c>
      <c r="F79" s="25" t="s">
        <v>53</v>
      </c>
      <c r="G79" s="24" t="s">
        <v>54</v>
      </c>
      <c r="H79" s="24" t="s">
        <v>55</v>
      </c>
      <c r="I79" s="25" t="s">
        <v>360</v>
      </c>
      <c r="J79" s="25" t="s">
        <v>57</v>
      </c>
      <c r="K79" s="25" t="s">
        <v>361</v>
      </c>
      <c r="L79" s="25" t="s">
        <v>362</v>
      </c>
      <c r="M79" s="25" t="s">
        <v>354</v>
      </c>
      <c r="N79" s="25" t="s">
        <v>355</v>
      </c>
      <c r="O79" s="25" t="s">
        <v>63</v>
      </c>
      <c r="P79" s="25" t="s">
        <v>63</v>
      </c>
    </row>
    <row r="80" ht="20" customHeight="1" spans="1:16" x14ac:dyDescent="0.25">
      <c r="A80" s="21" t="s">
        <v>363</v>
      </c>
      <c r="B80" s="21" t="s">
        <v>325</v>
      </c>
      <c r="C80" s="21" t="s">
        <v>126</v>
      </c>
      <c r="D80" s="21" t="s">
        <v>364</v>
      </c>
      <c r="E80" s="21" t="s">
        <v>365</v>
      </c>
      <c r="F80" s="22" t="s">
        <v>53</v>
      </c>
      <c r="G80" s="21" t="s">
        <v>54</v>
      </c>
      <c r="H80" s="21" t="s">
        <v>55</v>
      </c>
      <c r="I80" s="22" t="s">
        <v>181</v>
      </c>
      <c r="J80" s="22" t="s">
        <v>57</v>
      </c>
      <c r="K80" s="22" t="s">
        <v>330</v>
      </c>
      <c r="L80" s="22" t="s">
        <v>331</v>
      </c>
      <c r="M80" s="22" t="s">
        <v>63</v>
      </c>
      <c r="N80" s="22" t="s">
        <v>63</v>
      </c>
      <c r="O80" s="22" t="s">
        <v>63</v>
      </c>
      <c r="P80" s="22" t="s">
        <v>236</v>
      </c>
    </row>
    <row r="81" ht="20" customHeight="1" spans="1:16" s="23" customFormat="1" x14ac:dyDescent="0.25">
      <c r="A81" s="24" t="s">
        <v>366</v>
      </c>
      <c r="B81" s="24" t="s">
        <v>367</v>
      </c>
      <c r="C81" s="24" t="s">
        <v>368</v>
      </c>
      <c r="D81" s="24" t="s">
        <v>367</v>
      </c>
      <c r="E81" s="24" t="s">
        <v>369</v>
      </c>
      <c r="F81" s="25" t="s">
        <v>53</v>
      </c>
      <c r="G81" s="24" t="s">
        <v>105</v>
      </c>
      <c r="H81" s="24" t="s">
        <v>55</v>
      </c>
      <c r="I81" s="25" t="s">
        <v>307</v>
      </c>
      <c r="J81" s="25" t="s">
        <v>57</v>
      </c>
      <c r="K81" s="25" t="s">
        <v>330</v>
      </c>
      <c r="L81" s="25" t="s">
        <v>73</v>
      </c>
      <c r="M81" s="25" t="s">
        <v>63</v>
      </c>
      <c r="N81" s="25" t="s">
        <v>63</v>
      </c>
      <c r="O81" s="25" t="s">
        <v>63</v>
      </c>
      <c r="P81" s="25" t="s">
        <v>370</v>
      </c>
    </row>
    <row r="82" ht="20" customHeight="1" spans="1:16" x14ac:dyDescent="0.25">
      <c r="A82" s="21" t="s">
        <v>371</v>
      </c>
      <c r="B82" s="21" t="s">
        <v>367</v>
      </c>
      <c r="C82" s="21" t="s">
        <v>372</v>
      </c>
      <c r="D82" s="21" t="s">
        <v>373</v>
      </c>
      <c r="E82" s="21" t="s">
        <v>374</v>
      </c>
      <c r="F82" s="22" t="s">
        <v>53</v>
      </c>
      <c r="G82" s="21" t="s">
        <v>54</v>
      </c>
      <c r="H82" s="21" t="s">
        <v>55</v>
      </c>
      <c r="I82" s="22" t="s">
        <v>153</v>
      </c>
      <c r="J82" s="22" t="s">
        <v>57</v>
      </c>
      <c r="K82" s="22" t="s">
        <v>271</v>
      </c>
      <c r="L82" s="22" t="s">
        <v>375</v>
      </c>
      <c r="M82" s="22" t="s">
        <v>63</v>
      </c>
      <c r="N82" s="22" t="s">
        <v>63</v>
      </c>
      <c r="O82" s="22" t="s">
        <v>63</v>
      </c>
      <c r="P82" s="22" t="s">
        <v>63</v>
      </c>
    </row>
    <row r="83" ht="20" customHeight="1" spans="1:16" s="23" customFormat="1" x14ac:dyDescent="0.25">
      <c r="A83" s="24" t="s">
        <v>376</v>
      </c>
      <c r="B83" s="24" t="s">
        <v>377</v>
      </c>
      <c r="C83" s="24" t="s">
        <v>378</v>
      </c>
      <c r="D83" s="24" t="s">
        <v>373</v>
      </c>
      <c r="E83" s="24" t="s">
        <v>374</v>
      </c>
      <c r="F83" s="25" t="s">
        <v>53</v>
      </c>
      <c r="G83" s="24" t="s">
        <v>54</v>
      </c>
      <c r="H83" s="24" t="s">
        <v>55</v>
      </c>
      <c r="I83" s="25" t="s">
        <v>153</v>
      </c>
      <c r="J83" s="25" t="s">
        <v>57</v>
      </c>
      <c r="K83" s="25" t="s">
        <v>224</v>
      </c>
      <c r="L83" s="25" t="s">
        <v>73</v>
      </c>
      <c r="M83" s="25" t="s">
        <v>63</v>
      </c>
      <c r="N83" s="25" t="s">
        <v>63</v>
      </c>
      <c r="O83" s="25" t="s">
        <v>63</v>
      </c>
      <c r="P83" s="25" t="s">
        <v>63</v>
      </c>
    </row>
    <row r="84" ht="20" customHeight="1" spans="1:16" x14ac:dyDescent="0.25">
      <c r="A84" s="21" t="s">
        <v>379</v>
      </c>
      <c r="B84" s="21" t="s">
        <v>377</v>
      </c>
      <c r="C84" s="21" t="s">
        <v>126</v>
      </c>
      <c r="D84" s="21" t="s">
        <v>364</v>
      </c>
      <c r="E84" s="21" t="s">
        <v>365</v>
      </c>
      <c r="F84" s="22" t="s">
        <v>53</v>
      </c>
      <c r="G84" s="21" t="s">
        <v>54</v>
      </c>
      <c r="H84" s="21" t="s">
        <v>55</v>
      </c>
      <c r="I84" s="22" t="s">
        <v>181</v>
      </c>
      <c r="J84" s="22" t="s">
        <v>57</v>
      </c>
      <c r="K84" s="22" t="s">
        <v>380</v>
      </c>
      <c r="L84" s="22" t="s">
        <v>381</v>
      </c>
      <c r="M84" s="22" t="s">
        <v>63</v>
      </c>
      <c r="N84" s="22" t="s">
        <v>63</v>
      </c>
      <c r="O84" s="22" t="s">
        <v>63</v>
      </c>
      <c r="P84" s="22" t="s">
        <v>63</v>
      </c>
    </row>
    <row r="85" ht="20" customHeight="1" spans="1:16" s="23" customFormat="1" x14ac:dyDescent="0.25">
      <c r="A85" s="24" t="s">
        <v>382</v>
      </c>
      <c r="B85" s="24" t="s">
        <v>373</v>
      </c>
      <c r="C85" s="24" t="s">
        <v>383</v>
      </c>
      <c r="D85" s="24" t="s">
        <v>373</v>
      </c>
      <c r="E85" s="24" t="s">
        <v>384</v>
      </c>
      <c r="F85" s="25" t="s">
        <v>53</v>
      </c>
      <c r="G85" s="24" t="s">
        <v>105</v>
      </c>
      <c r="H85" s="24" t="s">
        <v>55</v>
      </c>
      <c r="I85" s="25" t="s">
        <v>385</v>
      </c>
      <c r="J85" s="25" t="s">
        <v>386</v>
      </c>
      <c r="K85" s="25" t="s">
        <v>387</v>
      </c>
      <c r="L85" s="25" t="s">
        <v>73</v>
      </c>
      <c r="M85" s="25" t="s">
        <v>388</v>
      </c>
      <c r="N85" s="25" t="s">
        <v>389</v>
      </c>
      <c r="O85" s="25" t="s">
        <v>390</v>
      </c>
      <c r="P85" s="25" t="s">
        <v>63</v>
      </c>
    </row>
    <row r="86" ht="20" customHeight="1" spans="1:16" x14ac:dyDescent="0.25">
      <c r="A86" s="21" t="s">
        <v>391</v>
      </c>
      <c r="B86" s="21" t="s">
        <v>373</v>
      </c>
      <c r="C86" s="21" t="s">
        <v>392</v>
      </c>
      <c r="D86" s="21" t="s">
        <v>373</v>
      </c>
      <c r="E86" s="21" t="s">
        <v>393</v>
      </c>
      <c r="F86" s="22" t="s">
        <v>53</v>
      </c>
      <c r="G86" s="21" t="s">
        <v>54</v>
      </c>
      <c r="H86" s="21" t="s">
        <v>55</v>
      </c>
      <c r="I86" s="22" t="s">
        <v>153</v>
      </c>
      <c r="J86" s="22" t="s">
        <v>57</v>
      </c>
      <c r="K86" s="22" t="s">
        <v>271</v>
      </c>
      <c r="L86" s="22" t="s">
        <v>73</v>
      </c>
      <c r="M86" s="22" t="s">
        <v>63</v>
      </c>
      <c r="N86" s="22" t="s">
        <v>63</v>
      </c>
      <c r="O86" s="22" t="s">
        <v>63</v>
      </c>
      <c r="P86" s="22" t="s">
        <v>63</v>
      </c>
    </row>
    <row r="87" ht="20" customHeight="1" spans="1:16" s="23" customFormat="1" x14ac:dyDescent="0.25">
      <c r="A87" s="24" t="s">
        <v>394</v>
      </c>
      <c r="B87" s="24" t="s">
        <v>373</v>
      </c>
      <c r="C87" s="24" t="s">
        <v>126</v>
      </c>
      <c r="D87" s="24" t="s">
        <v>364</v>
      </c>
      <c r="E87" s="24" t="s">
        <v>365</v>
      </c>
      <c r="F87" s="25" t="s">
        <v>53</v>
      </c>
      <c r="G87" s="24" t="s">
        <v>54</v>
      </c>
      <c r="H87" s="24" t="s">
        <v>55</v>
      </c>
      <c r="I87" s="25" t="s">
        <v>360</v>
      </c>
      <c r="J87" s="25" t="s">
        <v>57</v>
      </c>
      <c r="K87" s="25" t="s">
        <v>81</v>
      </c>
      <c r="L87" s="25" t="s">
        <v>73</v>
      </c>
      <c r="M87" s="25" t="s">
        <v>63</v>
      </c>
      <c r="N87" s="25" t="s">
        <v>63</v>
      </c>
      <c r="O87" s="25" t="s">
        <v>63</v>
      </c>
      <c r="P87" s="25" t="s">
        <v>63</v>
      </c>
    </row>
    <row r="88" ht="20" customHeight="1" spans="1:16" x14ac:dyDescent="0.25">
      <c r="A88" s="21" t="s">
        <v>395</v>
      </c>
      <c r="B88" s="21" t="s">
        <v>373</v>
      </c>
      <c r="C88" s="21" t="s">
        <v>396</v>
      </c>
      <c r="D88" s="21" t="s">
        <v>364</v>
      </c>
      <c r="E88" s="21" t="s">
        <v>396</v>
      </c>
      <c r="F88" s="22" t="s">
        <v>53</v>
      </c>
      <c r="G88" s="21" t="s">
        <v>131</v>
      </c>
      <c r="H88" s="21" t="s">
        <v>55</v>
      </c>
      <c r="I88" s="22" t="s">
        <v>153</v>
      </c>
      <c r="J88" s="22" t="s">
        <v>57</v>
      </c>
      <c r="K88" s="22" t="s">
        <v>271</v>
      </c>
      <c r="L88" s="22" t="s">
        <v>397</v>
      </c>
      <c r="M88" s="22" t="s">
        <v>63</v>
      </c>
      <c r="N88" s="22" t="s">
        <v>63</v>
      </c>
      <c r="O88" s="22" t="s">
        <v>63</v>
      </c>
      <c r="P88" s="22" t="s">
        <v>63</v>
      </c>
    </row>
    <row r="89" ht="20" customHeight="1" spans="1:16" s="23" customFormat="1" x14ac:dyDescent="0.25">
      <c r="A89" s="24" t="s">
        <v>395</v>
      </c>
      <c r="B89" s="24" t="s">
        <v>373</v>
      </c>
      <c r="C89" s="24" t="s">
        <v>398</v>
      </c>
      <c r="D89" s="24" t="s">
        <v>399</v>
      </c>
      <c r="E89" s="24" t="s">
        <v>400</v>
      </c>
      <c r="F89" s="25" t="s">
        <v>53</v>
      </c>
      <c r="G89" s="24" t="s">
        <v>105</v>
      </c>
      <c r="H89" s="24" t="s">
        <v>55</v>
      </c>
      <c r="I89" s="25" t="s">
        <v>153</v>
      </c>
      <c r="J89" s="25" t="s">
        <v>57</v>
      </c>
      <c r="K89" s="25" t="s">
        <v>271</v>
      </c>
      <c r="L89" s="25" t="s">
        <v>397</v>
      </c>
      <c r="M89" s="25" t="s">
        <v>63</v>
      </c>
      <c r="N89" s="25" t="s">
        <v>63</v>
      </c>
      <c r="O89" s="25" t="s">
        <v>63</v>
      </c>
      <c r="P89" s="25" t="s">
        <v>63</v>
      </c>
    </row>
    <row r="90" ht="20" customHeight="1" spans="1:16" x14ac:dyDescent="0.25">
      <c r="A90" s="21" t="s">
        <v>401</v>
      </c>
      <c r="B90" s="21" t="s">
        <v>364</v>
      </c>
      <c r="C90" s="21" t="s">
        <v>164</v>
      </c>
      <c r="D90" s="21" t="s">
        <v>399</v>
      </c>
      <c r="E90" s="21" t="s">
        <v>402</v>
      </c>
      <c r="F90" s="22" t="s">
        <v>53</v>
      </c>
      <c r="G90" s="21" t="s">
        <v>54</v>
      </c>
      <c r="H90" s="21" t="s">
        <v>55</v>
      </c>
      <c r="I90" s="22" t="s">
        <v>80</v>
      </c>
      <c r="J90" s="22" t="s">
        <v>57</v>
      </c>
      <c r="K90" s="22" t="s">
        <v>403</v>
      </c>
      <c r="L90" s="22" t="s">
        <v>404</v>
      </c>
      <c r="M90" s="22" t="s">
        <v>63</v>
      </c>
      <c r="N90" s="22" t="s">
        <v>63</v>
      </c>
      <c r="O90" s="22" t="s">
        <v>63</v>
      </c>
      <c r="P90" s="22" t="s">
        <v>63</v>
      </c>
    </row>
    <row r="91" ht="20" customHeight="1" spans="1:16" s="23" customFormat="1" x14ac:dyDescent="0.25">
      <c r="A91" s="24" t="s">
        <v>405</v>
      </c>
      <c r="B91" s="24" t="s">
        <v>364</v>
      </c>
      <c r="C91" s="24" t="s">
        <v>398</v>
      </c>
      <c r="D91" s="24" t="s">
        <v>399</v>
      </c>
      <c r="E91" s="24" t="s">
        <v>400</v>
      </c>
      <c r="F91" s="25" t="s">
        <v>53</v>
      </c>
      <c r="G91" s="24" t="s">
        <v>131</v>
      </c>
      <c r="H91" s="24" t="s">
        <v>55</v>
      </c>
      <c r="I91" s="25" t="s">
        <v>113</v>
      </c>
      <c r="J91" s="25" t="s">
        <v>57</v>
      </c>
      <c r="K91" s="25" t="s">
        <v>406</v>
      </c>
      <c r="L91" s="25" t="s">
        <v>307</v>
      </c>
      <c r="M91" s="25" t="s">
        <v>63</v>
      </c>
      <c r="N91" s="25" t="s">
        <v>63</v>
      </c>
      <c r="O91" s="25" t="s">
        <v>63</v>
      </c>
      <c r="P91" s="25" t="s">
        <v>63</v>
      </c>
    </row>
    <row r="92" ht="20" customHeight="1" spans="1:16" x14ac:dyDescent="0.25">
      <c r="A92" s="21" t="s">
        <v>401</v>
      </c>
      <c r="B92" s="21" t="s">
        <v>364</v>
      </c>
      <c r="C92" s="21" t="s">
        <v>398</v>
      </c>
      <c r="D92" s="21" t="s">
        <v>399</v>
      </c>
      <c r="E92" s="21" t="s">
        <v>407</v>
      </c>
      <c r="F92" s="22" t="s">
        <v>137</v>
      </c>
      <c r="G92" s="21" t="s">
        <v>166</v>
      </c>
      <c r="H92" s="21" t="s">
        <v>139</v>
      </c>
      <c r="I92" s="22" t="s">
        <v>71</v>
      </c>
      <c r="J92" s="22" t="s">
        <v>57</v>
      </c>
      <c r="K92" s="22" t="s">
        <v>81</v>
      </c>
      <c r="L92" s="22" t="s">
        <v>73</v>
      </c>
      <c r="M92" s="22" t="s">
        <v>63</v>
      </c>
      <c r="N92" s="22" t="s">
        <v>63</v>
      </c>
      <c r="O92" s="22" t="s">
        <v>63</v>
      </c>
      <c r="P92" s="22" t="s">
        <v>63</v>
      </c>
    </row>
    <row r="93" ht="20" customHeight="1" spans="1:16" s="23" customFormat="1" x14ac:dyDescent="0.25">
      <c r="A93" s="24" t="s">
        <v>408</v>
      </c>
      <c r="B93" s="24" t="s">
        <v>364</v>
      </c>
      <c r="C93" s="24" t="s">
        <v>396</v>
      </c>
      <c r="D93" s="24" t="s">
        <v>399</v>
      </c>
      <c r="E93" s="24" t="s">
        <v>409</v>
      </c>
      <c r="F93" s="25" t="s">
        <v>68</v>
      </c>
      <c r="G93" s="24" t="s">
        <v>69</v>
      </c>
      <c r="H93" s="24" t="s">
        <v>70</v>
      </c>
      <c r="I93" s="25" t="s">
        <v>71</v>
      </c>
      <c r="J93" s="25" t="s">
        <v>57</v>
      </c>
      <c r="K93" s="25" t="s">
        <v>81</v>
      </c>
      <c r="L93" s="25" t="s">
        <v>73</v>
      </c>
      <c r="M93" s="25" t="s">
        <v>63</v>
      </c>
      <c r="N93" s="25" t="s">
        <v>63</v>
      </c>
      <c r="O93" s="25" t="s">
        <v>63</v>
      </c>
      <c r="P93" s="25" t="s">
        <v>63</v>
      </c>
    </row>
    <row r="94" ht="20" customHeight="1" spans="1:16" x14ac:dyDescent="0.25">
      <c r="A94" s="21" t="s">
        <v>410</v>
      </c>
      <c r="B94" s="21" t="s">
        <v>364</v>
      </c>
      <c r="C94" s="21" t="s">
        <v>313</v>
      </c>
      <c r="D94" s="21" t="s">
        <v>364</v>
      </c>
      <c r="E94" s="21" t="s">
        <v>244</v>
      </c>
      <c r="F94" s="22" t="s">
        <v>85</v>
      </c>
      <c r="G94" s="21" t="s">
        <v>86</v>
      </c>
      <c r="H94" s="21" t="s">
        <v>87</v>
      </c>
      <c r="I94" s="22" t="s">
        <v>100</v>
      </c>
      <c r="J94" s="22" t="s">
        <v>57</v>
      </c>
      <c r="K94" s="22" t="s">
        <v>247</v>
      </c>
      <c r="L94" s="22" t="s">
        <v>73</v>
      </c>
      <c r="M94" s="22" t="s">
        <v>354</v>
      </c>
      <c r="N94" s="22" t="s">
        <v>355</v>
      </c>
      <c r="O94" s="22" t="s">
        <v>411</v>
      </c>
      <c r="P94" s="22" t="s">
        <v>412</v>
      </c>
    </row>
    <row r="95" ht="20" customHeight="1" spans="1:16" s="23" customFormat="1" x14ac:dyDescent="0.25">
      <c r="A95" s="24" t="s">
        <v>413</v>
      </c>
      <c r="B95" s="24" t="s">
        <v>364</v>
      </c>
      <c r="C95" s="24" t="s">
        <v>414</v>
      </c>
      <c r="D95" s="24" t="s">
        <v>415</v>
      </c>
      <c r="E95" s="24" t="s">
        <v>414</v>
      </c>
      <c r="F95" s="25" t="s">
        <v>53</v>
      </c>
      <c r="G95" s="24" t="s">
        <v>105</v>
      </c>
      <c r="H95" s="24" t="s">
        <v>55</v>
      </c>
      <c r="I95" s="25" t="s">
        <v>181</v>
      </c>
      <c r="J95" s="25" t="s">
        <v>57</v>
      </c>
      <c r="K95" s="25" t="s">
        <v>330</v>
      </c>
      <c r="L95" s="25" t="s">
        <v>331</v>
      </c>
      <c r="M95" s="25" t="s">
        <v>388</v>
      </c>
      <c r="N95" s="25" t="s">
        <v>389</v>
      </c>
      <c r="O95" s="25" t="s">
        <v>416</v>
      </c>
      <c r="P95" s="25" t="s">
        <v>236</v>
      </c>
    </row>
    <row r="96" ht="20" customHeight="1" spans="1:16" x14ac:dyDescent="0.25">
      <c r="A96" s="21" t="s">
        <v>417</v>
      </c>
      <c r="B96" s="21" t="s">
        <v>399</v>
      </c>
      <c r="C96" s="21" t="s">
        <v>418</v>
      </c>
      <c r="D96" s="21" t="s">
        <v>399</v>
      </c>
      <c r="E96" s="21" t="s">
        <v>419</v>
      </c>
      <c r="F96" s="22" t="s">
        <v>53</v>
      </c>
      <c r="G96" s="21" t="s">
        <v>105</v>
      </c>
      <c r="H96" s="21" t="s">
        <v>55</v>
      </c>
      <c r="I96" s="22" t="s">
        <v>420</v>
      </c>
      <c r="J96" s="22" t="s">
        <v>57</v>
      </c>
      <c r="K96" s="22" t="s">
        <v>330</v>
      </c>
      <c r="L96" s="22" t="s">
        <v>73</v>
      </c>
      <c r="M96" s="22" t="s">
        <v>63</v>
      </c>
      <c r="N96" s="22" t="s">
        <v>63</v>
      </c>
      <c r="O96" s="22" t="s">
        <v>63</v>
      </c>
      <c r="P96" s="22" t="s">
        <v>421</v>
      </c>
    </row>
    <row r="97" ht="20" customHeight="1" spans="1:16" s="23" customFormat="1" x14ac:dyDescent="0.25">
      <c r="A97" s="24" t="s">
        <v>422</v>
      </c>
      <c r="B97" s="24" t="s">
        <v>399</v>
      </c>
      <c r="C97" s="24" t="s">
        <v>423</v>
      </c>
      <c r="D97" s="24" t="s">
        <v>399</v>
      </c>
      <c r="E97" s="24" t="s">
        <v>409</v>
      </c>
      <c r="F97" s="25" t="s">
        <v>68</v>
      </c>
      <c r="G97" s="24" t="s">
        <v>69</v>
      </c>
      <c r="H97" s="24" t="s">
        <v>70</v>
      </c>
      <c r="I97" s="25" t="s">
        <v>160</v>
      </c>
      <c r="J97" s="25" t="s">
        <v>57</v>
      </c>
      <c r="K97" s="25" t="s">
        <v>424</v>
      </c>
      <c r="L97" s="25" t="s">
        <v>425</v>
      </c>
      <c r="M97" s="25" t="s">
        <v>160</v>
      </c>
      <c r="N97" s="25" t="s">
        <v>426</v>
      </c>
      <c r="O97" s="25" t="s">
        <v>427</v>
      </c>
      <c r="P97" s="25" t="s">
        <v>63</v>
      </c>
    </row>
    <row r="98" ht="20" customHeight="1" spans="1:16" x14ac:dyDescent="0.25">
      <c r="A98" s="21" t="s">
        <v>428</v>
      </c>
      <c r="B98" s="21" t="s">
        <v>399</v>
      </c>
      <c r="C98" s="21" t="s">
        <v>429</v>
      </c>
      <c r="D98" s="21" t="s">
        <v>399</v>
      </c>
      <c r="E98" s="21" t="s">
        <v>407</v>
      </c>
      <c r="F98" s="22" t="s">
        <v>137</v>
      </c>
      <c r="G98" s="21" t="s">
        <v>166</v>
      </c>
      <c r="H98" s="21" t="s">
        <v>139</v>
      </c>
      <c r="I98" s="22" t="s">
        <v>430</v>
      </c>
      <c r="J98" s="22" t="s">
        <v>57</v>
      </c>
      <c r="K98" s="22" t="s">
        <v>431</v>
      </c>
      <c r="L98" s="22" t="s">
        <v>432</v>
      </c>
      <c r="M98" s="22" t="s">
        <v>60</v>
      </c>
      <c r="N98" s="22" t="s">
        <v>61</v>
      </c>
      <c r="O98" s="22" t="s">
        <v>433</v>
      </c>
      <c r="P98" s="22" t="s">
        <v>63</v>
      </c>
    </row>
    <row r="99" ht="20" customHeight="1" spans="1:16" s="23" customFormat="1" x14ac:dyDescent="0.25">
      <c r="A99" s="24" t="s">
        <v>434</v>
      </c>
      <c r="B99" s="24" t="s">
        <v>399</v>
      </c>
      <c r="C99" s="24" t="s">
        <v>435</v>
      </c>
      <c r="D99" s="24" t="s">
        <v>415</v>
      </c>
      <c r="E99" s="24" t="s">
        <v>414</v>
      </c>
      <c r="F99" s="25" t="s">
        <v>436</v>
      </c>
      <c r="G99" s="24" t="s">
        <v>437</v>
      </c>
      <c r="H99" s="24" t="s">
        <v>438</v>
      </c>
      <c r="I99" s="25" t="s">
        <v>71</v>
      </c>
      <c r="J99" s="25" t="s">
        <v>57</v>
      </c>
      <c r="K99" s="25" t="s">
        <v>439</v>
      </c>
      <c r="L99" s="25" t="s">
        <v>425</v>
      </c>
      <c r="M99" s="25" t="s">
        <v>63</v>
      </c>
      <c r="N99" s="25" t="s">
        <v>63</v>
      </c>
      <c r="O99" s="25" t="s">
        <v>63</v>
      </c>
      <c r="P99" s="25" t="s">
        <v>63</v>
      </c>
    </row>
    <row r="100" ht="20" customHeight="1" spans="1:16" x14ac:dyDescent="0.25">
      <c r="A100" s="21" t="s">
        <v>440</v>
      </c>
      <c r="B100" s="21" t="s">
        <v>399</v>
      </c>
      <c r="C100" s="21" t="s">
        <v>441</v>
      </c>
      <c r="D100" s="21" t="s">
        <v>399</v>
      </c>
      <c r="E100" s="21" t="s">
        <v>442</v>
      </c>
      <c r="F100" s="22" t="s">
        <v>53</v>
      </c>
      <c r="G100" s="21" t="s">
        <v>105</v>
      </c>
      <c r="H100" s="21" t="s">
        <v>55</v>
      </c>
      <c r="I100" s="22" t="s">
        <v>100</v>
      </c>
      <c r="J100" s="22" t="s">
        <v>57</v>
      </c>
      <c r="K100" s="22" t="s">
        <v>260</v>
      </c>
      <c r="L100" s="22" t="s">
        <v>73</v>
      </c>
      <c r="M100" s="22" t="s">
        <v>63</v>
      </c>
      <c r="N100" s="22" t="s">
        <v>63</v>
      </c>
      <c r="O100" s="22" t="s">
        <v>63</v>
      </c>
      <c r="P100" s="22" t="s">
        <v>63</v>
      </c>
    </row>
    <row r="101" ht="20" customHeight="1" spans="1:16" s="23" customFormat="1" x14ac:dyDescent="0.25">
      <c r="A101" s="24" t="s">
        <v>443</v>
      </c>
      <c r="B101" s="24" t="s">
        <v>399</v>
      </c>
      <c r="C101" s="24" t="s">
        <v>444</v>
      </c>
      <c r="D101" s="24" t="s">
        <v>399</v>
      </c>
      <c r="E101" s="24" t="s">
        <v>445</v>
      </c>
      <c r="F101" s="25" t="s">
        <v>85</v>
      </c>
      <c r="G101" s="24" t="s">
        <v>86</v>
      </c>
      <c r="H101" s="24" t="s">
        <v>87</v>
      </c>
      <c r="I101" s="25" t="s">
        <v>100</v>
      </c>
      <c r="J101" s="25" t="s">
        <v>57</v>
      </c>
      <c r="K101" s="25" t="s">
        <v>81</v>
      </c>
      <c r="L101" s="25" t="s">
        <v>73</v>
      </c>
      <c r="M101" s="25" t="s">
        <v>63</v>
      </c>
      <c r="N101" s="25" t="s">
        <v>63</v>
      </c>
      <c r="O101" s="25" t="s">
        <v>63</v>
      </c>
      <c r="P101" s="25" t="s">
        <v>63</v>
      </c>
    </row>
    <row r="102" ht="20" customHeight="1" spans="1:16" x14ac:dyDescent="0.25">
      <c r="A102" s="21" t="s">
        <v>446</v>
      </c>
      <c r="B102" s="21" t="s">
        <v>399</v>
      </c>
      <c r="C102" s="21" t="s">
        <v>447</v>
      </c>
      <c r="D102" s="21" t="s">
        <v>399</v>
      </c>
      <c r="E102" s="21" t="s">
        <v>238</v>
      </c>
      <c r="F102" s="22" t="s">
        <v>53</v>
      </c>
      <c r="G102" s="21" t="s">
        <v>54</v>
      </c>
      <c r="H102" s="21" t="s">
        <v>55</v>
      </c>
      <c r="I102" s="22" t="s">
        <v>80</v>
      </c>
      <c r="J102" s="22" t="s">
        <v>57</v>
      </c>
      <c r="K102" s="22" t="s">
        <v>81</v>
      </c>
      <c r="L102" s="22" t="s">
        <v>73</v>
      </c>
      <c r="M102" s="22" t="s">
        <v>354</v>
      </c>
      <c r="N102" s="22" t="s">
        <v>355</v>
      </c>
      <c r="O102" s="22" t="s">
        <v>448</v>
      </c>
      <c r="P102" s="22" t="s">
        <v>63</v>
      </c>
    </row>
    <row r="103" ht="20" customHeight="1" spans="1:16" s="23" customFormat="1" x14ac:dyDescent="0.25">
      <c r="A103" s="24" t="s">
        <v>449</v>
      </c>
      <c r="B103" s="24" t="s">
        <v>399</v>
      </c>
      <c r="C103" s="24" t="s">
        <v>450</v>
      </c>
      <c r="D103" s="24" t="s">
        <v>399</v>
      </c>
      <c r="E103" s="24" t="s">
        <v>451</v>
      </c>
      <c r="F103" s="25" t="s">
        <v>85</v>
      </c>
      <c r="G103" s="24" t="s">
        <v>86</v>
      </c>
      <c r="H103" s="24" t="s">
        <v>87</v>
      </c>
      <c r="I103" s="25" t="s">
        <v>100</v>
      </c>
      <c r="J103" s="25" t="s">
        <v>57</v>
      </c>
      <c r="K103" s="25" t="s">
        <v>279</v>
      </c>
      <c r="L103" s="25" t="s">
        <v>73</v>
      </c>
      <c r="M103" s="25" t="s">
        <v>354</v>
      </c>
      <c r="N103" s="25" t="s">
        <v>355</v>
      </c>
      <c r="O103" s="25" t="s">
        <v>452</v>
      </c>
      <c r="P103" s="25" t="s">
        <v>63</v>
      </c>
    </row>
    <row r="104" ht="20" customHeight="1" spans="1:16" x14ac:dyDescent="0.25">
      <c r="A104" s="21" t="s">
        <v>453</v>
      </c>
      <c r="B104" s="21" t="s">
        <v>399</v>
      </c>
      <c r="C104" s="21" t="s">
        <v>454</v>
      </c>
      <c r="D104" s="21" t="s">
        <v>399</v>
      </c>
      <c r="E104" s="21" t="s">
        <v>455</v>
      </c>
      <c r="F104" s="22" t="s">
        <v>53</v>
      </c>
      <c r="G104" s="21" t="s">
        <v>105</v>
      </c>
      <c r="H104" s="21" t="s">
        <v>55</v>
      </c>
      <c r="I104" s="22" t="s">
        <v>160</v>
      </c>
      <c r="J104" s="22" t="s">
        <v>57</v>
      </c>
      <c r="K104" s="22" t="s">
        <v>456</v>
      </c>
      <c r="L104" s="22" t="s">
        <v>73</v>
      </c>
      <c r="M104" s="22" t="s">
        <v>160</v>
      </c>
      <c r="N104" s="22" t="s">
        <v>426</v>
      </c>
      <c r="O104" s="22" t="s">
        <v>457</v>
      </c>
      <c r="P104" s="22" t="s">
        <v>63</v>
      </c>
    </row>
    <row r="105" ht="20" customHeight="1" spans="1:16" s="23" customFormat="1" x14ac:dyDescent="0.25">
      <c r="A105" s="24" t="s">
        <v>458</v>
      </c>
      <c r="B105" s="24" t="s">
        <v>399</v>
      </c>
      <c r="C105" s="24" t="s">
        <v>414</v>
      </c>
      <c r="D105" s="24" t="s">
        <v>415</v>
      </c>
      <c r="E105" s="24" t="s">
        <v>414</v>
      </c>
      <c r="F105" s="25" t="s">
        <v>53</v>
      </c>
      <c r="G105" s="24" t="s">
        <v>105</v>
      </c>
      <c r="H105" s="24" t="s">
        <v>55</v>
      </c>
      <c r="I105" s="25" t="s">
        <v>153</v>
      </c>
      <c r="J105" s="25" t="s">
        <v>57</v>
      </c>
      <c r="K105" s="25" t="s">
        <v>195</v>
      </c>
      <c r="L105" s="25" t="s">
        <v>73</v>
      </c>
      <c r="M105" s="25" t="s">
        <v>160</v>
      </c>
      <c r="N105" s="25" t="s">
        <v>426</v>
      </c>
      <c r="O105" s="25" t="s">
        <v>459</v>
      </c>
      <c r="P105" s="25" t="s">
        <v>63</v>
      </c>
    </row>
    <row r="106" ht="20" customHeight="1" spans="1:16" x14ac:dyDescent="0.25">
      <c r="A106" s="21" t="s">
        <v>460</v>
      </c>
      <c r="B106" s="21" t="s">
        <v>415</v>
      </c>
      <c r="C106" s="21" t="s">
        <v>378</v>
      </c>
      <c r="D106" s="21" t="s">
        <v>415</v>
      </c>
      <c r="E106" s="21" t="s">
        <v>461</v>
      </c>
      <c r="F106" s="22" t="s">
        <v>137</v>
      </c>
      <c r="G106" s="21" t="s">
        <v>166</v>
      </c>
      <c r="H106" s="21" t="s">
        <v>139</v>
      </c>
      <c r="I106" s="22" t="s">
        <v>71</v>
      </c>
      <c r="J106" s="22" t="s">
        <v>57</v>
      </c>
      <c r="K106" s="22" t="s">
        <v>462</v>
      </c>
      <c r="L106" s="22" t="s">
        <v>463</v>
      </c>
      <c r="M106" s="22" t="s">
        <v>464</v>
      </c>
      <c r="N106" s="22" t="s">
        <v>465</v>
      </c>
      <c r="O106" s="22" t="s">
        <v>63</v>
      </c>
      <c r="P106" s="22" t="s">
        <v>63</v>
      </c>
    </row>
    <row r="107" ht="20" customHeight="1" spans="1:16" s="23" customFormat="1" x14ac:dyDescent="0.25">
      <c r="A107" s="24" t="s">
        <v>466</v>
      </c>
      <c r="B107" s="24" t="s">
        <v>415</v>
      </c>
      <c r="C107" s="24" t="s">
        <v>467</v>
      </c>
      <c r="D107" s="24" t="s">
        <v>415</v>
      </c>
      <c r="E107" s="24" t="s">
        <v>468</v>
      </c>
      <c r="F107" s="25" t="s">
        <v>53</v>
      </c>
      <c r="G107" s="24" t="s">
        <v>54</v>
      </c>
      <c r="H107" s="24" t="s">
        <v>55</v>
      </c>
      <c r="I107" s="25" t="s">
        <v>80</v>
      </c>
      <c r="J107" s="25" t="s">
        <v>57</v>
      </c>
      <c r="K107" s="25" t="s">
        <v>147</v>
      </c>
      <c r="L107" s="25" t="s">
        <v>353</v>
      </c>
      <c r="M107" s="25" t="s">
        <v>388</v>
      </c>
      <c r="N107" s="25" t="s">
        <v>389</v>
      </c>
      <c r="O107" s="25" t="s">
        <v>469</v>
      </c>
      <c r="P107" s="25" t="s">
        <v>63</v>
      </c>
    </row>
    <row r="108" ht="20" customHeight="1" spans="1:16" x14ac:dyDescent="0.25">
      <c r="A108" s="21" t="s">
        <v>470</v>
      </c>
      <c r="B108" s="21" t="s">
        <v>415</v>
      </c>
      <c r="C108" s="21" t="s">
        <v>471</v>
      </c>
      <c r="D108" s="21" t="s">
        <v>415</v>
      </c>
      <c r="E108" s="21" t="s">
        <v>472</v>
      </c>
      <c r="F108" s="22" t="s">
        <v>68</v>
      </c>
      <c r="G108" s="21" t="s">
        <v>69</v>
      </c>
      <c r="H108" s="21" t="s">
        <v>70</v>
      </c>
      <c r="I108" s="22" t="s">
        <v>233</v>
      </c>
      <c r="J108" s="22" t="s">
        <v>57</v>
      </c>
      <c r="K108" s="22" t="s">
        <v>123</v>
      </c>
      <c r="L108" s="22" t="s">
        <v>425</v>
      </c>
      <c r="M108" s="22" t="s">
        <v>388</v>
      </c>
      <c r="N108" s="22" t="s">
        <v>389</v>
      </c>
      <c r="O108" s="22" t="s">
        <v>473</v>
      </c>
      <c r="P108" s="22" t="s">
        <v>63</v>
      </c>
    </row>
    <row r="109" ht="20" customHeight="1" spans="1:16" s="23" customFormat="1" x14ac:dyDescent="0.25">
      <c r="A109" s="24" t="s">
        <v>474</v>
      </c>
      <c r="B109" s="24" t="s">
        <v>415</v>
      </c>
      <c r="C109" s="24" t="s">
        <v>475</v>
      </c>
      <c r="D109" s="24" t="s">
        <v>415</v>
      </c>
      <c r="E109" s="24" t="s">
        <v>476</v>
      </c>
      <c r="F109" s="25" t="s">
        <v>85</v>
      </c>
      <c r="G109" s="24" t="s">
        <v>86</v>
      </c>
      <c r="H109" s="24" t="s">
        <v>87</v>
      </c>
      <c r="I109" s="25" t="s">
        <v>100</v>
      </c>
      <c r="J109" s="25" t="s">
        <v>57</v>
      </c>
      <c r="K109" s="25" t="s">
        <v>477</v>
      </c>
      <c r="L109" s="25" t="s">
        <v>478</v>
      </c>
      <c r="M109" s="25" t="s">
        <v>63</v>
      </c>
      <c r="N109" s="25" t="s">
        <v>63</v>
      </c>
      <c r="O109" s="25" t="s">
        <v>63</v>
      </c>
      <c r="P109" s="25" t="s">
        <v>63</v>
      </c>
    </row>
    <row r="110" ht="20" customHeight="1" spans="1:16" x14ac:dyDescent="0.25">
      <c r="A110" s="21" t="s">
        <v>479</v>
      </c>
      <c r="B110" s="21" t="s">
        <v>415</v>
      </c>
      <c r="C110" s="21" t="s">
        <v>476</v>
      </c>
      <c r="D110" s="21" t="s">
        <v>415</v>
      </c>
      <c r="E110" s="21" t="s">
        <v>480</v>
      </c>
      <c r="F110" s="22" t="s">
        <v>53</v>
      </c>
      <c r="G110" s="21" t="s">
        <v>481</v>
      </c>
      <c r="H110" s="21" t="s">
        <v>55</v>
      </c>
      <c r="I110" s="22" t="s">
        <v>482</v>
      </c>
      <c r="J110" s="22" t="s">
        <v>57</v>
      </c>
      <c r="K110" s="22" t="s">
        <v>477</v>
      </c>
      <c r="L110" s="22" t="s">
        <v>483</v>
      </c>
      <c r="M110" s="22" t="s">
        <v>464</v>
      </c>
      <c r="N110" s="22" t="s">
        <v>465</v>
      </c>
      <c r="O110" s="22" t="s">
        <v>484</v>
      </c>
      <c r="P110" s="22" t="s">
        <v>485</v>
      </c>
    </row>
    <row r="111" ht="20" customHeight="1" spans="1:16" s="23" customFormat="1" x14ac:dyDescent="0.25">
      <c r="A111" s="24" t="s">
        <v>486</v>
      </c>
      <c r="B111" s="24" t="s">
        <v>415</v>
      </c>
      <c r="C111" s="24" t="s">
        <v>347</v>
      </c>
      <c r="D111" s="24" t="s">
        <v>415</v>
      </c>
      <c r="E111" s="24" t="s">
        <v>487</v>
      </c>
      <c r="F111" s="25" t="s">
        <v>53</v>
      </c>
      <c r="G111" s="24" t="s">
        <v>54</v>
      </c>
      <c r="H111" s="24" t="s">
        <v>55</v>
      </c>
      <c r="I111" s="25" t="s">
        <v>181</v>
      </c>
      <c r="J111" s="25" t="s">
        <v>57</v>
      </c>
      <c r="K111" s="25" t="s">
        <v>330</v>
      </c>
      <c r="L111" s="25" t="s">
        <v>331</v>
      </c>
      <c r="M111" s="25" t="s">
        <v>464</v>
      </c>
      <c r="N111" s="25" t="s">
        <v>465</v>
      </c>
      <c r="O111" s="25" t="s">
        <v>63</v>
      </c>
      <c r="P111" s="25" t="s">
        <v>488</v>
      </c>
    </row>
    <row r="112" ht="20" customHeight="1" spans="1:16" x14ac:dyDescent="0.25">
      <c r="A112" s="21" t="s">
        <v>489</v>
      </c>
      <c r="B112" s="21" t="s">
        <v>490</v>
      </c>
      <c r="C112" s="21" t="s">
        <v>491</v>
      </c>
      <c r="D112" s="21" t="s">
        <v>490</v>
      </c>
      <c r="E112" s="21" t="s">
        <v>492</v>
      </c>
      <c r="F112" s="22" t="s">
        <v>53</v>
      </c>
      <c r="G112" s="21" t="s">
        <v>54</v>
      </c>
      <c r="H112" s="21" t="s">
        <v>55</v>
      </c>
      <c r="I112" s="22" t="s">
        <v>307</v>
      </c>
      <c r="J112" s="22" t="s">
        <v>57</v>
      </c>
      <c r="K112" s="22" t="s">
        <v>330</v>
      </c>
      <c r="L112" s="22" t="s">
        <v>73</v>
      </c>
      <c r="M112" s="22" t="s">
        <v>464</v>
      </c>
      <c r="N112" s="22" t="s">
        <v>465</v>
      </c>
      <c r="O112" s="22" t="s">
        <v>493</v>
      </c>
      <c r="P112" s="22" t="s">
        <v>494</v>
      </c>
    </row>
    <row r="113" ht="20" customHeight="1" spans="1:16" s="23" customFormat="1" x14ac:dyDescent="0.25">
      <c r="A113" s="24" t="s">
        <v>495</v>
      </c>
      <c r="B113" s="24" t="s">
        <v>490</v>
      </c>
      <c r="C113" s="24" t="s">
        <v>496</v>
      </c>
      <c r="D113" s="24" t="s">
        <v>490</v>
      </c>
      <c r="E113" s="24" t="s">
        <v>497</v>
      </c>
      <c r="F113" s="25" t="s">
        <v>137</v>
      </c>
      <c r="G113" s="24" t="s">
        <v>166</v>
      </c>
      <c r="H113" s="24" t="s">
        <v>139</v>
      </c>
      <c r="I113" s="25" t="s">
        <v>71</v>
      </c>
      <c r="J113" s="25" t="s">
        <v>57</v>
      </c>
      <c r="K113" s="25" t="s">
        <v>498</v>
      </c>
      <c r="L113" s="25" t="s">
        <v>73</v>
      </c>
      <c r="M113" s="25" t="s">
        <v>499</v>
      </c>
      <c r="N113" s="25" t="s">
        <v>465</v>
      </c>
      <c r="O113" s="25" t="s">
        <v>500</v>
      </c>
      <c r="P113" s="25" t="s">
        <v>63</v>
      </c>
    </row>
    <row r="114" ht="20" customHeight="1" spans="1:16" x14ac:dyDescent="0.25">
      <c r="A114" s="21" t="s">
        <v>501</v>
      </c>
      <c r="B114" s="21" t="s">
        <v>490</v>
      </c>
      <c r="C114" s="21" t="s">
        <v>502</v>
      </c>
      <c r="D114" s="21" t="s">
        <v>503</v>
      </c>
      <c r="E114" s="21" t="s">
        <v>504</v>
      </c>
      <c r="F114" s="22" t="s">
        <v>68</v>
      </c>
      <c r="G114" s="21" t="s">
        <v>69</v>
      </c>
      <c r="H114" s="21" t="s">
        <v>70</v>
      </c>
      <c r="I114" s="22" t="s">
        <v>505</v>
      </c>
      <c r="J114" s="22" t="s">
        <v>57</v>
      </c>
      <c r="K114" s="22" t="s">
        <v>506</v>
      </c>
      <c r="L114" s="22" t="s">
        <v>73</v>
      </c>
      <c r="M114" s="22" t="s">
        <v>63</v>
      </c>
      <c r="N114" s="22" t="s">
        <v>63</v>
      </c>
      <c r="O114" s="22" t="s">
        <v>63</v>
      </c>
      <c r="P114" s="22" t="s">
        <v>63</v>
      </c>
    </row>
    <row r="115" ht="20" customHeight="1" spans="1:16" s="23" customFormat="1" x14ac:dyDescent="0.25">
      <c r="A115" s="24" t="s">
        <v>507</v>
      </c>
      <c r="B115" s="24" t="s">
        <v>490</v>
      </c>
      <c r="C115" s="24" t="s">
        <v>398</v>
      </c>
      <c r="D115" s="24" t="s">
        <v>490</v>
      </c>
      <c r="E115" s="24" t="s">
        <v>508</v>
      </c>
      <c r="F115" s="25" t="s">
        <v>53</v>
      </c>
      <c r="G115" s="24" t="s">
        <v>105</v>
      </c>
      <c r="H115" s="24" t="s">
        <v>55</v>
      </c>
      <c r="I115" s="25" t="s">
        <v>385</v>
      </c>
      <c r="J115" s="25" t="s">
        <v>57</v>
      </c>
      <c r="K115" s="25" t="s">
        <v>509</v>
      </c>
      <c r="L115" s="25" t="s">
        <v>73</v>
      </c>
      <c r="M115" s="25" t="s">
        <v>63</v>
      </c>
      <c r="N115" s="25" t="s">
        <v>63</v>
      </c>
      <c r="O115" s="25" t="s">
        <v>63</v>
      </c>
      <c r="P115" s="25" t="s">
        <v>63</v>
      </c>
    </row>
    <row r="116" ht="20" customHeight="1" spans="1:16" x14ac:dyDescent="0.25">
      <c r="A116" s="21" t="s">
        <v>510</v>
      </c>
      <c r="B116" s="21" t="s">
        <v>490</v>
      </c>
      <c r="C116" s="21" t="s">
        <v>511</v>
      </c>
      <c r="D116" s="21" t="s">
        <v>503</v>
      </c>
      <c r="E116" s="21" t="s">
        <v>504</v>
      </c>
      <c r="F116" s="22" t="s">
        <v>436</v>
      </c>
      <c r="G116" s="21" t="s">
        <v>437</v>
      </c>
      <c r="H116" s="21" t="s">
        <v>438</v>
      </c>
      <c r="I116" s="22" t="s">
        <v>186</v>
      </c>
      <c r="J116" s="22" t="s">
        <v>57</v>
      </c>
      <c r="K116" s="22" t="s">
        <v>512</v>
      </c>
      <c r="L116" s="22" t="s">
        <v>513</v>
      </c>
      <c r="M116" s="22" t="s">
        <v>160</v>
      </c>
      <c r="N116" s="22" t="s">
        <v>426</v>
      </c>
      <c r="O116" s="22" t="s">
        <v>514</v>
      </c>
      <c r="P116" s="22" t="s">
        <v>63</v>
      </c>
    </row>
    <row r="117" ht="20" customHeight="1" spans="1:16" s="23" customFormat="1" x14ac:dyDescent="0.25">
      <c r="A117" s="24" t="s">
        <v>515</v>
      </c>
      <c r="B117" s="24" t="s">
        <v>490</v>
      </c>
      <c r="C117" s="24" t="s">
        <v>516</v>
      </c>
      <c r="D117" s="24" t="s">
        <v>490</v>
      </c>
      <c r="E117" s="24" t="s">
        <v>517</v>
      </c>
      <c r="F117" s="25" t="s">
        <v>53</v>
      </c>
      <c r="G117" s="24" t="s">
        <v>54</v>
      </c>
      <c r="H117" s="24" t="s">
        <v>55</v>
      </c>
      <c r="I117" s="25" t="s">
        <v>56</v>
      </c>
      <c r="J117" s="25" t="s">
        <v>57</v>
      </c>
      <c r="K117" s="25" t="s">
        <v>260</v>
      </c>
      <c r="L117" s="25" t="s">
        <v>88</v>
      </c>
      <c r="M117" s="25" t="s">
        <v>63</v>
      </c>
      <c r="N117" s="25" t="s">
        <v>63</v>
      </c>
      <c r="O117" s="25" t="s">
        <v>63</v>
      </c>
      <c r="P117" s="25" t="s">
        <v>63</v>
      </c>
    </row>
    <row r="118" ht="20" customHeight="1" spans="1:16" x14ac:dyDescent="0.25">
      <c r="A118" s="21" t="s">
        <v>518</v>
      </c>
      <c r="B118" s="21" t="s">
        <v>490</v>
      </c>
      <c r="C118" s="21" t="s">
        <v>519</v>
      </c>
      <c r="D118" s="21" t="s">
        <v>490</v>
      </c>
      <c r="E118" s="21" t="s">
        <v>520</v>
      </c>
      <c r="F118" s="22" t="s">
        <v>85</v>
      </c>
      <c r="G118" s="21" t="s">
        <v>86</v>
      </c>
      <c r="H118" s="21" t="s">
        <v>87</v>
      </c>
      <c r="I118" s="22" t="s">
        <v>80</v>
      </c>
      <c r="J118" s="22" t="s">
        <v>57</v>
      </c>
      <c r="K118" s="22" t="s">
        <v>81</v>
      </c>
      <c r="L118" s="22" t="s">
        <v>73</v>
      </c>
      <c r="M118" s="22" t="s">
        <v>63</v>
      </c>
      <c r="N118" s="22" t="s">
        <v>63</v>
      </c>
      <c r="O118" s="22" t="s">
        <v>63</v>
      </c>
      <c r="P118" s="22" t="s">
        <v>63</v>
      </c>
    </row>
    <row r="119" ht="20" customHeight="1" spans="1:16" s="23" customFormat="1" x14ac:dyDescent="0.25">
      <c r="A119" s="24" t="s">
        <v>521</v>
      </c>
      <c r="B119" s="24" t="s">
        <v>490</v>
      </c>
      <c r="C119" s="24" t="s">
        <v>522</v>
      </c>
      <c r="D119" s="24" t="s">
        <v>490</v>
      </c>
      <c r="E119" s="24" t="s">
        <v>523</v>
      </c>
      <c r="F119" s="25" t="s">
        <v>53</v>
      </c>
      <c r="G119" s="24" t="s">
        <v>54</v>
      </c>
      <c r="H119" s="24" t="s">
        <v>55</v>
      </c>
      <c r="I119" s="25" t="s">
        <v>88</v>
      </c>
      <c r="J119" s="25" t="s">
        <v>57</v>
      </c>
      <c r="K119" s="25" t="s">
        <v>217</v>
      </c>
      <c r="L119" s="25" t="s">
        <v>524</v>
      </c>
      <c r="M119" s="25" t="s">
        <v>63</v>
      </c>
      <c r="N119" s="25" t="s">
        <v>63</v>
      </c>
      <c r="O119" s="25" t="s">
        <v>63</v>
      </c>
      <c r="P119" s="25" t="s">
        <v>63</v>
      </c>
    </row>
    <row r="120" ht="20" customHeight="1" spans="1:16" x14ac:dyDescent="0.25">
      <c r="A120" s="21" t="s">
        <v>525</v>
      </c>
      <c r="B120" s="21" t="s">
        <v>490</v>
      </c>
      <c r="C120" s="21" t="s">
        <v>526</v>
      </c>
      <c r="D120" s="21" t="s">
        <v>490</v>
      </c>
      <c r="E120" s="21" t="s">
        <v>497</v>
      </c>
      <c r="F120" s="22" t="s">
        <v>53</v>
      </c>
      <c r="G120" s="21" t="s">
        <v>54</v>
      </c>
      <c r="H120" s="21" t="s">
        <v>55</v>
      </c>
      <c r="I120" s="22" t="s">
        <v>113</v>
      </c>
      <c r="J120" s="22" t="s">
        <v>57</v>
      </c>
      <c r="K120" s="22" t="s">
        <v>527</v>
      </c>
      <c r="L120" s="22" t="s">
        <v>73</v>
      </c>
      <c r="M120" s="22" t="s">
        <v>63</v>
      </c>
      <c r="N120" s="22" t="s">
        <v>63</v>
      </c>
      <c r="O120" s="22" t="s">
        <v>63</v>
      </c>
      <c r="P120" s="22" t="s">
        <v>63</v>
      </c>
    </row>
    <row r="121" ht="20" customHeight="1" spans="1:16" s="23" customFormat="1" x14ac:dyDescent="0.25">
      <c r="A121" s="24" t="s">
        <v>528</v>
      </c>
      <c r="B121" s="24" t="s">
        <v>490</v>
      </c>
      <c r="C121" s="24" t="s">
        <v>328</v>
      </c>
      <c r="D121" s="24" t="s">
        <v>503</v>
      </c>
      <c r="E121" s="24" t="s">
        <v>504</v>
      </c>
      <c r="F121" s="25" t="s">
        <v>53</v>
      </c>
      <c r="G121" s="24" t="s">
        <v>54</v>
      </c>
      <c r="H121" s="24" t="s">
        <v>55</v>
      </c>
      <c r="I121" s="25" t="s">
        <v>529</v>
      </c>
      <c r="J121" s="25" t="s">
        <v>57</v>
      </c>
      <c r="K121" s="25" t="s">
        <v>330</v>
      </c>
      <c r="L121" s="25" t="s">
        <v>73</v>
      </c>
      <c r="M121" s="25" t="s">
        <v>63</v>
      </c>
      <c r="N121" s="25" t="s">
        <v>63</v>
      </c>
      <c r="O121" s="25" t="s">
        <v>63</v>
      </c>
      <c r="P121" s="25" t="s">
        <v>63</v>
      </c>
    </row>
    <row r="122" ht="20" customHeight="1" spans="1:16" x14ac:dyDescent="0.25">
      <c r="A122" s="21" t="s">
        <v>530</v>
      </c>
      <c r="B122" s="21" t="s">
        <v>503</v>
      </c>
      <c r="C122" s="21" t="s">
        <v>504</v>
      </c>
      <c r="D122" s="21" t="s">
        <v>531</v>
      </c>
      <c r="E122" s="21" t="s">
        <v>351</v>
      </c>
      <c r="F122" s="22" t="s">
        <v>436</v>
      </c>
      <c r="G122" s="21" t="s">
        <v>532</v>
      </c>
      <c r="H122" s="21" t="s">
        <v>438</v>
      </c>
      <c r="I122" s="22" t="s">
        <v>71</v>
      </c>
      <c r="J122" s="22" t="s">
        <v>57</v>
      </c>
      <c r="K122" s="22" t="s">
        <v>533</v>
      </c>
      <c r="L122" s="22" t="s">
        <v>534</v>
      </c>
      <c r="M122" s="22" t="s">
        <v>464</v>
      </c>
      <c r="N122" s="22" t="s">
        <v>465</v>
      </c>
      <c r="O122" s="22" t="s">
        <v>535</v>
      </c>
      <c r="P122" s="22" t="s">
        <v>63</v>
      </c>
    </row>
    <row r="123" ht="20" customHeight="1" spans="1:16" s="23" customFormat="1" x14ac:dyDescent="0.25">
      <c r="A123" s="24" t="s">
        <v>536</v>
      </c>
      <c r="B123" s="24" t="s">
        <v>503</v>
      </c>
      <c r="C123" s="24" t="s">
        <v>537</v>
      </c>
      <c r="D123" s="24" t="s">
        <v>503</v>
      </c>
      <c r="E123" s="24" t="s">
        <v>165</v>
      </c>
      <c r="F123" s="25" t="s">
        <v>53</v>
      </c>
      <c r="G123" s="24" t="s">
        <v>54</v>
      </c>
      <c r="H123" s="24" t="s">
        <v>55</v>
      </c>
      <c r="I123" s="25" t="s">
        <v>331</v>
      </c>
      <c r="J123" s="25" t="s">
        <v>57</v>
      </c>
      <c r="K123" s="25" t="s">
        <v>538</v>
      </c>
      <c r="L123" s="25" t="s">
        <v>539</v>
      </c>
      <c r="M123" s="25" t="s">
        <v>63</v>
      </c>
      <c r="N123" s="25" t="s">
        <v>63</v>
      </c>
      <c r="O123" s="25" t="s">
        <v>63</v>
      </c>
      <c r="P123" s="25" t="s">
        <v>63</v>
      </c>
    </row>
    <row r="124" ht="20" customHeight="1" spans="1:16" x14ac:dyDescent="0.25">
      <c r="A124" s="21" t="s">
        <v>540</v>
      </c>
      <c r="B124" s="21" t="s">
        <v>541</v>
      </c>
      <c r="C124" s="21" t="s">
        <v>542</v>
      </c>
      <c r="D124" s="21" t="s">
        <v>531</v>
      </c>
      <c r="E124" s="21" t="s">
        <v>542</v>
      </c>
      <c r="F124" s="22" t="s">
        <v>53</v>
      </c>
      <c r="G124" s="21" t="s">
        <v>54</v>
      </c>
      <c r="H124" s="21" t="s">
        <v>55</v>
      </c>
      <c r="I124" s="22" t="s">
        <v>186</v>
      </c>
      <c r="J124" s="22" t="s">
        <v>57</v>
      </c>
      <c r="K124" s="22" t="s">
        <v>543</v>
      </c>
      <c r="L124" s="22" t="s">
        <v>73</v>
      </c>
      <c r="M124" s="22" t="s">
        <v>544</v>
      </c>
      <c r="N124" s="22" t="s">
        <v>545</v>
      </c>
      <c r="O124" s="22" t="s">
        <v>63</v>
      </c>
      <c r="P124" s="22" t="s">
        <v>332</v>
      </c>
    </row>
    <row r="125" ht="20" customHeight="1" spans="1:16" s="23" customFormat="1" x14ac:dyDescent="0.25">
      <c r="A125" s="24" t="s">
        <v>546</v>
      </c>
      <c r="B125" s="24" t="s">
        <v>541</v>
      </c>
      <c r="C125" s="24" t="s">
        <v>351</v>
      </c>
      <c r="D125" s="24" t="s">
        <v>531</v>
      </c>
      <c r="E125" s="24" t="s">
        <v>542</v>
      </c>
      <c r="F125" s="25" t="s">
        <v>137</v>
      </c>
      <c r="G125" s="24" t="s">
        <v>166</v>
      </c>
      <c r="H125" s="24" t="s">
        <v>139</v>
      </c>
      <c r="I125" s="25" t="s">
        <v>275</v>
      </c>
      <c r="J125" s="25" t="s">
        <v>57</v>
      </c>
      <c r="K125" s="25" t="s">
        <v>547</v>
      </c>
      <c r="L125" s="25" t="s">
        <v>73</v>
      </c>
      <c r="M125" s="25" t="s">
        <v>420</v>
      </c>
      <c r="N125" s="25" t="s">
        <v>465</v>
      </c>
      <c r="O125" s="25" t="s">
        <v>548</v>
      </c>
      <c r="P125" s="25" t="s">
        <v>549</v>
      </c>
    </row>
    <row r="126" ht="20" customHeight="1" spans="1:16" x14ac:dyDescent="0.25">
      <c r="A126" s="21" t="s">
        <v>550</v>
      </c>
      <c r="B126" s="21" t="s">
        <v>531</v>
      </c>
      <c r="C126" s="21" t="s">
        <v>378</v>
      </c>
      <c r="D126" s="21" t="s">
        <v>531</v>
      </c>
      <c r="E126" s="21" t="s">
        <v>551</v>
      </c>
      <c r="F126" s="22" t="s">
        <v>137</v>
      </c>
      <c r="G126" s="21" t="s">
        <v>166</v>
      </c>
      <c r="H126" s="21" t="s">
        <v>139</v>
      </c>
      <c r="I126" s="22" t="s">
        <v>71</v>
      </c>
      <c r="J126" s="22" t="s">
        <v>57</v>
      </c>
      <c r="K126" s="22" t="s">
        <v>462</v>
      </c>
      <c r="L126" s="22" t="s">
        <v>73</v>
      </c>
      <c r="M126" s="22" t="s">
        <v>354</v>
      </c>
      <c r="N126" s="22" t="s">
        <v>355</v>
      </c>
      <c r="O126" s="22" t="s">
        <v>63</v>
      </c>
      <c r="P126" s="22" t="s">
        <v>63</v>
      </c>
    </row>
    <row r="127" ht="20" customHeight="1" spans="1:16" s="23" customFormat="1" x14ac:dyDescent="0.25">
      <c r="A127" s="24" t="s">
        <v>552</v>
      </c>
      <c r="B127" s="24" t="s">
        <v>531</v>
      </c>
      <c r="C127" s="24" t="s">
        <v>351</v>
      </c>
      <c r="D127" s="24" t="s">
        <v>531</v>
      </c>
      <c r="E127" s="24" t="s">
        <v>553</v>
      </c>
      <c r="F127" s="25" t="s">
        <v>53</v>
      </c>
      <c r="G127" s="24" t="s">
        <v>54</v>
      </c>
      <c r="H127" s="24" t="s">
        <v>55</v>
      </c>
      <c r="I127" s="25" t="s">
        <v>246</v>
      </c>
      <c r="J127" s="25" t="s">
        <v>57</v>
      </c>
      <c r="K127" s="25" t="s">
        <v>271</v>
      </c>
      <c r="L127" s="25" t="s">
        <v>233</v>
      </c>
      <c r="M127" s="25" t="s">
        <v>464</v>
      </c>
      <c r="N127" s="25" t="s">
        <v>465</v>
      </c>
      <c r="O127" s="25" t="s">
        <v>554</v>
      </c>
      <c r="P127" s="25" t="s">
        <v>63</v>
      </c>
    </row>
    <row r="128" ht="20" customHeight="1" spans="1:16" x14ac:dyDescent="0.25">
      <c r="A128" s="21" t="s">
        <v>555</v>
      </c>
      <c r="B128" s="21" t="s">
        <v>531</v>
      </c>
      <c r="C128" s="21" t="s">
        <v>444</v>
      </c>
      <c r="D128" s="21" t="s">
        <v>531</v>
      </c>
      <c r="E128" s="21" t="s">
        <v>556</v>
      </c>
      <c r="F128" s="22" t="s">
        <v>53</v>
      </c>
      <c r="G128" s="21" t="s">
        <v>105</v>
      </c>
      <c r="H128" s="21" t="s">
        <v>55</v>
      </c>
      <c r="I128" s="22" t="s">
        <v>246</v>
      </c>
      <c r="J128" s="22" t="s">
        <v>57</v>
      </c>
      <c r="K128" s="22" t="s">
        <v>81</v>
      </c>
      <c r="L128" s="22" t="s">
        <v>73</v>
      </c>
      <c r="M128" s="22" t="s">
        <v>464</v>
      </c>
      <c r="N128" s="22" t="s">
        <v>465</v>
      </c>
      <c r="O128" s="22" t="s">
        <v>557</v>
      </c>
      <c r="P128" s="22" t="s">
        <v>63</v>
      </c>
    </row>
    <row r="129" ht="20" customHeight="1" spans="1:16" s="23" customFormat="1" x14ac:dyDescent="0.25">
      <c r="A129" s="24" t="s">
        <v>558</v>
      </c>
      <c r="B129" s="24" t="s">
        <v>531</v>
      </c>
      <c r="C129" s="24" t="s">
        <v>559</v>
      </c>
      <c r="D129" s="24" t="s">
        <v>531</v>
      </c>
      <c r="E129" s="24" t="s">
        <v>560</v>
      </c>
      <c r="F129" s="25" t="s">
        <v>68</v>
      </c>
      <c r="G129" s="24" t="s">
        <v>69</v>
      </c>
      <c r="H129" s="24" t="s">
        <v>70</v>
      </c>
      <c r="I129" s="25" t="s">
        <v>246</v>
      </c>
      <c r="J129" s="25" t="s">
        <v>57</v>
      </c>
      <c r="K129" s="25" t="s">
        <v>147</v>
      </c>
      <c r="L129" s="25" t="s">
        <v>73</v>
      </c>
      <c r="M129" s="25" t="s">
        <v>60</v>
      </c>
      <c r="N129" s="25" t="s">
        <v>61</v>
      </c>
      <c r="O129" s="25" t="s">
        <v>561</v>
      </c>
      <c r="P129" s="25" t="s">
        <v>63</v>
      </c>
    </row>
    <row r="130" ht="20" customHeight="1" spans="1:16" x14ac:dyDescent="0.25">
      <c r="A130" s="21" t="s">
        <v>562</v>
      </c>
      <c r="B130" s="21" t="s">
        <v>531</v>
      </c>
      <c r="C130" s="21" t="s">
        <v>563</v>
      </c>
      <c r="D130" s="21" t="s">
        <v>531</v>
      </c>
      <c r="E130" s="21" t="s">
        <v>238</v>
      </c>
      <c r="F130" s="22" t="s">
        <v>53</v>
      </c>
      <c r="G130" s="21" t="s">
        <v>105</v>
      </c>
      <c r="H130" s="21" t="s">
        <v>55</v>
      </c>
      <c r="I130" s="22" t="s">
        <v>80</v>
      </c>
      <c r="J130" s="22" t="s">
        <v>57</v>
      </c>
      <c r="K130" s="22" t="s">
        <v>564</v>
      </c>
      <c r="L130" s="22" t="s">
        <v>73</v>
      </c>
      <c r="M130" s="22" t="s">
        <v>60</v>
      </c>
      <c r="N130" s="22" t="s">
        <v>61</v>
      </c>
      <c r="O130" s="22" t="s">
        <v>565</v>
      </c>
      <c r="P130" s="22" t="s">
        <v>63</v>
      </c>
    </row>
    <row r="131" ht="20" customHeight="1" spans="1:16" s="23" customFormat="1" x14ac:dyDescent="0.25">
      <c r="A131" s="24" t="s">
        <v>566</v>
      </c>
      <c r="B131" s="24" t="s">
        <v>531</v>
      </c>
      <c r="C131" s="24" t="s">
        <v>567</v>
      </c>
      <c r="D131" s="24" t="s">
        <v>568</v>
      </c>
      <c r="E131" s="24" t="s">
        <v>569</v>
      </c>
      <c r="F131" s="25" t="s">
        <v>85</v>
      </c>
      <c r="G131" s="24" t="s">
        <v>86</v>
      </c>
      <c r="H131" s="24" t="s">
        <v>87</v>
      </c>
      <c r="I131" s="25" t="s">
        <v>223</v>
      </c>
      <c r="J131" s="25" t="s">
        <v>57</v>
      </c>
      <c r="K131" s="25" t="s">
        <v>570</v>
      </c>
      <c r="L131" s="25" t="s">
        <v>571</v>
      </c>
      <c r="M131" s="25" t="s">
        <v>60</v>
      </c>
      <c r="N131" s="25" t="s">
        <v>61</v>
      </c>
      <c r="O131" s="25" t="s">
        <v>572</v>
      </c>
      <c r="P131" s="25" t="s">
        <v>63</v>
      </c>
    </row>
    <row r="132" ht="20" customHeight="1" spans="1:16" x14ac:dyDescent="0.25">
      <c r="A132" s="21" t="s">
        <v>573</v>
      </c>
      <c r="B132" s="21" t="s">
        <v>531</v>
      </c>
      <c r="C132" s="21" t="s">
        <v>574</v>
      </c>
      <c r="D132" s="21" t="s">
        <v>531</v>
      </c>
      <c r="E132" s="21" t="s">
        <v>560</v>
      </c>
      <c r="F132" s="22" t="s">
        <v>137</v>
      </c>
      <c r="G132" s="21" t="s">
        <v>138</v>
      </c>
      <c r="H132" s="21" t="s">
        <v>139</v>
      </c>
      <c r="I132" s="22" t="s">
        <v>160</v>
      </c>
      <c r="J132" s="22" t="s">
        <v>57</v>
      </c>
      <c r="K132" s="22" t="s">
        <v>119</v>
      </c>
      <c r="L132" s="22" t="s">
        <v>73</v>
      </c>
      <c r="M132" s="22" t="s">
        <v>388</v>
      </c>
      <c r="N132" s="22" t="s">
        <v>389</v>
      </c>
      <c r="O132" s="22" t="s">
        <v>575</v>
      </c>
      <c r="P132" s="22" t="s">
        <v>63</v>
      </c>
    </row>
    <row r="133" ht="20" customHeight="1" spans="1:16" s="23" customFormat="1" x14ac:dyDescent="0.25">
      <c r="A133" s="24" t="s">
        <v>576</v>
      </c>
      <c r="B133" s="24" t="s">
        <v>531</v>
      </c>
      <c r="C133" s="24" t="s">
        <v>537</v>
      </c>
      <c r="D133" s="24" t="s">
        <v>531</v>
      </c>
      <c r="E133" s="24" t="s">
        <v>577</v>
      </c>
      <c r="F133" s="25" t="s">
        <v>53</v>
      </c>
      <c r="G133" s="24" t="s">
        <v>54</v>
      </c>
      <c r="H133" s="24" t="s">
        <v>55</v>
      </c>
      <c r="I133" s="25" t="s">
        <v>331</v>
      </c>
      <c r="J133" s="25" t="s">
        <v>57</v>
      </c>
      <c r="K133" s="25" t="s">
        <v>330</v>
      </c>
      <c r="L133" s="25" t="s">
        <v>73</v>
      </c>
      <c r="M133" s="25" t="s">
        <v>420</v>
      </c>
      <c r="N133" s="25" t="s">
        <v>465</v>
      </c>
      <c r="O133" s="25" t="s">
        <v>578</v>
      </c>
      <c r="P133" s="25" t="s">
        <v>370</v>
      </c>
    </row>
    <row r="134" ht="20" customHeight="1" spans="1:16" x14ac:dyDescent="0.25">
      <c r="A134" s="21" t="s">
        <v>579</v>
      </c>
      <c r="B134" s="21" t="s">
        <v>580</v>
      </c>
      <c r="C134" s="21" t="s">
        <v>581</v>
      </c>
      <c r="D134" s="21" t="s">
        <v>580</v>
      </c>
      <c r="E134" s="21" t="s">
        <v>581</v>
      </c>
      <c r="F134" s="22" t="s">
        <v>53</v>
      </c>
      <c r="G134" s="21" t="s">
        <v>54</v>
      </c>
      <c r="H134" s="21" t="s">
        <v>55</v>
      </c>
      <c r="I134" s="22" t="s">
        <v>307</v>
      </c>
      <c r="J134" s="22" t="s">
        <v>57</v>
      </c>
      <c r="K134" s="22" t="s">
        <v>330</v>
      </c>
      <c r="L134" s="22" t="s">
        <v>73</v>
      </c>
      <c r="M134" s="22" t="s">
        <v>420</v>
      </c>
      <c r="N134" s="22" t="s">
        <v>465</v>
      </c>
      <c r="O134" s="22" t="s">
        <v>582</v>
      </c>
      <c r="P134" s="22" t="s">
        <v>494</v>
      </c>
    </row>
    <row r="135" ht="20" customHeight="1" spans="1:16" s="23" customFormat="1" x14ac:dyDescent="0.25">
      <c r="A135" s="24" t="s">
        <v>583</v>
      </c>
      <c r="B135" s="24" t="s">
        <v>580</v>
      </c>
      <c r="C135" s="24" t="s">
        <v>584</v>
      </c>
      <c r="D135" s="24" t="s">
        <v>580</v>
      </c>
      <c r="E135" s="24" t="s">
        <v>585</v>
      </c>
      <c r="F135" s="25" t="s">
        <v>586</v>
      </c>
      <c r="G135" s="24" t="s">
        <v>166</v>
      </c>
      <c r="H135" s="24" t="s">
        <v>139</v>
      </c>
      <c r="I135" s="25" t="s">
        <v>587</v>
      </c>
      <c r="J135" s="25" t="s">
        <v>57</v>
      </c>
      <c r="K135" s="25" t="s">
        <v>260</v>
      </c>
      <c r="L135" s="25" t="s">
        <v>73</v>
      </c>
      <c r="M135" s="25" t="s">
        <v>420</v>
      </c>
      <c r="N135" s="25" t="s">
        <v>465</v>
      </c>
      <c r="O135" s="25" t="s">
        <v>63</v>
      </c>
      <c r="P135" s="25" t="s">
        <v>63</v>
      </c>
    </row>
    <row r="136" ht="20" customHeight="1" spans="1:16" x14ac:dyDescent="0.25">
      <c r="A136" s="21" t="s">
        <v>588</v>
      </c>
      <c r="B136" s="21" t="s">
        <v>580</v>
      </c>
      <c r="C136" s="21" t="s">
        <v>589</v>
      </c>
      <c r="D136" s="21" t="s">
        <v>580</v>
      </c>
      <c r="E136" s="21" t="s">
        <v>590</v>
      </c>
      <c r="F136" s="22" t="s">
        <v>137</v>
      </c>
      <c r="G136" s="21" t="s">
        <v>166</v>
      </c>
      <c r="H136" s="21" t="s">
        <v>139</v>
      </c>
      <c r="I136" s="22" t="s">
        <v>71</v>
      </c>
      <c r="J136" s="22" t="s">
        <v>57</v>
      </c>
      <c r="K136" s="22" t="s">
        <v>591</v>
      </c>
      <c r="L136" s="22" t="s">
        <v>73</v>
      </c>
      <c r="M136" s="22" t="s">
        <v>420</v>
      </c>
      <c r="N136" s="22" t="s">
        <v>465</v>
      </c>
      <c r="O136" s="22" t="s">
        <v>592</v>
      </c>
      <c r="P136" s="22" t="s">
        <v>63</v>
      </c>
    </row>
    <row r="137" ht="20" customHeight="1" spans="1:16" s="23" customFormat="1" x14ac:dyDescent="0.25">
      <c r="A137" s="24" t="s">
        <v>593</v>
      </c>
      <c r="B137" s="24" t="s">
        <v>580</v>
      </c>
      <c r="C137" s="24" t="s">
        <v>594</v>
      </c>
      <c r="D137" s="24" t="s">
        <v>580</v>
      </c>
      <c r="E137" s="24" t="s">
        <v>595</v>
      </c>
      <c r="F137" s="25" t="s">
        <v>137</v>
      </c>
      <c r="G137" s="24" t="s">
        <v>138</v>
      </c>
      <c r="H137" s="24" t="s">
        <v>139</v>
      </c>
      <c r="I137" s="25" t="s">
        <v>160</v>
      </c>
      <c r="J137" s="25" t="s">
        <v>57</v>
      </c>
      <c r="K137" s="25" t="s">
        <v>596</v>
      </c>
      <c r="L137" s="25" t="s">
        <v>597</v>
      </c>
      <c r="M137" s="25" t="s">
        <v>160</v>
      </c>
      <c r="N137" s="25" t="s">
        <v>426</v>
      </c>
      <c r="O137" s="25" t="s">
        <v>598</v>
      </c>
      <c r="P137" s="25" t="s">
        <v>63</v>
      </c>
    </row>
    <row r="138" ht="20" customHeight="1" spans="1:16" x14ac:dyDescent="0.25">
      <c r="A138" s="21" t="s">
        <v>599</v>
      </c>
      <c r="B138" s="21" t="s">
        <v>580</v>
      </c>
      <c r="C138" s="21" t="s">
        <v>95</v>
      </c>
      <c r="D138" s="21" t="s">
        <v>580</v>
      </c>
      <c r="E138" s="21" t="s">
        <v>84</v>
      </c>
      <c r="F138" s="22" t="s">
        <v>53</v>
      </c>
      <c r="G138" s="21" t="s">
        <v>105</v>
      </c>
      <c r="H138" s="21" t="s">
        <v>55</v>
      </c>
      <c r="I138" s="22" t="s">
        <v>80</v>
      </c>
      <c r="J138" s="22" t="s">
        <v>57</v>
      </c>
      <c r="K138" s="22" t="s">
        <v>72</v>
      </c>
      <c r="L138" s="22" t="s">
        <v>73</v>
      </c>
      <c r="M138" s="22" t="s">
        <v>60</v>
      </c>
      <c r="N138" s="22" t="s">
        <v>61</v>
      </c>
      <c r="O138" s="22" t="s">
        <v>63</v>
      </c>
      <c r="P138" s="22" t="s">
        <v>63</v>
      </c>
    </row>
    <row r="139" ht="20" customHeight="1" spans="1:16" s="23" customFormat="1" x14ac:dyDescent="0.25">
      <c r="A139" s="24" t="s">
        <v>600</v>
      </c>
      <c r="B139" s="24" t="s">
        <v>580</v>
      </c>
      <c r="C139" s="24" t="s">
        <v>569</v>
      </c>
      <c r="D139" s="24" t="s">
        <v>568</v>
      </c>
      <c r="E139" s="24" t="s">
        <v>569</v>
      </c>
      <c r="F139" s="25" t="s">
        <v>53</v>
      </c>
      <c r="G139" s="24" t="s">
        <v>54</v>
      </c>
      <c r="H139" s="24" t="s">
        <v>55</v>
      </c>
      <c r="I139" s="25" t="s">
        <v>153</v>
      </c>
      <c r="J139" s="25" t="s">
        <v>57</v>
      </c>
      <c r="K139" s="25" t="s">
        <v>271</v>
      </c>
      <c r="L139" s="25" t="s">
        <v>73</v>
      </c>
      <c r="M139" s="25" t="s">
        <v>420</v>
      </c>
      <c r="N139" s="25" t="s">
        <v>465</v>
      </c>
      <c r="O139" s="25" t="s">
        <v>601</v>
      </c>
      <c r="P139" s="25" t="s">
        <v>63</v>
      </c>
    </row>
    <row r="140" ht="20" customHeight="1" spans="1:16" x14ac:dyDescent="0.25">
      <c r="A140" s="21" t="s">
        <v>602</v>
      </c>
      <c r="B140" s="21" t="s">
        <v>568</v>
      </c>
      <c r="C140" s="21" t="s">
        <v>603</v>
      </c>
      <c r="D140" s="21" t="s">
        <v>568</v>
      </c>
      <c r="E140" s="21" t="s">
        <v>604</v>
      </c>
      <c r="F140" s="22" t="s">
        <v>53</v>
      </c>
      <c r="G140" s="21" t="s">
        <v>54</v>
      </c>
      <c r="H140" s="21" t="s">
        <v>55</v>
      </c>
      <c r="I140" s="22" t="s">
        <v>80</v>
      </c>
      <c r="J140" s="22" t="s">
        <v>57</v>
      </c>
      <c r="K140" s="22" t="s">
        <v>605</v>
      </c>
      <c r="L140" s="22" t="s">
        <v>606</v>
      </c>
      <c r="M140" s="22" t="s">
        <v>60</v>
      </c>
      <c r="N140" s="22" t="s">
        <v>61</v>
      </c>
      <c r="O140" s="22" t="s">
        <v>63</v>
      </c>
      <c r="P140" s="22" t="s">
        <v>63</v>
      </c>
    </row>
    <row r="141" ht="20" customHeight="1" spans="1:16" s="23" customFormat="1" x14ac:dyDescent="0.25">
      <c r="A141" s="24" t="s">
        <v>607</v>
      </c>
      <c r="B141" s="24" t="s">
        <v>568</v>
      </c>
      <c r="C141" s="24" t="s">
        <v>608</v>
      </c>
      <c r="D141" s="24" t="s">
        <v>568</v>
      </c>
      <c r="E141" s="24" t="s">
        <v>609</v>
      </c>
      <c r="F141" s="25" t="s">
        <v>53</v>
      </c>
      <c r="G141" s="24" t="s">
        <v>105</v>
      </c>
      <c r="H141" s="24" t="s">
        <v>610</v>
      </c>
      <c r="I141" s="25" t="s">
        <v>430</v>
      </c>
      <c r="J141" s="25" t="s">
        <v>57</v>
      </c>
      <c r="K141" s="25" t="s">
        <v>247</v>
      </c>
      <c r="L141" s="25" t="s">
        <v>73</v>
      </c>
      <c r="M141" s="25" t="s">
        <v>354</v>
      </c>
      <c r="N141" s="25" t="s">
        <v>355</v>
      </c>
      <c r="O141" s="25" t="s">
        <v>63</v>
      </c>
      <c r="P141" s="25" t="s">
        <v>611</v>
      </c>
    </row>
    <row r="142" ht="20" customHeight="1" spans="1:16" x14ac:dyDescent="0.25">
      <c r="A142" s="21" t="s">
        <v>612</v>
      </c>
      <c r="B142" s="21" t="s">
        <v>568</v>
      </c>
      <c r="C142" s="21" t="s">
        <v>613</v>
      </c>
      <c r="D142" s="21" t="s">
        <v>568</v>
      </c>
      <c r="E142" s="21" t="s">
        <v>614</v>
      </c>
      <c r="F142" s="22" t="s">
        <v>137</v>
      </c>
      <c r="G142" s="21" t="s">
        <v>166</v>
      </c>
      <c r="H142" s="21" t="s">
        <v>139</v>
      </c>
      <c r="I142" s="22" t="s">
        <v>223</v>
      </c>
      <c r="J142" s="22" t="s">
        <v>57</v>
      </c>
      <c r="K142" s="22" t="s">
        <v>615</v>
      </c>
      <c r="L142" s="22" t="s">
        <v>132</v>
      </c>
      <c r="M142" s="22" t="s">
        <v>616</v>
      </c>
      <c r="N142" s="22" t="s">
        <v>465</v>
      </c>
      <c r="O142" s="22" t="s">
        <v>63</v>
      </c>
      <c r="P142" s="22" t="s">
        <v>617</v>
      </c>
    </row>
    <row r="143" ht="20" customHeight="1" spans="1:16" s="23" customFormat="1" x14ac:dyDescent="0.25">
      <c r="A143" s="24" t="s">
        <v>618</v>
      </c>
      <c r="B143" s="24" t="s">
        <v>568</v>
      </c>
      <c r="C143" s="24" t="s">
        <v>619</v>
      </c>
      <c r="D143" s="24" t="s">
        <v>568</v>
      </c>
      <c r="E143" s="24" t="s">
        <v>620</v>
      </c>
      <c r="F143" s="25" t="s">
        <v>53</v>
      </c>
      <c r="G143" s="24" t="s">
        <v>105</v>
      </c>
      <c r="H143" s="24" t="s">
        <v>610</v>
      </c>
      <c r="I143" s="25" t="s">
        <v>181</v>
      </c>
      <c r="J143" s="25" t="s">
        <v>57</v>
      </c>
      <c r="K143" s="25" t="s">
        <v>330</v>
      </c>
      <c r="L143" s="25" t="s">
        <v>73</v>
      </c>
      <c r="M143" s="25" t="s">
        <v>616</v>
      </c>
      <c r="N143" s="25" t="s">
        <v>465</v>
      </c>
      <c r="O143" s="25" t="s">
        <v>63</v>
      </c>
      <c r="P143" s="25" t="s">
        <v>421</v>
      </c>
    </row>
    <row r="144" ht="20" customHeight="1" spans="1:16" x14ac:dyDescent="0.25">
      <c r="A144" s="21" t="s">
        <v>621</v>
      </c>
      <c r="B144" s="21" t="s">
        <v>622</v>
      </c>
      <c r="C144" s="21" t="s">
        <v>623</v>
      </c>
      <c r="D144" s="21" t="s">
        <v>622</v>
      </c>
      <c r="E144" s="21" t="s">
        <v>398</v>
      </c>
      <c r="F144" s="22" t="s">
        <v>53</v>
      </c>
      <c r="G144" s="21" t="s">
        <v>105</v>
      </c>
      <c r="H144" s="21" t="s">
        <v>55</v>
      </c>
      <c r="I144" s="22" t="s">
        <v>307</v>
      </c>
      <c r="J144" s="22" t="s">
        <v>57</v>
      </c>
      <c r="K144" s="22" t="s">
        <v>330</v>
      </c>
      <c r="L144" s="22" t="s">
        <v>73</v>
      </c>
      <c r="M144" s="22" t="s">
        <v>616</v>
      </c>
      <c r="N144" s="22" t="s">
        <v>465</v>
      </c>
      <c r="O144" s="22" t="s">
        <v>624</v>
      </c>
      <c r="P144" s="22" t="s">
        <v>63</v>
      </c>
    </row>
    <row r="145" ht="20" customHeight="1" spans="1:16" s="23" customFormat="1" x14ac:dyDescent="0.25">
      <c r="A145" s="24" t="s">
        <v>625</v>
      </c>
      <c r="B145" s="24" t="s">
        <v>622</v>
      </c>
      <c r="C145" s="24" t="s">
        <v>626</v>
      </c>
      <c r="D145" s="24" t="s">
        <v>622</v>
      </c>
      <c r="E145" s="24" t="s">
        <v>435</v>
      </c>
      <c r="F145" s="25" t="s">
        <v>53</v>
      </c>
      <c r="G145" s="24" t="s">
        <v>54</v>
      </c>
      <c r="H145" s="24" t="s">
        <v>55</v>
      </c>
      <c r="I145" s="25" t="s">
        <v>88</v>
      </c>
      <c r="J145" s="25" t="s">
        <v>57</v>
      </c>
      <c r="K145" s="25" t="s">
        <v>81</v>
      </c>
      <c r="L145" s="25" t="s">
        <v>627</v>
      </c>
      <c r="M145" s="25" t="s">
        <v>60</v>
      </c>
      <c r="N145" s="25" t="s">
        <v>61</v>
      </c>
      <c r="O145" s="25" t="s">
        <v>63</v>
      </c>
      <c r="P145" s="25" t="s">
        <v>63</v>
      </c>
    </row>
    <row r="146" ht="20" customHeight="1" spans="1:16" x14ac:dyDescent="0.25">
      <c r="A146" s="21" t="s">
        <v>628</v>
      </c>
      <c r="B146" s="21" t="s">
        <v>622</v>
      </c>
      <c r="C146" s="21" t="s">
        <v>175</v>
      </c>
      <c r="D146" s="21" t="s">
        <v>622</v>
      </c>
      <c r="E146" s="21" t="s">
        <v>75</v>
      </c>
      <c r="F146" s="22" t="s">
        <v>53</v>
      </c>
      <c r="G146" s="21" t="s">
        <v>54</v>
      </c>
      <c r="H146" s="21" t="s">
        <v>55</v>
      </c>
      <c r="I146" s="22" t="s">
        <v>80</v>
      </c>
      <c r="J146" s="22" t="s">
        <v>57</v>
      </c>
      <c r="K146" s="22" t="s">
        <v>151</v>
      </c>
      <c r="L146" s="22" t="s">
        <v>106</v>
      </c>
      <c r="M146" s="22" t="s">
        <v>60</v>
      </c>
      <c r="N146" s="22" t="s">
        <v>61</v>
      </c>
      <c r="O146" s="22" t="s">
        <v>629</v>
      </c>
      <c r="P146" s="22" t="s">
        <v>63</v>
      </c>
    </row>
    <row r="147" ht="20" customHeight="1" spans="1:16" s="23" customFormat="1" x14ac:dyDescent="0.25">
      <c r="A147" s="24" t="s">
        <v>630</v>
      </c>
      <c r="B147" s="24" t="s">
        <v>622</v>
      </c>
      <c r="C147" s="24" t="s">
        <v>631</v>
      </c>
      <c r="D147" s="24" t="s">
        <v>622</v>
      </c>
      <c r="E147" s="24" t="s">
        <v>632</v>
      </c>
      <c r="F147" s="25" t="s">
        <v>68</v>
      </c>
      <c r="G147" s="24" t="s">
        <v>69</v>
      </c>
      <c r="H147" s="24" t="s">
        <v>70</v>
      </c>
      <c r="I147" s="25" t="s">
        <v>430</v>
      </c>
      <c r="J147" s="25" t="s">
        <v>57</v>
      </c>
      <c r="K147" s="25" t="s">
        <v>260</v>
      </c>
      <c r="L147" s="25" t="s">
        <v>513</v>
      </c>
      <c r="M147" s="25" t="s">
        <v>60</v>
      </c>
      <c r="N147" s="25" t="s">
        <v>61</v>
      </c>
      <c r="O147" s="25" t="s">
        <v>633</v>
      </c>
      <c r="P147" s="25" t="s">
        <v>63</v>
      </c>
    </row>
    <row r="148" ht="20" customHeight="1" spans="1:16" x14ac:dyDescent="0.25">
      <c r="A148" s="21" t="s">
        <v>634</v>
      </c>
      <c r="B148" s="21" t="s">
        <v>622</v>
      </c>
      <c r="C148" s="21" t="s">
        <v>635</v>
      </c>
      <c r="D148" s="21" t="s">
        <v>622</v>
      </c>
      <c r="E148" s="21" t="s">
        <v>636</v>
      </c>
      <c r="F148" s="22" t="s">
        <v>85</v>
      </c>
      <c r="G148" s="21" t="s">
        <v>86</v>
      </c>
      <c r="H148" s="21" t="s">
        <v>87</v>
      </c>
      <c r="I148" s="22" t="s">
        <v>80</v>
      </c>
      <c r="J148" s="22" t="s">
        <v>57</v>
      </c>
      <c r="K148" s="22" t="s">
        <v>81</v>
      </c>
      <c r="L148" s="22" t="s">
        <v>73</v>
      </c>
      <c r="M148" s="22" t="s">
        <v>160</v>
      </c>
      <c r="N148" s="22" t="s">
        <v>426</v>
      </c>
      <c r="O148" s="22" t="s">
        <v>637</v>
      </c>
      <c r="P148" s="22" t="s">
        <v>63</v>
      </c>
    </row>
    <row r="149" ht="20" customHeight="1" spans="1:16" s="23" customFormat="1" x14ac:dyDescent="0.25">
      <c r="A149" s="24" t="s">
        <v>638</v>
      </c>
      <c r="B149" s="24" t="s">
        <v>622</v>
      </c>
      <c r="C149" s="24" t="s">
        <v>328</v>
      </c>
      <c r="D149" s="24" t="s">
        <v>639</v>
      </c>
      <c r="E149" s="24" t="s">
        <v>640</v>
      </c>
      <c r="F149" s="25" t="s">
        <v>53</v>
      </c>
      <c r="G149" s="24" t="s">
        <v>105</v>
      </c>
      <c r="H149" s="24" t="s">
        <v>55</v>
      </c>
      <c r="I149" s="25" t="s">
        <v>259</v>
      </c>
      <c r="J149" s="25" t="s">
        <v>57</v>
      </c>
      <c r="K149" s="25" t="s">
        <v>58</v>
      </c>
      <c r="L149" s="25" t="s">
        <v>641</v>
      </c>
      <c r="M149" s="25" t="s">
        <v>160</v>
      </c>
      <c r="N149" s="25" t="s">
        <v>426</v>
      </c>
      <c r="O149" s="25" t="s">
        <v>642</v>
      </c>
      <c r="P149" s="25" t="s">
        <v>63</v>
      </c>
    </row>
    <row r="150" ht="20" customHeight="1" spans="1:16" x14ac:dyDescent="0.25">
      <c r="A150" s="21" t="s">
        <v>643</v>
      </c>
      <c r="B150" s="21" t="s">
        <v>639</v>
      </c>
      <c r="C150" s="21" t="s">
        <v>644</v>
      </c>
      <c r="D150" s="21" t="s">
        <v>639</v>
      </c>
      <c r="E150" s="21" t="s">
        <v>640</v>
      </c>
      <c r="F150" s="22" t="s">
        <v>68</v>
      </c>
      <c r="G150" s="21" t="s">
        <v>69</v>
      </c>
      <c r="H150" s="21" t="s">
        <v>70</v>
      </c>
      <c r="I150" s="22" t="s">
        <v>153</v>
      </c>
      <c r="J150" s="22" t="s">
        <v>57</v>
      </c>
      <c r="K150" s="22" t="s">
        <v>645</v>
      </c>
      <c r="L150" s="22" t="s">
        <v>641</v>
      </c>
      <c r="M150" s="22" t="s">
        <v>464</v>
      </c>
      <c r="N150" s="22" t="s">
        <v>465</v>
      </c>
      <c r="O150" s="22" t="s">
        <v>646</v>
      </c>
      <c r="P150" s="22" t="s">
        <v>63</v>
      </c>
    </row>
    <row r="151" ht="20" customHeight="1" spans="1:16" s="23" customFormat="1" x14ac:dyDescent="0.25">
      <c r="A151" s="24" t="s">
        <v>647</v>
      </c>
      <c r="B151" s="24" t="s">
        <v>639</v>
      </c>
      <c r="C151" s="24" t="s">
        <v>648</v>
      </c>
      <c r="D151" s="24" t="s">
        <v>639</v>
      </c>
      <c r="E151" s="24" t="s">
        <v>649</v>
      </c>
      <c r="F151" s="25" t="s">
        <v>53</v>
      </c>
      <c r="G151" s="24" t="s">
        <v>105</v>
      </c>
      <c r="H151" s="24" t="s">
        <v>55</v>
      </c>
      <c r="I151" s="25" t="s">
        <v>505</v>
      </c>
      <c r="J151" s="25" t="s">
        <v>57</v>
      </c>
      <c r="K151" s="25" t="s">
        <v>202</v>
      </c>
      <c r="L151" s="25" t="s">
        <v>650</v>
      </c>
      <c r="M151" s="25" t="s">
        <v>388</v>
      </c>
      <c r="N151" s="25" t="s">
        <v>389</v>
      </c>
      <c r="O151" s="25" t="s">
        <v>63</v>
      </c>
      <c r="P151" s="25" t="s">
        <v>63</v>
      </c>
    </row>
    <row r="152" ht="20" customHeight="1" spans="1:16" x14ac:dyDescent="0.25">
      <c r="A152" s="21" t="s">
        <v>651</v>
      </c>
      <c r="B152" s="21" t="s">
        <v>639</v>
      </c>
      <c r="C152" s="21" t="s">
        <v>584</v>
      </c>
      <c r="D152" s="21" t="s">
        <v>639</v>
      </c>
      <c r="E152" s="21" t="s">
        <v>652</v>
      </c>
      <c r="F152" s="22" t="s">
        <v>68</v>
      </c>
      <c r="G152" s="21" t="s">
        <v>69</v>
      </c>
      <c r="H152" s="21" t="s">
        <v>70</v>
      </c>
      <c r="I152" s="22" t="s">
        <v>653</v>
      </c>
      <c r="J152" s="22" t="s">
        <v>57</v>
      </c>
      <c r="K152" s="22" t="s">
        <v>260</v>
      </c>
      <c r="L152" s="22" t="s">
        <v>654</v>
      </c>
      <c r="M152" s="22" t="s">
        <v>464</v>
      </c>
      <c r="N152" s="22" t="s">
        <v>465</v>
      </c>
      <c r="O152" s="22" t="s">
        <v>63</v>
      </c>
      <c r="P152" s="22" t="s">
        <v>63</v>
      </c>
    </row>
    <row r="153" ht="20" customHeight="1" spans="1:16" s="23" customFormat="1" x14ac:dyDescent="0.25">
      <c r="A153" s="24" t="s">
        <v>655</v>
      </c>
      <c r="B153" s="24" t="s">
        <v>639</v>
      </c>
      <c r="C153" s="24" t="s">
        <v>656</v>
      </c>
      <c r="D153" s="24" t="s">
        <v>639</v>
      </c>
      <c r="E153" s="24" t="s">
        <v>657</v>
      </c>
      <c r="F153" s="25" t="s">
        <v>53</v>
      </c>
      <c r="G153" s="24" t="s">
        <v>54</v>
      </c>
      <c r="H153" s="24" t="s">
        <v>55</v>
      </c>
      <c r="I153" s="25" t="s">
        <v>658</v>
      </c>
      <c r="J153" s="25" t="s">
        <v>57</v>
      </c>
      <c r="K153" s="25" t="s">
        <v>330</v>
      </c>
      <c r="L153" s="25" t="s">
        <v>73</v>
      </c>
      <c r="M153" s="25" t="s">
        <v>616</v>
      </c>
      <c r="N153" s="25" t="s">
        <v>465</v>
      </c>
      <c r="O153" s="25" t="s">
        <v>63</v>
      </c>
      <c r="P153" s="25" t="s">
        <v>659</v>
      </c>
    </row>
    <row r="154" ht="20" customHeight="1" spans="1:16" x14ac:dyDescent="0.25">
      <c r="A154" s="21" t="s">
        <v>660</v>
      </c>
      <c r="B154" s="21" t="s">
        <v>639</v>
      </c>
      <c r="C154" s="21" t="s">
        <v>661</v>
      </c>
      <c r="D154" s="21" t="s">
        <v>639</v>
      </c>
      <c r="E154" s="21" t="s">
        <v>662</v>
      </c>
      <c r="F154" s="22" t="s">
        <v>53</v>
      </c>
      <c r="G154" s="21" t="s">
        <v>105</v>
      </c>
      <c r="H154" s="21" t="s">
        <v>610</v>
      </c>
      <c r="I154" s="22" t="s">
        <v>132</v>
      </c>
      <c r="J154" s="22" t="s">
        <v>57</v>
      </c>
      <c r="K154" s="22" t="s">
        <v>615</v>
      </c>
      <c r="L154" s="22" t="s">
        <v>663</v>
      </c>
      <c r="M154" s="22" t="s">
        <v>616</v>
      </c>
      <c r="N154" s="22" t="s">
        <v>465</v>
      </c>
      <c r="O154" s="22" t="s">
        <v>63</v>
      </c>
      <c r="P154" s="22" t="s">
        <v>664</v>
      </c>
    </row>
    <row r="155" ht="20" customHeight="1" spans="1:16" s="23" customFormat="1" x14ac:dyDescent="0.25">
      <c r="A155" s="24" t="s">
        <v>665</v>
      </c>
      <c r="B155" s="24" t="s">
        <v>639</v>
      </c>
      <c r="C155" s="24" t="s">
        <v>666</v>
      </c>
      <c r="D155" s="24" t="s">
        <v>639</v>
      </c>
      <c r="E155" s="24" t="s">
        <v>667</v>
      </c>
      <c r="F155" s="25" t="s">
        <v>68</v>
      </c>
      <c r="G155" s="24" t="s">
        <v>69</v>
      </c>
      <c r="H155" s="24" t="s">
        <v>70</v>
      </c>
      <c r="I155" s="25" t="s">
        <v>132</v>
      </c>
      <c r="J155" s="25" t="s">
        <v>57</v>
      </c>
      <c r="K155" s="25" t="s">
        <v>668</v>
      </c>
      <c r="L155" s="25" t="s">
        <v>73</v>
      </c>
      <c r="M155" s="25" t="s">
        <v>616</v>
      </c>
      <c r="N155" s="25" t="s">
        <v>465</v>
      </c>
      <c r="O155" s="25" t="s">
        <v>63</v>
      </c>
      <c r="P155" s="25" t="s">
        <v>669</v>
      </c>
    </row>
    <row r="156" ht="20" customHeight="1" spans="1:16" x14ac:dyDescent="0.25">
      <c r="A156" s="21" t="s">
        <v>670</v>
      </c>
      <c r="B156" s="21" t="s">
        <v>671</v>
      </c>
      <c r="C156" s="21" t="s">
        <v>672</v>
      </c>
      <c r="D156" s="21" t="s">
        <v>671</v>
      </c>
      <c r="E156" s="21" t="s">
        <v>93</v>
      </c>
      <c r="F156" s="22" t="s">
        <v>68</v>
      </c>
      <c r="G156" s="21" t="s">
        <v>69</v>
      </c>
      <c r="H156" s="21" t="s">
        <v>70</v>
      </c>
      <c r="I156" s="22" t="s">
        <v>181</v>
      </c>
      <c r="J156" s="22" t="s">
        <v>57</v>
      </c>
      <c r="K156" s="22" t="s">
        <v>673</v>
      </c>
      <c r="L156" s="22" t="s">
        <v>73</v>
      </c>
      <c r="M156" s="22" t="s">
        <v>616</v>
      </c>
      <c r="N156" s="22" t="s">
        <v>465</v>
      </c>
      <c r="O156" s="22" t="s">
        <v>63</v>
      </c>
      <c r="P156" s="22" t="s">
        <v>674</v>
      </c>
    </row>
    <row r="157" ht="20" customHeight="1" spans="1:16" s="23" customFormat="1" x14ac:dyDescent="0.25">
      <c r="A157" s="24" t="s">
        <v>675</v>
      </c>
      <c r="B157" s="24" t="s">
        <v>671</v>
      </c>
      <c r="C157" s="24" t="s">
        <v>351</v>
      </c>
      <c r="D157" s="24" t="s">
        <v>671</v>
      </c>
      <c r="E157" s="24" t="s">
        <v>676</v>
      </c>
      <c r="F157" s="25" t="s">
        <v>53</v>
      </c>
      <c r="G157" s="24" t="s">
        <v>54</v>
      </c>
      <c r="H157" s="24" t="s">
        <v>55</v>
      </c>
      <c r="I157" s="25" t="s">
        <v>534</v>
      </c>
      <c r="J157" s="25" t="s">
        <v>57</v>
      </c>
      <c r="K157" s="25" t="s">
        <v>330</v>
      </c>
      <c r="L157" s="25" t="s">
        <v>677</v>
      </c>
      <c r="M157" s="25" t="s">
        <v>616</v>
      </c>
      <c r="N157" s="25" t="s">
        <v>465</v>
      </c>
      <c r="O157" s="25" t="s">
        <v>63</v>
      </c>
      <c r="P157" s="25" t="s">
        <v>63</v>
      </c>
    </row>
    <row r="158" ht="20" customHeight="1" spans="1:16" x14ac:dyDescent="0.25">
      <c r="A158" s="21" t="s">
        <v>678</v>
      </c>
      <c r="B158" s="21" t="s">
        <v>671</v>
      </c>
      <c r="C158" s="21" t="s">
        <v>676</v>
      </c>
      <c r="D158" s="21" t="s">
        <v>671</v>
      </c>
      <c r="E158" s="21" t="s">
        <v>679</v>
      </c>
      <c r="F158" s="22" t="s">
        <v>137</v>
      </c>
      <c r="G158" s="21" t="s">
        <v>138</v>
      </c>
      <c r="H158" s="21" t="s">
        <v>139</v>
      </c>
      <c r="I158" s="22" t="s">
        <v>307</v>
      </c>
      <c r="J158" s="22" t="s">
        <v>57</v>
      </c>
      <c r="K158" s="22" t="s">
        <v>680</v>
      </c>
      <c r="L158" s="22" t="s">
        <v>681</v>
      </c>
      <c r="M158" s="22" t="s">
        <v>420</v>
      </c>
      <c r="N158" s="22" t="s">
        <v>465</v>
      </c>
      <c r="O158" s="22" t="s">
        <v>63</v>
      </c>
      <c r="P158" s="22" t="s">
        <v>63</v>
      </c>
    </row>
    <row r="159" ht="20" customHeight="1" spans="1:16" s="23" customFormat="1" x14ac:dyDescent="0.25">
      <c r="A159" s="24" t="s">
        <v>583</v>
      </c>
      <c r="B159" s="24" t="s">
        <v>671</v>
      </c>
      <c r="C159" s="24" t="s">
        <v>682</v>
      </c>
      <c r="D159" s="24" t="s">
        <v>671</v>
      </c>
      <c r="E159" s="24" t="s">
        <v>67</v>
      </c>
      <c r="F159" s="25" t="s">
        <v>85</v>
      </c>
      <c r="G159" s="24" t="s">
        <v>86</v>
      </c>
      <c r="H159" s="24" t="s">
        <v>87</v>
      </c>
      <c r="I159" s="25" t="s">
        <v>683</v>
      </c>
      <c r="J159" s="25" t="s">
        <v>57</v>
      </c>
      <c r="K159" s="25" t="s">
        <v>260</v>
      </c>
      <c r="L159" s="25" t="s">
        <v>73</v>
      </c>
      <c r="M159" s="25" t="s">
        <v>420</v>
      </c>
      <c r="N159" s="25" t="s">
        <v>465</v>
      </c>
      <c r="O159" s="25" t="s">
        <v>63</v>
      </c>
      <c r="P159" s="25" t="s">
        <v>63</v>
      </c>
    </row>
    <row r="160" ht="20" customHeight="1" spans="1:16" x14ac:dyDescent="0.25">
      <c r="A160" s="21" t="s">
        <v>684</v>
      </c>
      <c r="B160" s="21" t="s">
        <v>671</v>
      </c>
      <c r="C160" s="21" t="s">
        <v>685</v>
      </c>
      <c r="D160" s="21" t="s">
        <v>671</v>
      </c>
      <c r="E160" s="21" t="s">
        <v>686</v>
      </c>
      <c r="F160" s="22" t="s">
        <v>68</v>
      </c>
      <c r="G160" s="21" t="s">
        <v>69</v>
      </c>
      <c r="H160" s="21" t="s">
        <v>70</v>
      </c>
      <c r="I160" s="22" t="s">
        <v>246</v>
      </c>
      <c r="J160" s="22" t="s">
        <v>57</v>
      </c>
      <c r="K160" s="22" t="s">
        <v>260</v>
      </c>
      <c r="L160" s="22" t="s">
        <v>73</v>
      </c>
      <c r="M160" s="22" t="s">
        <v>420</v>
      </c>
      <c r="N160" s="22" t="s">
        <v>465</v>
      </c>
      <c r="O160" s="22" t="s">
        <v>687</v>
      </c>
      <c r="P160" s="22" t="s">
        <v>63</v>
      </c>
    </row>
    <row r="161" ht="20" customHeight="1" spans="1:16" s="23" customFormat="1" x14ac:dyDescent="0.25">
      <c r="A161" s="24" t="s">
        <v>688</v>
      </c>
      <c r="B161" s="24" t="s">
        <v>671</v>
      </c>
      <c r="C161" s="24" t="s">
        <v>689</v>
      </c>
      <c r="D161" s="24" t="s">
        <v>690</v>
      </c>
      <c r="E161" s="24" t="s">
        <v>689</v>
      </c>
      <c r="F161" s="25" t="s">
        <v>53</v>
      </c>
      <c r="G161" s="24" t="s">
        <v>54</v>
      </c>
      <c r="H161" s="24" t="s">
        <v>55</v>
      </c>
      <c r="I161" s="25" t="s">
        <v>691</v>
      </c>
      <c r="J161" s="25" t="s">
        <v>57</v>
      </c>
      <c r="K161" s="25" t="s">
        <v>195</v>
      </c>
      <c r="L161" s="25" t="s">
        <v>73</v>
      </c>
      <c r="M161" s="25" t="s">
        <v>420</v>
      </c>
      <c r="N161" s="25" t="s">
        <v>465</v>
      </c>
      <c r="O161" s="25" t="s">
        <v>63</v>
      </c>
      <c r="P161" s="25" t="s">
        <v>63</v>
      </c>
    </row>
    <row r="162" ht="20" customHeight="1" spans="1:16" x14ac:dyDescent="0.25">
      <c r="A162" s="21" t="s">
        <v>692</v>
      </c>
      <c r="B162" s="21" t="s">
        <v>671</v>
      </c>
      <c r="C162" s="21" t="s">
        <v>693</v>
      </c>
      <c r="D162" s="21" t="s">
        <v>694</v>
      </c>
      <c r="E162" s="21" t="s">
        <v>695</v>
      </c>
      <c r="F162" s="22" t="s">
        <v>53</v>
      </c>
      <c r="G162" s="21" t="s">
        <v>54</v>
      </c>
      <c r="H162" s="21" t="s">
        <v>55</v>
      </c>
      <c r="I162" s="22" t="s">
        <v>691</v>
      </c>
      <c r="J162" s="22" t="s">
        <v>57</v>
      </c>
      <c r="K162" s="22" t="s">
        <v>696</v>
      </c>
      <c r="L162" s="22" t="s">
        <v>697</v>
      </c>
      <c r="M162" s="22" t="s">
        <v>160</v>
      </c>
      <c r="N162" s="22" t="s">
        <v>426</v>
      </c>
      <c r="O162" s="22" t="s">
        <v>698</v>
      </c>
      <c r="P162" s="22" t="s">
        <v>63</v>
      </c>
    </row>
    <row r="163" ht="20" customHeight="1" spans="1:16" s="23" customFormat="1" x14ac:dyDescent="0.25">
      <c r="A163" s="24" t="s">
        <v>699</v>
      </c>
      <c r="B163" s="24" t="s">
        <v>694</v>
      </c>
      <c r="C163" s="24" t="s">
        <v>656</v>
      </c>
      <c r="D163" s="24" t="s">
        <v>694</v>
      </c>
      <c r="E163" s="24" t="s">
        <v>700</v>
      </c>
      <c r="F163" s="25" t="s">
        <v>53</v>
      </c>
      <c r="G163" s="24" t="s">
        <v>105</v>
      </c>
      <c r="H163" s="24" t="s">
        <v>610</v>
      </c>
      <c r="I163" s="25" t="s">
        <v>616</v>
      </c>
      <c r="J163" s="25" t="s">
        <v>57</v>
      </c>
      <c r="K163" s="25" t="s">
        <v>330</v>
      </c>
      <c r="L163" s="25" t="s">
        <v>658</v>
      </c>
      <c r="M163" s="25" t="s">
        <v>616</v>
      </c>
      <c r="N163" s="25" t="s">
        <v>465</v>
      </c>
      <c r="O163" s="25" t="s">
        <v>701</v>
      </c>
      <c r="P163" s="25" t="s">
        <v>370</v>
      </c>
    </row>
    <row r="164" ht="20" customHeight="1" spans="1:16" x14ac:dyDescent="0.25">
      <c r="A164" s="21" t="s">
        <v>702</v>
      </c>
      <c r="B164" s="21" t="s">
        <v>694</v>
      </c>
      <c r="C164" s="21" t="s">
        <v>703</v>
      </c>
      <c r="D164" s="21" t="s">
        <v>694</v>
      </c>
      <c r="E164" s="21" t="s">
        <v>704</v>
      </c>
      <c r="F164" s="22" t="s">
        <v>53</v>
      </c>
      <c r="G164" s="21" t="s">
        <v>105</v>
      </c>
      <c r="H164" s="21" t="s">
        <v>55</v>
      </c>
      <c r="I164" s="22" t="s">
        <v>80</v>
      </c>
      <c r="J164" s="22" t="s">
        <v>57</v>
      </c>
      <c r="K164" s="22" t="s">
        <v>387</v>
      </c>
      <c r="L164" s="22" t="s">
        <v>73</v>
      </c>
      <c r="M164" s="22" t="s">
        <v>616</v>
      </c>
      <c r="N164" s="22" t="s">
        <v>465</v>
      </c>
      <c r="O164" s="22" t="s">
        <v>63</v>
      </c>
      <c r="P164" s="22" t="s">
        <v>63</v>
      </c>
    </row>
    <row r="165" ht="20" customHeight="1" spans="1:16" s="23" customFormat="1" x14ac:dyDescent="0.25">
      <c r="A165" s="24" t="s">
        <v>705</v>
      </c>
      <c r="B165" s="24" t="s">
        <v>706</v>
      </c>
      <c r="C165" s="24" t="s">
        <v>707</v>
      </c>
      <c r="D165" s="24" t="s">
        <v>706</v>
      </c>
      <c r="E165" s="24" t="s">
        <v>185</v>
      </c>
      <c r="F165" s="25" t="s">
        <v>53</v>
      </c>
      <c r="G165" s="24" t="s">
        <v>105</v>
      </c>
      <c r="H165" s="24" t="s">
        <v>55</v>
      </c>
      <c r="I165" s="25" t="s">
        <v>307</v>
      </c>
      <c r="J165" s="25" t="s">
        <v>57</v>
      </c>
      <c r="K165" s="25" t="s">
        <v>708</v>
      </c>
      <c r="L165" s="25" t="s">
        <v>534</v>
      </c>
      <c r="M165" s="25" t="s">
        <v>616</v>
      </c>
      <c r="N165" s="25" t="s">
        <v>465</v>
      </c>
      <c r="O165" s="25" t="s">
        <v>709</v>
      </c>
      <c r="P165" s="25" t="s">
        <v>332</v>
      </c>
    </row>
    <row r="166" ht="20" customHeight="1" spans="1:16" x14ac:dyDescent="0.25">
      <c r="A166" s="21" t="s">
        <v>710</v>
      </c>
      <c r="B166" s="21" t="s">
        <v>706</v>
      </c>
      <c r="C166" s="21" t="s">
        <v>711</v>
      </c>
      <c r="D166" s="21" t="s">
        <v>706</v>
      </c>
      <c r="E166" s="21" t="s">
        <v>661</v>
      </c>
      <c r="F166" s="22" t="s">
        <v>53</v>
      </c>
      <c r="G166" s="21" t="s">
        <v>54</v>
      </c>
      <c r="H166" s="21" t="s">
        <v>55</v>
      </c>
      <c r="I166" s="22" t="s">
        <v>712</v>
      </c>
      <c r="J166" s="22" t="s">
        <v>57</v>
      </c>
      <c r="K166" s="22" t="s">
        <v>713</v>
      </c>
      <c r="L166" s="22" t="s">
        <v>73</v>
      </c>
      <c r="M166" s="22" t="s">
        <v>616</v>
      </c>
      <c r="N166" s="22" t="s">
        <v>465</v>
      </c>
      <c r="O166" s="22" t="s">
        <v>63</v>
      </c>
      <c r="P166" s="22" t="s">
        <v>63</v>
      </c>
    </row>
    <row r="167" ht="20" customHeight="1" spans="1:16" s="23" customFormat="1" x14ac:dyDescent="0.25">
      <c r="A167" s="24" t="s">
        <v>714</v>
      </c>
      <c r="B167" s="24" t="s">
        <v>706</v>
      </c>
      <c r="C167" s="24" t="s">
        <v>715</v>
      </c>
      <c r="D167" s="24" t="s">
        <v>706</v>
      </c>
      <c r="E167" s="24" t="s">
        <v>497</v>
      </c>
      <c r="F167" s="25" t="s">
        <v>53</v>
      </c>
      <c r="G167" s="24" t="s">
        <v>105</v>
      </c>
      <c r="H167" s="24" t="s">
        <v>610</v>
      </c>
      <c r="I167" s="25" t="s">
        <v>209</v>
      </c>
      <c r="J167" s="25" t="s">
        <v>57</v>
      </c>
      <c r="K167" s="25" t="s">
        <v>716</v>
      </c>
      <c r="L167" s="25" t="s">
        <v>717</v>
      </c>
      <c r="M167" s="25" t="s">
        <v>420</v>
      </c>
      <c r="N167" s="25" t="s">
        <v>465</v>
      </c>
      <c r="O167" s="25" t="s">
        <v>718</v>
      </c>
      <c r="P167" s="25" t="s">
        <v>63</v>
      </c>
    </row>
    <row r="168" ht="20" customHeight="1" spans="1:16" x14ac:dyDescent="0.25">
      <c r="A168" s="21" t="s">
        <v>719</v>
      </c>
      <c r="B168" s="21" t="s">
        <v>706</v>
      </c>
      <c r="C168" s="21" t="s">
        <v>720</v>
      </c>
      <c r="D168" s="21" t="s">
        <v>706</v>
      </c>
      <c r="E168" s="21" t="s">
        <v>721</v>
      </c>
      <c r="F168" s="22" t="s">
        <v>68</v>
      </c>
      <c r="G168" s="21" t="s">
        <v>69</v>
      </c>
      <c r="H168" s="21" t="s">
        <v>70</v>
      </c>
      <c r="I168" s="22" t="s">
        <v>430</v>
      </c>
      <c r="J168" s="22" t="s">
        <v>57</v>
      </c>
      <c r="K168" s="22" t="s">
        <v>260</v>
      </c>
      <c r="L168" s="22" t="s">
        <v>73</v>
      </c>
      <c r="M168" s="22" t="s">
        <v>420</v>
      </c>
      <c r="N168" s="22" t="s">
        <v>465</v>
      </c>
      <c r="O168" s="22" t="s">
        <v>722</v>
      </c>
      <c r="P168" s="22" t="s">
        <v>63</v>
      </c>
    </row>
    <row r="169" ht="20" customHeight="1" spans="1:16" s="23" customFormat="1" x14ac:dyDescent="0.25">
      <c r="A169" s="24" t="s">
        <v>723</v>
      </c>
      <c r="B169" s="24" t="s">
        <v>706</v>
      </c>
      <c r="C169" s="24" t="s">
        <v>649</v>
      </c>
      <c r="D169" s="24" t="s">
        <v>690</v>
      </c>
      <c r="E169" s="24" t="s">
        <v>724</v>
      </c>
      <c r="F169" s="25" t="s">
        <v>137</v>
      </c>
      <c r="G169" s="24" t="s">
        <v>166</v>
      </c>
      <c r="H169" s="24" t="s">
        <v>139</v>
      </c>
      <c r="I169" s="25" t="s">
        <v>186</v>
      </c>
      <c r="J169" s="25" t="s">
        <v>57</v>
      </c>
      <c r="K169" s="25" t="s">
        <v>725</v>
      </c>
      <c r="L169" s="25" t="s">
        <v>726</v>
      </c>
      <c r="M169" s="25" t="s">
        <v>420</v>
      </c>
      <c r="N169" s="25" t="s">
        <v>465</v>
      </c>
      <c r="O169" s="25" t="s">
        <v>63</v>
      </c>
      <c r="P169" s="25" t="s">
        <v>63</v>
      </c>
    </row>
    <row r="170" ht="20" customHeight="1" spans="1:16" x14ac:dyDescent="0.25">
      <c r="A170" s="21" t="s">
        <v>727</v>
      </c>
      <c r="B170" s="21" t="s">
        <v>706</v>
      </c>
      <c r="C170" s="21" t="s">
        <v>728</v>
      </c>
      <c r="D170" s="21" t="s">
        <v>690</v>
      </c>
      <c r="E170" s="21" t="s">
        <v>724</v>
      </c>
      <c r="F170" s="22" t="s">
        <v>436</v>
      </c>
      <c r="G170" s="21" t="s">
        <v>437</v>
      </c>
      <c r="H170" s="21" t="s">
        <v>438</v>
      </c>
      <c r="I170" s="22" t="s">
        <v>71</v>
      </c>
      <c r="J170" s="22" t="s">
        <v>57</v>
      </c>
      <c r="K170" s="22" t="s">
        <v>72</v>
      </c>
      <c r="L170" s="22" t="s">
        <v>73</v>
      </c>
      <c r="M170" s="22" t="s">
        <v>420</v>
      </c>
      <c r="N170" s="22" t="s">
        <v>465</v>
      </c>
      <c r="O170" s="22" t="s">
        <v>729</v>
      </c>
      <c r="P170" s="22" t="s">
        <v>63</v>
      </c>
    </row>
    <row r="171" ht="20" customHeight="1" spans="1:16" s="23" customFormat="1" x14ac:dyDescent="0.25">
      <c r="A171" s="24" t="s">
        <v>730</v>
      </c>
      <c r="B171" s="24" t="s">
        <v>706</v>
      </c>
      <c r="C171" s="24" t="s">
        <v>66</v>
      </c>
      <c r="D171" s="24" t="s">
        <v>706</v>
      </c>
      <c r="E171" s="24" t="s">
        <v>95</v>
      </c>
      <c r="F171" s="25" t="s">
        <v>731</v>
      </c>
      <c r="G171" s="24" t="s">
        <v>732</v>
      </c>
      <c r="H171" s="24" t="s">
        <v>733</v>
      </c>
      <c r="I171" s="25" t="s">
        <v>113</v>
      </c>
      <c r="J171" s="25" t="s">
        <v>57</v>
      </c>
      <c r="K171" s="25" t="s">
        <v>147</v>
      </c>
      <c r="L171" s="25" t="s">
        <v>734</v>
      </c>
      <c r="M171" s="25" t="s">
        <v>420</v>
      </c>
      <c r="N171" s="25" t="s">
        <v>465</v>
      </c>
      <c r="O171" s="25" t="s">
        <v>735</v>
      </c>
      <c r="P171" s="25" t="s">
        <v>63</v>
      </c>
    </row>
    <row r="172" ht="20" customHeight="1" spans="1:16" x14ac:dyDescent="0.25">
      <c r="A172" s="21" t="s">
        <v>719</v>
      </c>
      <c r="B172" s="21" t="s">
        <v>706</v>
      </c>
      <c r="C172" s="21" t="s">
        <v>67</v>
      </c>
      <c r="D172" s="21" t="s">
        <v>706</v>
      </c>
      <c r="E172" s="21" t="s">
        <v>212</v>
      </c>
      <c r="F172" s="22" t="s">
        <v>68</v>
      </c>
      <c r="G172" s="21" t="s">
        <v>69</v>
      </c>
      <c r="H172" s="21" t="s">
        <v>70</v>
      </c>
      <c r="I172" s="22" t="s">
        <v>430</v>
      </c>
      <c r="J172" s="22" t="s">
        <v>57</v>
      </c>
      <c r="K172" s="22" t="s">
        <v>736</v>
      </c>
      <c r="L172" s="22" t="s">
        <v>737</v>
      </c>
      <c r="M172" s="22" t="s">
        <v>420</v>
      </c>
      <c r="N172" s="22" t="s">
        <v>465</v>
      </c>
      <c r="O172" s="22" t="s">
        <v>63</v>
      </c>
      <c r="P172" s="22" t="s">
        <v>63</v>
      </c>
    </row>
    <row r="173" ht="20" customHeight="1" spans="1:16" s="23" customFormat="1" x14ac:dyDescent="0.25">
      <c r="A173" s="24" t="s">
        <v>738</v>
      </c>
      <c r="B173" s="24" t="s">
        <v>706</v>
      </c>
      <c r="C173" s="24" t="s">
        <v>739</v>
      </c>
      <c r="D173" s="24" t="s">
        <v>706</v>
      </c>
      <c r="E173" s="24" t="s">
        <v>740</v>
      </c>
      <c r="F173" s="25" t="s">
        <v>137</v>
      </c>
      <c r="G173" s="24" t="s">
        <v>138</v>
      </c>
      <c r="H173" s="24" t="s">
        <v>139</v>
      </c>
      <c r="I173" s="25" t="s">
        <v>80</v>
      </c>
      <c r="J173" s="25" t="s">
        <v>57</v>
      </c>
      <c r="K173" s="25" t="s">
        <v>72</v>
      </c>
      <c r="L173" s="25" t="s">
        <v>73</v>
      </c>
      <c r="M173" s="25" t="s">
        <v>420</v>
      </c>
      <c r="N173" s="25" t="s">
        <v>465</v>
      </c>
      <c r="O173" s="25" t="s">
        <v>63</v>
      </c>
      <c r="P173" s="25" t="s">
        <v>63</v>
      </c>
    </row>
    <row r="174" ht="20" customHeight="1" spans="1:16" x14ac:dyDescent="0.25">
      <c r="A174" s="21" t="s">
        <v>741</v>
      </c>
      <c r="B174" s="21" t="s">
        <v>706</v>
      </c>
      <c r="C174" s="21" t="s">
        <v>574</v>
      </c>
      <c r="D174" s="21" t="s">
        <v>706</v>
      </c>
      <c r="E174" s="21" t="s">
        <v>742</v>
      </c>
      <c r="F174" s="22" t="s">
        <v>85</v>
      </c>
      <c r="G174" s="21" t="s">
        <v>86</v>
      </c>
      <c r="H174" s="21" t="s">
        <v>87</v>
      </c>
      <c r="I174" s="22" t="s">
        <v>80</v>
      </c>
      <c r="J174" s="22" t="s">
        <v>57</v>
      </c>
      <c r="K174" s="22" t="s">
        <v>151</v>
      </c>
      <c r="L174" s="22" t="s">
        <v>743</v>
      </c>
      <c r="M174" s="22" t="s">
        <v>420</v>
      </c>
      <c r="N174" s="22" t="s">
        <v>465</v>
      </c>
      <c r="O174" s="22" t="s">
        <v>744</v>
      </c>
      <c r="P174" s="22" t="s">
        <v>63</v>
      </c>
    </row>
    <row r="175" ht="20" customHeight="1" spans="1:16" s="23" customFormat="1" x14ac:dyDescent="0.25">
      <c r="A175" s="24" t="s">
        <v>745</v>
      </c>
      <c r="B175" s="24" t="s">
        <v>706</v>
      </c>
      <c r="C175" s="24" t="s">
        <v>328</v>
      </c>
      <c r="D175" s="24" t="s">
        <v>690</v>
      </c>
      <c r="E175" s="24" t="s">
        <v>724</v>
      </c>
      <c r="F175" s="25" t="s">
        <v>53</v>
      </c>
      <c r="G175" s="24" t="s">
        <v>105</v>
      </c>
      <c r="H175" s="24" t="s">
        <v>610</v>
      </c>
      <c r="I175" s="25" t="s">
        <v>71</v>
      </c>
      <c r="J175" s="25" t="s">
        <v>57</v>
      </c>
      <c r="K175" s="25" t="s">
        <v>746</v>
      </c>
      <c r="L175" s="25" t="s">
        <v>73</v>
      </c>
      <c r="M175" s="25" t="s">
        <v>420</v>
      </c>
      <c r="N175" s="25" t="s">
        <v>465</v>
      </c>
      <c r="O175" s="25" t="s">
        <v>63</v>
      </c>
      <c r="P175" s="25" t="s">
        <v>63</v>
      </c>
    </row>
    <row r="176" ht="20" customHeight="1" spans="1:16" x14ac:dyDescent="0.25">
      <c r="A176" s="21" t="s">
        <v>747</v>
      </c>
      <c r="B176" s="21" t="s">
        <v>690</v>
      </c>
      <c r="C176" s="21" t="s">
        <v>724</v>
      </c>
      <c r="D176" s="21" t="s">
        <v>690</v>
      </c>
      <c r="E176" s="21" t="s">
        <v>748</v>
      </c>
      <c r="F176" s="22" t="s">
        <v>53</v>
      </c>
      <c r="G176" s="21" t="s">
        <v>54</v>
      </c>
      <c r="H176" s="21" t="s">
        <v>55</v>
      </c>
      <c r="I176" s="22" t="s">
        <v>186</v>
      </c>
      <c r="J176" s="22" t="s">
        <v>57</v>
      </c>
      <c r="K176" s="22" t="s">
        <v>605</v>
      </c>
      <c r="L176" s="22" t="s">
        <v>749</v>
      </c>
      <c r="M176" s="22" t="s">
        <v>354</v>
      </c>
      <c r="N176" s="22" t="s">
        <v>355</v>
      </c>
      <c r="O176" s="22" t="s">
        <v>63</v>
      </c>
      <c r="P176" s="22" t="s">
        <v>63</v>
      </c>
    </row>
    <row r="177" ht="20" customHeight="1" spans="1:16" s="23" customFormat="1" x14ac:dyDescent="0.25">
      <c r="A177" s="24" t="s">
        <v>750</v>
      </c>
      <c r="B177" s="24" t="s">
        <v>690</v>
      </c>
      <c r="C177" s="24" t="s">
        <v>648</v>
      </c>
      <c r="D177" s="24" t="s">
        <v>690</v>
      </c>
      <c r="E177" s="24" t="s">
        <v>751</v>
      </c>
      <c r="F177" s="25" t="s">
        <v>53</v>
      </c>
      <c r="G177" s="24" t="s">
        <v>105</v>
      </c>
      <c r="H177" s="24" t="s">
        <v>610</v>
      </c>
      <c r="I177" s="25" t="s">
        <v>140</v>
      </c>
      <c r="J177" s="25" t="s">
        <v>57</v>
      </c>
      <c r="K177" s="25" t="s">
        <v>752</v>
      </c>
      <c r="L177" s="25" t="s">
        <v>73</v>
      </c>
      <c r="M177" s="25" t="s">
        <v>160</v>
      </c>
      <c r="N177" s="25" t="s">
        <v>426</v>
      </c>
      <c r="O177" s="25" t="s">
        <v>63</v>
      </c>
      <c r="P177" s="25" t="s">
        <v>63</v>
      </c>
    </row>
    <row r="178" ht="20" customHeight="1" spans="1:16" x14ac:dyDescent="0.25">
      <c r="A178" s="21" t="s">
        <v>753</v>
      </c>
      <c r="B178" s="21" t="s">
        <v>690</v>
      </c>
      <c r="C178" s="21" t="s">
        <v>754</v>
      </c>
      <c r="D178" s="21" t="s">
        <v>690</v>
      </c>
      <c r="E178" s="21" t="s">
        <v>755</v>
      </c>
      <c r="F178" s="22" t="s">
        <v>85</v>
      </c>
      <c r="G178" s="21" t="s">
        <v>86</v>
      </c>
      <c r="H178" s="21" t="s">
        <v>87</v>
      </c>
      <c r="I178" s="22" t="s">
        <v>88</v>
      </c>
      <c r="J178" s="22" t="s">
        <v>57</v>
      </c>
      <c r="K178" s="22" t="s">
        <v>58</v>
      </c>
      <c r="L178" s="22" t="s">
        <v>73</v>
      </c>
      <c r="M178" s="22" t="s">
        <v>354</v>
      </c>
      <c r="N178" s="22" t="s">
        <v>355</v>
      </c>
      <c r="O178" s="22" t="s">
        <v>756</v>
      </c>
      <c r="P178" s="22" t="s">
        <v>63</v>
      </c>
    </row>
    <row r="179" ht="20" customHeight="1" spans="1:16" s="23" customFormat="1" x14ac:dyDescent="0.25">
      <c r="A179" s="24" t="s">
        <v>757</v>
      </c>
      <c r="B179" s="24" t="s">
        <v>690</v>
      </c>
      <c r="C179" s="24" t="s">
        <v>169</v>
      </c>
      <c r="D179" s="24" t="s">
        <v>690</v>
      </c>
      <c r="E179" s="24" t="s">
        <v>758</v>
      </c>
      <c r="F179" s="25" t="s">
        <v>731</v>
      </c>
      <c r="G179" s="24" t="s">
        <v>732</v>
      </c>
      <c r="H179" s="24" t="s">
        <v>733</v>
      </c>
      <c r="I179" s="25" t="s">
        <v>113</v>
      </c>
      <c r="J179" s="25" t="s">
        <v>57</v>
      </c>
      <c r="K179" s="25" t="s">
        <v>759</v>
      </c>
      <c r="L179" s="25" t="s">
        <v>760</v>
      </c>
      <c r="M179" s="25" t="s">
        <v>160</v>
      </c>
      <c r="N179" s="25" t="s">
        <v>426</v>
      </c>
      <c r="O179" s="25" t="s">
        <v>63</v>
      </c>
      <c r="P179" s="25" t="s">
        <v>63</v>
      </c>
    </row>
    <row r="180" ht="20" customHeight="1" spans="1:16" x14ac:dyDescent="0.25">
      <c r="A180" s="21" t="s">
        <v>761</v>
      </c>
      <c r="B180" s="21" t="s">
        <v>690</v>
      </c>
      <c r="C180" s="21" t="s">
        <v>762</v>
      </c>
      <c r="D180" s="21" t="s">
        <v>690</v>
      </c>
      <c r="E180" s="21" t="s">
        <v>758</v>
      </c>
      <c r="F180" s="22" t="s">
        <v>53</v>
      </c>
      <c r="G180" s="21" t="s">
        <v>105</v>
      </c>
      <c r="H180" s="21" t="s">
        <v>610</v>
      </c>
      <c r="I180" s="22" t="s">
        <v>763</v>
      </c>
      <c r="J180" s="22" t="s">
        <v>57</v>
      </c>
      <c r="K180" s="22" t="s">
        <v>764</v>
      </c>
      <c r="L180" s="22" t="s">
        <v>73</v>
      </c>
      <c r="M180" s="22" t="s">
        <v>499</v>
      </c>
      <c r="N180" s="22" t="s">
        <v>465</v>
      </c>
      <c r="O180" s="22" t="s">
        <v>63</v>
      </c>
      <c r="P180" s="22" t="s">
        <v>63</v>
      </c>
    </row>
    <row r="181" ht="20" customHeight="1" spans="1:16" s="23" customFormat="1" x14ac:dyDescent="0.25">
      <c r="A181" s="24" t="s">
        <v>765</v>
      </c>
      <c r="B181" s="24" t="s">
        <v>690</v>
      </c>
      <c r="C181" s="24" t="s">
        <v>766</v>
      </c>
      <c r="D181" s="24" t="s">
        <v>690</v>
      </c>
      <c r="E181" s="24" t="s">
        <v>767</v>
      </c>
      <c r="F181" s="25" t="s">
        <v>53</v>
      </c>
      <c r="G181" s="24" t="s">
        <v>105</v>
      </c>
      <c r="H181" s="24" t="s">
        <v>610</v>
      </c>
      <c r="I181" s="25" t="s">
        <v>140</v>
      </c>
      <c r="J181" s="25" t="s">
        <v>57</v>
      </c>
      <c r="K181" s="25" t="s">
        <v>58</v>
      </c>
      <c r="L181" s="25" t="s">
        <v>73</v>
      </c>
      <c r="M181" s="25" t="s">
        <v>499</v>
      </c>
      <c r="N181" s="25" t="s">
        <v>465</v>
      </c>
      <c r="O181" s="25" t="s">
        <v>63</v>
      </c>
      <c r="P181" s="25" t="s">
        <v>63</v>
      </c>
    </row>
    <row r="182" ht="20" customHeight="1" spans="1:16" x14ac:dyDescent="0.25">
      <c r="A182" s="21" t="s">
        <v>768</v>
      </c>
      <c r="B182" s="21" t="s">
        <v>690</v>
      </c>
      <c r="C182" s="21" t="s">
        <v>769</v>
      </c>
      <c r="D182" s="21" t="s">
        <v>690</v>
      </c>
      <c r="E182" s="21" t="s">
        <v>770</v>
      </c>
      <c r="F182" s="22" t="s">
        <v>53</v>
      </c>
      <c r="G182" s="21" t="s">
        <v>105</v>
      </c>
      <c r="H182" s="21" t="s">
        <v>610</v>
      </c>
      <c r="I182" s="22" t="s">
        <v>771</v>
      </c>
      <c r="J182" s="22" t="s">
        <v>57</v>
      </c>
      <c r="K182" s="22" t="s">
        <v>772</v>
      </c>
      <c r="L182" s="22" t="s">
        <v>73</v>
      </c>
      <c r="M182" s="22" t="s">
        <v>616</v>
      </c>
      <c r="N182" s="22" t="s">
        <v>465</v>
      </c>
      <c r="O182" s="22" t="s">
        <v>63</v>
      </c>
      <c r="P182" s="22" t="s">
        <v>63</v>
      </c>
    </row>
    <row r="183" ht="20" customHeight="1" spans="1:16" s="23" customFormat="1" x14ac:dyDescent="0.25">
      <c r="A183" s="24" t="s">
        <v>773</v>
      </c>
      <c r="B183" s="24" t="s">
        <v>690</v>
      </c>
      <c r="C183" s="24" t="s">
        <v>774</v>
      </c>
      <c r="D183" s="24" t="s">
        <v>690</v>
      </c>
      <c r="E183" s="24" t="s">
        <v>657</v>
      </c>
      <c r="F183" s="25" t="s">
        <v>68</v>
      </c>
      <c r="G183" s="24" t="s">
        <v>69</v>
      </c>
      <c r="H183" s="24" t="s">
        <v>70</v>
      </c>
      <c r="I183" s="25" t="s">
        <v>140</v>
      </c>
      <c r="J183" s="25" t="s">
        <v>57</v>
      </c>
      <c r="K183" s="25" t="s">
        <v>775</v>
      </c>
      <c r="L183" s="25" t="s">
        <v>73</v>
      </c>
      <c r="M183" s="25" t="s">
        <v>616</v>
      </c>
      <c r="N183" s="25" t="s">
        <v>465</v>
      </c>
      <c r="O183" s="25" t="s">
        <v>63</v>
      </c>
      <c r="P183" s="25" t="s">
        <v>63</v>
      </c>
    </row>
    <row r="184" ht="20" customHeight="1" spans="1:16" x14ac:dyDescent="0.25">
      <c r="A184" s="21" t="s">
        <v>776</v>
      </c>
      <c r="B184" s="21" t="s">
        <v>777</v>
      </c>
      <c r="C184" s="21" t="s">
        <v>778</v>
      </c>
      <c r="D184" s="21" t="s">
        <v>777</v>
      </c>
      <c r="E184" s="21" t="s">
        <v>779</v>
      </c>
      <c r="F184" s="22" t="s">
        <v>68</v>
      </c>
      <c r="G184" s="21" t="s">
        <v>69</v>
      </c>
      <c r="H184" s="21" t="s">
        <v>70</v>
      </c>
      <c r="I184" s="22" t="s">
        <v>140</v>
      </c>
      <c r="J184" s="22" t="s">
        <v>57</v>
      </c>
      <c r="K184" s="22" t="s">
        <v>780</v>
      </c>
      <c r="L184" s="22" t="s">
        <v>781</v>
      </c>
      <c r="M184" s="22" t="s">
        <v>616</v>
      </c>
      <c r="N184" s="22" t="s">
        <v>465</v>
      </c>
      <c r="O184" s="22" t="s">
        <v>63</v>
      </c>
      <c r="P184" s="22" t="s">
        <v>63</v>
      </c>
    </row>
    <row r="185" ht="20" customHeight="1" spans="1:16" s="23" customFormat="1" x14ac:dyDescent="0.25">
      <c r="A185" s="24" t="s">
        <v>782</v>
      </c>
      <c r="B185" s="24" t="s">
        <v>777</v>
      </c>
      <c r="C185" s="24" t="s">
        <v>724</v>
      </c>
      <c r="D185" s="24" t="s">
        <v>777</v>
      </c>
      <c r="E185" s="24" t="s">
        <v>783</v>
      </c>
      <c r="F185" s="25" t="s">
        <v>53</v>
      </c>
      <c r="G185" s="24" t="s">
        <v>105</v>
      </c>
      <c r="H185" s="24" t="s">
        <v>55</v>
      </c>
      <c r="I185" s="25" t="s">
        <v>763</v>
      </c>
      <c r="J185" s="25" t="s">
        <v>57</v>
      </c>
      <c r="K185" s="25" t="s">
        <v>775</v>
      </c>
      <c r="L185" s="25" t="s">
        <v>534</v>
      </c>
      <c r="M185" s="25" t="s">
        <v>420</v>
      </c>
      <c r="N185" s="25" t="s">
        <v>465</v>
      </c>
      <c r="O185" s="25" t="s">
        <v>63</v>
      </c>
      <c r="P185" s="25" t="s">
        <v>63</v>
      </c>
    </row>
    <row r="186" ht="20" customHeight="1" spans="1:16" x14ac:dyDescent="0.25">
      <c r="A186" s="21" t="s">
        <v>784</v>
      </c>
      <c r="B186" s="21" t="s">
        <v>777</v>
      </c>
      <c r="C186" s="21" t="s">
        <v>785</v>
      </c>
      <c r="D186" s="21" t="s">
        <v>777</v>
      </c>
      <c r="E186" s="21" t="s">
        <v>786</v>
      </c>
      <c r="F186" s="22" t="s">
        <v>53</v>
      </c>
      <c r="G186" s="21" t="s">
        <v>54</v>
      </c>
      <c r="H186" s="21" t="s">
        <v>55</v>
      </c>
      <c r="I186" s="22" t="s">
        <v>160</v>
      </c>
      <c r="J186" s="22" t="s">
        <v>57</v>
      </c>
      <c r="K186" s="22" t="s">
        <v>787</v>
      </c>
      <c r="L186" s="22" t="s">
        <v>73</v>
      </c>
      <c r="M186" s="22" t="s">
        <v>160</v>
      </c>
      <c r="N186" s="22" t="s">
        <v>426</v>
      </c>
      <c r="O186" s="22" t="s">
        <v>63</v>
      </c>
      <c r="P186" s="22" t="s">
        <v>63</v>
      </c>
    </row>
    <row r="187" ht="20" customHeight="1" spans="1:16" s="23" customFormat="1" x14ac:dyDescent="0.25">
      <c r="A187" s="24" t="s">
        <v>788</v>
      </c>
      <c r="B187" s="24" t="s">
        <v>777</v>
      </c>
      <c r="C187" s="24" t="s">
        <v>789</v>
      </c>
      <c r="D187" s="24" t="s">
        <v>777</v>
      </c>
      <c r="E187" s="24" t="s">
        <v>790</v>
      </c>
      <c r="F187" s="25" t="s">
        <v>85</v>
      </c>
      <c r="G187" s="24" t="s">
        <v>86</v>
      </c>
      <c r="H187" s="24" t="s">
        <v>87</v>
      </c>
      <c r="I187" s="25" t="s">
        <v>88</v>
      </c>
      <c r="J187" s="25" t="s">
        <v>57</v>
      </c>
      <c r="K187" s="25" t="s">
        <v>58</v>
      </c>
      <c r="L187" s="25" t="s">
        <v>73</v>
      </c>
      <c r="M187" s="25" t="s">
        <v>420</v>
      </c>
      <c r="N187" s="25" t="s">
        <v>465</v>
      </c>
      <c r="O187" s="25" t="s">
        <v>63</v>
      </c>
      <c r="P187" s="25" t="s">
        <v>63</v>
      </c>
    </row>
    <row r="188" ht="20" customHeight="1" spans="1:16" x14ac:dyDescent="0.25">
      <c r="A188" s="21" t="s">
        <v>791</v>
      </c>
      <c r="B188" s="21" t="s">
        <v>777</v>
      </c>
      <c r="C188" s="21" t="s">
        <v>792</v>
      </c>
      <c r="D188" s="21" t="s">
        <v>777</v>
      </c>
      <c r="E188" s="21" t="s">
        <v>793</v>
      </c>
      <c r="F188" s="22" t="s">
        <v>731</v>
      </c>
      <c r="G188" s="21" t="s">
        <v>732</v>
      </c>
      <c r="H188" s="21" t="s">
        <v>733</v>
      </c>
      <c r="I188" s="22" t="s">
        <v>113</v>
      </c>
      <c r="J188" s="22" t="s">
        <v>57</v>
      </c>
      <c r="K188" s="22" t="s">
        <v>147</v>
      </c>
      <c r="L188" s="22" t="s">
        <v>794</v>
      </c>
      <c r="M188" s="22" t="s">
        <v>275</v>
      </c>
      <c r="N188" s="22" t="s">
        <v>795</v>
      </c>
      <c r="O188" s="22" t="s">
        <v>796</v>
      </c>
      <c r="P188" s="22" t="s">
        <v>63</v>
      </c>
    </row>
    <row r="189" ht="20" customHeight="1" spans="1:16" s="23" customFormat="1" x14ac:dyDescent="0.25">
      <c r="A189" s="24" t="s">
        <v>797</v>
      </c>
      <c r="B189" s="24" t="s">
        <v>777</v>
      </c>
      <c r="C189" s="24" t="s">
        <v>798</v>
      </c>
      <c r="D189" s="24" t="s">
        <v>777</v>
      </c>
      <c r="E189" s="24" t="s">
        <v>799</v>
      </c>
      <c r="F189" s="25" t="s">
        <v>53</v>
      </c>
      <c r="G189" s="24" t="s">
        <v>105</v>
      </c>
      <c r="H189" s="24" t="s">
        <v>610</v>
      </c>
      <c r="I189" s="25" t="s">
        <v>763</v>
      </c>
      <c r="J189" s="25" t="s">
        <v>57</v>
      </c>
      <c r="K189" s="25" t="s">
        <v>58</v>
      </c>
      <c r="L189" s="25" t="s">
        <v>73</v>
      </c>
      <c r="M189" s="25" t="s">
        <v>275</v>
      </c>
      <c r="N189" s="25" t="s">
        <v>795</v>
      </c>
      <c r="O189" s="25" t="s">
        <v>63</v>
      </c>
      <c r="P189" s="25" t="s">
        <v>63</v>
      </c>
    </row>
    <row r="190" ht="20" customHeight="1" spans="1:16" x14ac:dyDescent="0.25">
      <c r="A190" s="21" t="s">
        <v>800</v>
      </c>
      <c r="B190" s="21" t="s">
        <v>777</v>
      </c>
      <c r="C190" s="21" t="s">
        <v>801</v>
      </c>
      <c r="D190" s="21" t="s">
        <v>777</v>
      </c>
      <c r="E190" s="21" t="s">
        <v>802</v>
      </c>
      <c r="F190" s="22" t="s">
        <v>731</v>
      </c>
      <c r="G190" s="21" t="s">
        <v>732</v>
      </c>
      <c r="H190" s="21" t="s">
        <v>733</v>
      </c>
      <c r="I190" s="22" t="s">
        <v>683</v>
      </c>
      <c r="J190" s="22" t="s">
        <v>57</v>
      </c>
      <c r="K190" s="22" t="s">
        <v>72</v>
      </c>
      <c r="L190" s="22" t="s">
        <v>73</v>
      </c>
      <c r="M190" s="22" t="s">
        <v>275</v>
      </c>
      <c r="N190" s="22" t="s">
        <v>795</v>
      </c>
      <c r="O190" s="22" t="s">
        <v>63</v>
      </c>
      <c r="P190" s="22" t="s">
        <v>63</v>
      </c>
    </row>
    <row r="191" ht="20" customHeight="1" spans="1:16" s="23" customFormat="1" x14ac:dyDescent="0.25">
      <c r="A191" s="24" t="s">
        <v>803</v>
      </c>
      <c r="B191" s="24" t="s">
        <v>777</v>
      </c>
      <c r="C191" s="24" t="s">
        <v>328</v>
      </c>
      <c r="D191" s="24" t="s">
        <v>777</v>
      </c>
      <c r="E191" s="24" t="s">
        <v>804</v>
      </c>
      <c r="F191" s="25" t="s">
        <v>53</v>
      </c>
      <c r="G191" s="24" t="s">
        <v>105</v>
      </c>
      <c r="H191" s="24" t="s">
        <v>610</v>
      </c>
      <c r="I191" s="25" t="s">
        <v>186</v>
      </c>
      <c r="J191" s="25" t="s">
        <v>57</v>
      </c>
      <c r="K191" s="25" t="s">
        <v>752</v>
      </c>
      <c r="L191" s="25" t="s">
        <v>513</v>
      </c>
      <c r="M191" s="25" t="s">
        <v>160</v>
      </c>
      <c r="N191" s="25" t="s">
        <v>426</v>
      </c>
      <c r="O191" s="25" t="s">
        <v>805</v>
      </c>
      <c r="P191" s="25" t="s">
        <v>63</v>
      </c>
    </row>
    <row r="192" ht="20" customHeight="1" spans="1:16" x14ac:dyDescent="0.25">
      <c r="A192" s="21" t="s">
        <v>806</v>
      </c>
      <c r="B192" s="21" t="s">
        <v>807</v>
      </c>
      <c r="C192" s="21" t="s">
        <v>689</v>
      </c>
      <c r="D192" s="21" t="s">
        <v>807</v>
      </c>
      <c r="E192" s="21" t="s">
        <v>808</v>
      </c>
      <c r="F192" s="22" t="s">
        <v>53</v>
      </c>
      <c r="G192" s="21" t="s">
        <v>54</v>
      </c>
      <c r="H192" s="21" t="s">
        <v>55</v>
      </c>
      <c r="I192" s="22" t="s">
        <v>80</v>
      </c>
      <c r="J192" s="22" t="s">
        <v>57</v>
      </c>
      <c r="K192" s="22" t="s">
        <v>605</v>
      </c>
      <c r="L192" s="22" t="s">
        <v>73</v>
      </c>
      <c r="M192" s="22" t="s">
        <v>354</v>
      </c>
      <c r="N192" s="22" t="s">
        <v>355</v>
      </c>
      <c r="O192" s="22" t="s">
        <v>809</v>
      </c>
      <c r="P192" s="22" t="s">
        <v>63</v>
      </c>
    </row>
    <row r="193" ht="20" customHeight="1" spans="1:16" s="23" customFormat="1" x14ac:dyDescent="0.25">
      <c r="A193" s="24" t="s">
        <v>810</v>
      </c>
      <c r="B193" s="24" t="s">
        <v>807</v>
      </c>
      <c r="C193" s="24" t="s">
        <v>811</v>
      </c>
      <c r="D193" s="24" t="s">
        <v>807</v>
      </c>
      <c r="E193" s="24" t="s">
        <v>109</v>
      </c>
      <c r="F193" s="25" t="s">
        <v>53</v>
      </c>
      <c r="G193" s="24" t="s">
        <v>105</v>
      </c>
      <c r="H193" s="24" t="s">
        <v>610</v>
      </c>
      <c r="I193" s="25" t="s">
        <v>56</v>
      </c>
      <c r="J193" s="25" t="s">
        <v>57</v>
      </c>
      <c r="K193" s="25" t="s">
        <v>247</v>
      </c>
      <c r="L193" s="25" t="s">
        <v>73</v>
      </c>
      <c r="M193" s="25" t="s">
        <v>354</v>
      </c>
      <c r="N193" s="25" t="s">
        <v>355</v>
      </c>
      <c r="O193" s="25" t="s">
        <v>812</v>
      </c>
      <c r="P193" s="25" t="s">
        <v>63</v>
      </c>
    </row>
    <row r="194" ht="20" customHeight="1" spans="1:16" x14ac:dyDescent="0.25">
      <c r="A194" s="21" t="s">
        <v>813</v>
      </c>
      <c r="B194" s="21" t="s">
        <v>807</v>
      </c>
      <c r="C194" s="21" t="s">
        <v>814</v>
      </c>
      <c r="D194" s="21" t="s">
        <v>807</v>
      </c>
      <c r="E194" s="21" t="s">
        <v>815</v>
      </c>
      <c r="F194" s="22" t="s">
        <v>68</v>
      </c>
      <c r="G194" s="21" t="s">
        <v>69</v>
      </c>
      <c r="H194" s="21" t="s">
        <v>70</v>
      </c>
      <c r="I194" s="22" t="s">
        <v>100</v>
      </c>
      <c r="J194" s="22" t="s">
        <v>57</v>
      </c>
      <c r="K194" s="22" t="s">
        <v>247</v>
      </c>
      <c r="L194" s="22" t="s">
        <v>73</v>
      </c>
      <c r="M194" s="22" t="s">
        <v>354</v>
      </c>
      <c r="N194" s="22" t="s">
        <v>355</v>
      </c>
      <c r="O194" s="22" t="s">
        <v>816</v>
      </c>
      <c r="P194" s="22" t="s">
        <v>817</v>
      </c>
    </row>
    <row r="195" ht="20" customHeight="1" spans="1:16" s="23" customFormat="1" x14ac:dyDescent="0.25">
      <c r="A195" s="24" t="s">
        <v>818</v>
      </c>
      <c r="B195" s="24" t="s">
        <v>807</v>
      </c>
      <c r="C195" s="24" t="s">
        <v>819</v>
      </c>
      <c r="D195" s="24" t="s">
        <v>807</v>
      </c>
      <c r="E195" s="24" t="s">
        <v>820</v>
      </c>
      <c r="F195" s="25" t="s">
        <v>53</v>
      </c>
      <c r="G195" s="24" t="s">
        <v>54</v>
      </c>
      <c r="H195" s="24" t="s">
        <v>55</v>
      </c>
      <c r="I195" s="25" t="s">
        <v>132</v>
      </c>
      <c r="J195" s="25" t="s">
        <v>57</v>
      </c>
      <c r="K195" s="25" t="s">
        <v>330</v>
      </c>
      <c r="L195" s="25" t="s">
        <v>331</v>
      </c>
      <c r="M195" s="25" t="s">
        <v>616</v>
      </c>
      <c r="N195" s="25" t="s">
        <v>465</v>
      </c>
      <c r="O195" s="25" t="s">
        <v>63</v>
      </c>
      <c r="P195" s="25" t="s">
        <v>63</v>
      </c>
    </row>
    <row r="196" ht="20" customHeight="1" spans="1:16" x14ac:dyDescent="0.25">
      <c r="A196" s="21" t="s">
        <v>821</v>
      </c>
      <c r="B196" s="21" t="s">
        <v>822</v>
      </c>
      <c r="C196" s="21" t="s">
        <v>93</v>
      </c>
      <c r="D196" s="21" t="s">
        <v>822</v>
      </c>
      <c r="E196" s="21" t="s">
        <v>336</v>
      </c>
      <c r="F196" s="22" t="s">
        <v>53</v>
      </c>
      <c r="G196" s="21" t="s">
        <v>54</v>
      </c>
      <c r="H196" s="21" t="s">
        <v>55</v>
      </c>
      <c r="I196" s="22" t="s">
        <v>233</v>
      </c>
      <c r="J196" s="22" t="s">
        <v>57</v>
      </c>
      <c r="K196" s="22" t="s">
        <v>823</v>
      </c>
      <c r="L196" s="22" t="s">
        <v>73</v>
      </c>
      <c r="M196" s="22" t="s">
        <v>616</v>
      </c>
      <c r="N196" s="22" t="s">
        <v>465</v>
      </c>
      <c r="O196" s="22" t="s">
        <v>63</v>
      </c>
      <c r="P196" s="22" t="s">
        <v>494</v>
      </c>
    </row>
    <row r="197" ht="20" customHeight="1" spans="1:16" s="23" customFormat="1" x14ac:dyDescent="0.25">
      <c r="A197" s="24" t="s">
        <v>824</v>
      </c>
      <c r="B197" s="24" t="s">
        <v>822</v>
      </c>
      <c r="C197" s="24" t="s">
        <v>467</v>
      </c>
      <c r="D197" s="24" t="s">
        <v>822</v>
      </c>
      <c r="E197" s="24" t="s">
        <v>825</v>
      </c>
      <c r="F197" s="25" t="s">
        <v>436</v>
      </c>
      <c r="G197" s="24" t="s">
        <v>437</v>
      </c>
      <c r="H197" s="24" t="s">
        <v>438</v>
      </c>
      <c r="I197" s="25" t="s">
        <v>71</v>
      </c>
      <c r="J197" s="25" t="s">
        <v>57</v>
      </c>
      <c r="K197" s="25" t="s">
        <v>206</v>
      </c>
      <c r="L197" s="25" t="s">
        <v>513</v>
      </c>
      <c r="M197" s="25" t="s">
        <v>420</v>
      </c>
      <c r="N197" s="25" t="s">
        <v>465</v>
      </c>
      <c r="O197" s="25" t="s">
        <v>63</v>
      </c>
      <c r="P197" s="25" t="s">
        <v>63</v>
      </c>
    </row>
    <row r="198" ht="20" customHeight="1" spans="1:16" x14ac:dyDescent="0.25">
      <c r="A198" s="21" t="s">
        <v>826</v>
      </c>
      <c r="B198" s="21" t="s">
        <v>822</v>
      </c>
      <c r="C198" s="21" t="s">
        <v>827</v>
      </c>
      <c r="D198" s="21" t="s">
        <v>822</v>
      </c>
      <c r="E198" s="21" t="s">
        <v>828</v>
      </c>
      <c r="F198" s="22" t="s">
        <v>53</v>
      </c>
      <c r="G198" s="21" t="s">
        <v>54</v>
      </c>
      <c r="H198" s="21" t="s">
        <v>55</v>
      </c>
      <c r="I198" s="22" t="s">
        <v>307</v>
      </c>
      <c r="J198" s="22" t="s">
        <v>57</v>
      </c>
      <c r="K198" s="22" t="s">
        <v>829</v>
      </c>
      <c r="L198" s="22" t="s">
        <v>73</v>
      </c>
      <c r="M198" s="22" t="s">
        <v>60</v>
      </c>
      <c r="N198" s="22" t="s">
        <v>61</v>
      </c>
      <c r="O198" s="22" t="s">
        <v>830</v>
      </c>
      <c r="P198" s="22" t="s">
        <v>63</v>
      </c>
    </row>
    <row r="199" ht="20" customHeight="1" spans="1:16" s="23" customFormat="1" x14ac:dyDescent="0.25">
      <c r="A199" s="24" t="s">
        <v>831</v>
      </c>
      <c r="B199" s="24" t="s">
        <v>822</v>
      </c>
      <c r="C199" s="24" t="s">
        <v>313</v>
      </c>
      <c r="D199" s="24" t="s">
        <v>822</v>
      </c>
      <c r="E199" s="24" t="s">
        <v>78</v>
      </c>
      <c r="F199" s="25" t="s">
        <v>832</v>
      </c>
      <c r="G199" s="24" t="s">
        <v>833</v>
      </c>
      <c r="H199" s="24" t="s">
        <v>70</v>
      </c>
      <c r="I199" s="25" t="s">
        <v>80</v>
      </c>
      <c r="J199" s="25" t="s">
        <v>57</v>
      </c>
      <c r="K199" s="25" t="s">
        <v>834</v>
      </c>
      <c r="L199" s="25" t="s">
        <v>73</v>
      </c>
      <c r="M199" s="25" t="s">
        <v>60</v>
      </c>
      <c r="N199" s="25" t="s">
        <v>61</v>
      </c>
      <c r="O199" s="25" t="s">
        <v>63</v>
      </c>
      <c r="P199" s="25" t="s">
        <v>835</v>
      </c>
    </row>
    <row r="200" ht="20" customHeight="1" spans="1:16" x14ac:dyDescent="0.25">
      <c r="A200" s="21" t="s">
        <v>836</v>
      </c>
      <c r="B200" s="21" t="s">
        <v>822</v>
      </c>
      <c r="C200" s="21" t="s">
        <v>793</v>
      </c>
      <c r="D200" s="21" t="s">
        <v>822</v>
      </c>
      <c r="E200" s="21" t="s">
        <v>837</v>
      </c>
      <c r="F200" s="22" t="s">
        <v>53</v>
      </c>
      <c r="G200" s="21" t="s">
        <v>105</v>
      </c>
      <c r="H200" s="21" t="s">
        <v>55</v>
      </c>
      <c r="I200" s="22" t="s">
        <v>80</v>
      </c>
      <c r="J200" s="22" t="s">
        <v>57</v>
      </c>
      <c r="K200" s="22" t="s">
        <v>72</v>
      </c>
      <c r="L200" s="22" t="s">
        <v>73</v>
      </c>
      <c r="M200" s="22" t="s">
        <v>60</v>
      </c>
      <c r="N200" s="22" t="s">
        <v>61</v>
      </c>
      <c r="O200" s="22" t="s">
        <v>63</v>
      </c>
      <c r="P200" s="22" t="s">
        <v>63</v>
      </c>
    </row>
    <row r="201" ht="20" customHeight="1" spans="1:16" s="23" customFormat="1" x14ac:dyDescent="0.25">
      <c r="A201" s="24" t="s">
        <v>838</v>
      </c>
      <c r="B201" s="24" t="s">
        <v>822</v>
      </c>
      <c r="C201" s="24" t="s">
        <v>839</v>
      </c>
      <c r="D201" s="24" t="s">
        <v>822</v>
      </c>
      <c r="E201" s="24" t="s">
        <v>574</v>
      </c>
      <c r="F201" s="25" t="s">
        <v>53</v>
      </c>
      <c r="G201" s="24" t="s">
        <v>54</v>
      </c>
      <c r="H201" s="24" t="s">
        <v>55</v>
      </c>
      <c r="I201" s="25" t="s">
        <v>307</v>
      </c>
      <c r="J201" s="25" t="s">
        <v>57</v>
      </c>
      <c r="K201" s="25" t="s">
        <v>752</v>
      </c>
      <c r="L201" s="25" t="s">
        <v>73</v>
      </c>
      <c r="M201" s="25" t="s">
        <v>160</v>
      </c>
      <c r="N201" s="25" t="s">
        <v>426</v>
      </c>
      <c r="O201" s="25" t="s">
        <v>840</v>
      </c>
      <c r="P201" s="25" t="s">
        <v>63</v>
      </c>
    </row>
    <row r="202" ht="20" customHeight="1" spans="1:16" x14ac:dyDescent="0.25">
      <c r="A202" s="21" t="s">
        <v>836</v>
      </c>
      <c r="B202" s="21" t="s">
        <v>822</v>
      </c>
      <c r="C202" s="21" t="s">
        <v>802</v>
      </c>
      <c r="D202" s="21" t="s">
        <v>822</v>
      </c>
      <c r="E202" s="21" t="s">
        <v>742</v>
      </c>
      <c r="F202" s="22" t="s">
        <v>53</v>
      </c>
      <c r="G202" s="21" t="s">
        <v>105</v>
      </c>
      <c r="H202" s="21" t="s">
        <v>55</v>
      </c>
      <c r="I202" s="22" t="s">
        <v>80</v>
      </c>
      <c r="J202" s="22" t="s">
        <v>57</v>
      </c>
      <c r="K202" s="22" t="s">
        <v>841</v>
      </c>
      <c r="L202" s="22" t="s">
        <v>73</v>
      </c>
      <c r="M202" s="22" t="s">
        <v>420</v>
      </c>
      <c r="N202" s="22" t="s">
        <v>465</v>
      </c>
      <c r="O202" s="22" t="s">
        <v>842</v>
      </c>
      <c r="P202" s="22" t="s">
        <v>63</v>
      </c>
    </row>
    <row r="203" ht="20" customHeight="1" spans="1:16" s="23" customFormat="1" x14ac:dyDescent="0.25">
      <c r="A203" s="24" t="s">
        <v>843</v>
      </c>
      <c r="B203" s="24" t="s">
        <v>822</v>
      </c>
      <c r="C203" s="24" t="s">
        <v>614</v>
      </c>
      <c r="D203" s="24" t="s">
        <v>844</v>
      </c>
      <c r="E203" s="24" t="s">
        <v>845</v>
      </c>
      <c r="F203" s="25" t="s">
        <v>53</v>
      </c>
      <c r="G203" s="24" t="s">
        <v>54</v>
      </c>
      <c r="H203" s="24" t="s">
        <v>55</v>
      </c>
      <c r="I203" s="25" t="s">
        <v>846</v>
      </c>
      <c r="J203" s="25" t="s">
        <v>57</v>
      </c>
      <c r="K203" s="25" t="s">
        <v>195</v>
      </c>
      <c r="L203" s="25" t="s">
        <v>73</v>
      </c>
      <c r="M203" s="25" t="s">
        <v>60</v>
      </c>
      <c r="N203" s="25" t="s">
        <v>61</v>
      </c>
      <c r="O203" s="25" t="s">
        <v>63</v>
      </c>
      <c r="P203" s="25" t="s">
        <v>847</v>
      </c>
    </row>
    <row r="204" ht="20" customHeight="1" spans="1:16" x14ac:dyDescent="0.25">
      <c r="A204" s="21" t="s">
        <v>848</v>
      </c>
      <c r="B204" s="21" t="s">
        <v>844</v>
      </c>
      <c r="C204" s="21" t="s">
        <v>849</v>
      </c>
      <c r="D204" s="21" t="s">
        <v>844</v>
      </c>
      <c r="E204" s="21" t="s">
        <v>850</v>
      </c>
      <c r="F204" s="22" t="s">
        <v>53</v>
      </c>
      <c r="G204" s="21" t="s">
        <v>105</v>
      </c>
      <c r="H204" s="21" t="s">
        <v>55</v>
      </c>
      <c r="I204" s="22" t="s">
        <v>616</v>
      </c>
      <c r="J204" s="22" t="s">
        <v>57</v>
      </c>
      <c r="K204" s="22" t="s">
        <v>851</v>
      </c>
      <c r="L204" s="22" t="s">
        <v>852</v>
      </c>
      <c r="M204" s="22" t="s">
        <v>616</v>
      </c>
      <c r="N204" s="22" t="s">
        <v>465</v>
      </c>
      <c r="O204" s="22" t="s">
        <v>63</v>
      </c>
      <c r="P204" s="22" t="s">
        <v>63</v>
      </c>
    </row>
    <row r="205" ht="20" customHeight="1" spans="1:16" s="23" customFormat="1" x14ac:dyDescent="0.25">
      <c r="A205" s="24" t="s">
        <v>853</v>
      </c>
      <c r="B205" s="24" t="s">
        <v>854</v>
      </c>
      <c r="C205" s="24" t="s">
        <v>855</v>
      </c>
      <c r="D205" s="24" t="s">
        <v>854</v>
      </c>
      <c r="E205" s="24" t="s">
        <v>398</v>
      </c>
      <c r="F205" s="25" t="s">
        <v>53</v>
      </c>
      <c r="G205" s="24" t="s">
        <v>105</v>
      </c>
      <c r="H205" s="24" t="s">
        <v>55</v>
      </c>
      <c r="I205" s="25" t="s">
        <v>233</v>
      </c>
      <c r="J205" s="25" t="s">
        <v>57</v>
      </c>
      <c r="K205" s="25" t="s">
        <v>708</v>
      </c>
      <c r="L205" s="25" t="s">
        <v>73</v>
      </c>
      <c r="M205" s="25" t="s">
        <v>616</v>
      </c>
      <c r="N205" s="25" t="s">
        <v>465</v>
      </c>
      <c r="O205" s="25" t="s">
        <v>63</v>
      </c>
      <c r="P205" s="25" t="s">
        <v>63</v>
      </c>
    </row>
    <row r="206" ht="20" customHeight="1" spans="1:16" x14ac:dyDescent="0.25">
      <c r="A206" s="21" t="s">
        <v>856</v>
      </c>
      <c r="B206" s="21" t="s">
        <v>854</v>
      </c>
      <c r="C206" s="21" t="s">
        <v>857</v>
      </c>
      <c r="D206" s="21" t="s">
        <v>858</v>
      </c>
      <c r="E206" s="21" t="s">
        <v>857</v>
      </c>
      <c r="F206" s="22" t="s">
        <v>53</v>
      </c>
      <c r="G206" s="21" t="s">
        <v>105</v>
      </c>
      <c r="H206" s="21" t="s">
        <v>55</v>
      </c>
      <c r="I206" s="22" t="s">
        <v>153</v>
      </c>
      <c r="J206" s="22" t="s">
        <v>57</v>
      </c>
      <c r="K206" s="22" t="s">
        <v>271</v>
      </c>
      <c r="L206" s="22" t="s">
        <v>73</v>
      </c>
      <c r="M206" s="22" t="s">
        <v>60</v>
      </c>
      <c r="N206" s="22" t="s">
        <v>61</v>
      </c>
      <c r="O206" s="22" t="s">
        <v>859</v>
      </c>
      <c r="P206" s="22" t="s">
        <v>63</v>
      </c>
    </row>
    <row r="207" ht="20" customHeight="1" spans="1:16" s="23" customFormat="1" x14ac:dyDescent="0.25">
      <c r="A207" s="24" t="s">
        <v>860</v>
      </c>
      <c r="B207" s="24" t="s">
        <v>858</v>
      </c>
      <c r="C207" s="24" t="s">
        <v>711</v>
      </c>
      <c r="D207" s="24" t="s">
        <v>858</v>
      </c>
      <c r="E207" s="24" t="s">
        <v>861</v>
      </c>
      <c r="F207" s="25" t="s">
        <v>53</v>
      </c>
      <c r="G207" s="24" t="s">
        <v>54</v>
      </c>
      <c r="H207" s="24" t="s">
        <v>55</v>
      </c>
      <c r="I207" s="25" t="s">
        <v>113</v>
      </c>
      <c r="J207" s="25" t="s">
        <v>57</v>
      </c>
      <c r="K207" s="25" t="s">
        <v>862</v>
      </c>
      <c r="L207" s="25" t="s">
        <v>73</v>
      </c>
      <c r="M207" s="25" t="s">
        <v>160</v>
      </c>
      <c r="N207" s="25" t="s">
        <v>426</v>
      </c>
      <c r="O207" s="25" t="s">
        <v>63</v>
      </c>
      <c r="P207" s="25" t="s">
        <v>63</v>
      </c>
    </row>
    <row r="208" ht="20" customHeight="1" spans="1:16" x14ac:dyDescent="0.25">
      <c r="A208" s="21" t="s">
        <v>863</v>
      </c>
      <c r="B208" s="21" t="s">
        <v>858</v>
      </c>
      <c r="C208" s="21" t="s">
        <v>864</v>
      </c>
      <c r="D208" s="21" t="s">
        <v>858</v>
      </c>
      <c r="E208" s="21" t="s">
        <v>865</v>
      </c>
      <c r="F208" s="22" t="s">
        <v>53</v>
      </c>
      <c r="G208" s="21" t="s">
        <v>105</v>
      </c>
      <c r="H208" s="21" t="s">
        <v>610</v>
      </c>
      <c r="I208" s="22" t="s">
        <v>866</v>
      </c>
      <c r="J208" s="22" t="s">
        <v>57</v>
      </c>
      <c r="K208" s="22" t="s">
        <v>867</v>
      </c>
      <c r="L208" s="22" t="s">
        <v>73</v>
      </c>
      <c r="M208" s="22" t="s">
        <v>868</v>
      </c>
      <c r="N208" s="22" t="s">
        <v>465</v>
      </c>
      <c r="O208" s="22" t="s">
        <v>63</v>
      </c>
      <c r="P208" s="22" t="s">
        <v>63</v>
      </c>
    </row>
    <row r="209" ht="20" customHeight="1" spans="1:16" s="23" customFormat="1" x14ac:dyDescent="0.25">
      <c r="A209" s="24" t="s">
        <v>869</v>
      </c>
      <c r="B209" s="24" t="s">
        <v>858</v>
      </c>
      <c r="C209" s="24" t="s">
        <v>870</v>
      </c>
      <c r="D209" s="24" t="s">
        <v>858</v>
      </c>
      <c r="E209" s="24" t="s">
        <v>75</v>
      </c>
      <c r="F209" s="25" t="s">
        <v>137</v>
      </c>
      <c r="G209" s="24" t="s">
        <v>138</v>
      </c>
      <c r="H209" s="24" t="s">
        <v>139</v>
      </c>
      <c r="I209" s="25" t="s">
        <v>233</v>
      </c>
      <c r="J209" s="25" t="s">
        <v>57</v>
      </c>
      <c r="K209" s="25" t="s">
        <v>871</v>
      </c>
      <c r="L209" s="25" t="s">
        <v>388</v>
      </c>
      <c r="M209" s="25" t="s">
        <v>464</v>
      </c>
      <c r="N209" s="25" t="s">
        <v>465</v>
      </c>
      <c r="O209" s="25" t="s">
        <v>63</v>
      </c>
      <c r="P209" s="25" t="s">
        <v>63</v>
      </c>
    </row>
    <row r="210" ht="20" customHeight="1" spans="1:16" x14ac:dyDescent="0.25">
      <c r="A210" s="21" t="s">
        <v>872</v>
      </c>
      <c r="B210" s="21" t="s">
        <v>858</v>
      </c>
      <c r="C210" s="21" t="s">
        <v>682</v>
      </c>
      <c r="D210" s="21" t="s">
        <v>858</v>
      </c>
      <c r="E210" s="21" t="s">
        <v>873</v>
      </c>
      <c r="F210" s="22" t="s">
        <v>68</v>
      </c>
      <c r="G210" s="21" t="s">
        <v>69</v>
      </c>
      <c r="H210" s="21" t="s">
        <v>70</v>
      </c>
      <c r="I210" s="22" t="s">
        <v>80</v>
      </c>
      <c r="J210" s="22" t="s">
        <v>57</v>
      </c>
      <c r="K210" s="22" t="s">
        <v>591</v>
      </c>
      <c r="L210" s="22" t="s">
        <v>73</v>
      </c>
      <c r="M210" s="22" t="s">
        <v>60</v>
      </c>
      <c r="N210" s="22" t="s">
        <v>61</v>
      </c>
      <c r="O210" s="22" t="s">
        <v>63</v>
      </c>
      <c r="P210" s="22" t="s">
        <v>63</v>
      </c>
    </row>
    <row r="211" ht="20" customHeight="1" spans="1:16" s="23" customFormat="1" x14ac:dyDescent="0.25">
      <c r="A211" s="24" t="s">
        <v>874</v>
      </c>
      <c r="B211" s="24" t="s">
        <v>858</v>
      </c>
      <c r="C211" s="24" t="s">
        <v>825</v>
      </c>
      <c r="D211" s="24" t="s">
        <v>858</v>
      </c>
      <c r="E211" s="24" t="s">
        <v>875</v>
      </c>
      <c r="F211" s="25" t="s">
        <v>85</v>
      </c>
      <c r="G211" s="24" t="s">
        <v>86</v>
      </c>
      <c r="H211" s="24" t="s">
        <v>87</v>
      </c>
      <c r="I211" s="25" t="s">
        <v>100</v>
      </c>
      <c r="J211" s="25" t="s">
        <v>57</v>
      </c>
      <c r="K211" s="25" t="s">
        <v>247</v>
      </c>
      <c r="L211" s="25" t="s">
        <v>876</v>
      </c>
      <c r="M211" s="25" t="s">
        <v>868</v>
      </c>
      <c r="N211" s="25" t="s">
        <v>465</v>
      </c>
      <c r="O211" s="25" t="s">
        <v>877</v>
      </c>
      <c r="P211" s="25" t="s">
        <v>63</v>
      </c>
    </row>
    <row r="212" ht="20" customHeight="1" spans="1:16" x14ac:dyDescent="0.25">
      <c r="A212" s="21" t="s">
        <v>878</v>
      </c>
      <c r="B212" s="21" t="s">
        <v>858</v>
      </c>
      <c r="C212" s="21" t="s">
        <v>879</v>
      </c>
      <c r="D212" s="21" t="s">
        <v>858</v>
      </c>
      <c r="E212" s="21" t="s">
        <v>880</v>
      </c>
      <c r="F212" s="22" t="s">
        <v>436</v>
      </c>
      <c r="G212" s="21" t="s">
        <v>437</v>
      </c>
      <c r="H212" s="21" t="s">
        <v>438</v>
      </c>
      <c r="I212" s="22" t="s">
        <v>80</v>
      </c>
      <c r="J212" s="22" t="s">
        <v>57</v>
      </c>
      <c r="K212" s="22" t="s">
        <v>72</v>
      </c>
      <c r="L212" s="22" t="s">
        <v>73</v>
      </c>
      <c r="M212" s="22" t="s">
        <v>60</v>
      </c>
      <c r="N212" s="22" t="s">
        <v>61</v>
      </c>
      <c r="O212" s="22" t="s">
        <v>63</v>
      </c>
      <c r="P212" s="22" t="s">
        <v>63</v>
      </c>
    </row>
    <row r="213" ht="20" customHeight="1" spans="1:16" s="23" customFormat="1" x14ac:dyDescent="0.25">
      <c r="A213" s="24" t="s">
        <v>881</v>
      </c>
      <c r="B213" s="24" t="s">
        <v>858</v>
      </c>
      <c r="C213" s="24" t="s">
        <v>882</v>
      </c>
      <c r="D213" s="24" t="s">
        <v>883</v>
      </c>
      <c r="E213" s="24" t="s">
        <v>623</v>
      </c>
      <c r="F213" s="25" t="s">
        <v>884</v>
      </c>
      <c r="G213" s="24" t="s">
        <v>54</v>
      </c>
      <c r="H213" s="24" t="s">
        <v>55</v>
      </c>
      <c r="I213" s="25" t="s">
        <v>113</v>
      </c>
      <c r="J213" s="25" t="s">
        <v>57</v>
      </c>
      <c r="K213" s="25" t="s">
        <v>279</v>
      </c>
      <c r="L213" s="25" t="s">
        <v>73</v>
      </c>
      <c r="M213" s="25" t="s">
        <v>868</v>
      </c>
      <c r="N213" s="25" t="s">
        <v>465</v>
      </c>
      <c r="O213" s="25" t="s">
        <v>63</v>
      </c>
      <c r="P213" s="25" t="s">
        <v>63</v>
      </c>
    </row>
    <row r="214" ht="20" customHeight="1" spans="1:16" x14ac:dyDescent="0.25">
      <c r="A214" s="21" t="s">
        <v>885</v>
      </c>
      <c r="B214" s="21" t="s">
        <v>858</v>
      </c>
      <c r="C214" s="21" t="s">
        <v>886</v>
      </c>
      <c r="D214" s="21" t="s">
        <v>858</v>
      </c>
      <c r="E214" s="21" t="s">
        <v>887</v>
      </c>
      <c r="F214" s="22" t="s">
        <v>53</v>
      </c>
      <c r="G214" s="21" t="s">
        <v>105</v>
      </c>
      <c r="H214" s="21" t="s">
        <v>610</v>
      </c>
      <c r="I214" s="22" t="s">
        <v>132</v>
      </c>
      <c r="J214" s="22" t="s">
        <v>57</v>
      </c>
      <c r="K214" s="22" t="s">
        <v>888</v>
      </c>
      <c r="L214" s="22" t="s">
        <v>331</v>
      </c>
      <c r="M214" s="22" t="s">
        <v>616</v>
      </c>
      <c r="N214" s="22" t="s">
        <v>465</v>
      </c>
      <c r="O214" s="22" t="s">
        <v>63</v>
      </c>
      <c r="P214" s="22" t="s">
        <v>63</v>
      </c>
    </row>
    <row r="215" ht="20" customHeight="1" spans="1:16" s="23" customFormat="1" x14ac:dyDescent="0.25">
      <c r="A215" s="24" t="s">
        <v>889</v>
      </c>
      <c r="B215" s="24" t="s">
        <v>890</v>
      </c>
      <c r="C215" s="24" t="s">
        <v>491</v>
      </c>
      <c r="D215" s="24" t="s">
        <v>890</v>
      </c>
      <c r="E215" s="24" t="s">
        <v>891</v>
      </c>
      <c r="F215" s="25" t="s">
        <v>53</v>
      </c>
      <c r="G215" s="24" t="s">
        <v>105</v>
      </c>
      <c r="H215" s="24" t="s">
        <v>610</v>
      </c>
      <c r="I215" s="25" t="s">
        <v>233</v>
      </c>
      <c r="J215" s="25" t="s">
        <v>57</v>
      </c>
      <c r="K215" s="25" t="s">
        <v>330</v>
      </c>
      <c r="L215" s="25" t="s">
        <v>73</v>
      </c>
      <c r="M215" s="25" t="s">
        <v>616</v>
      </c>
      <c r="N215" s="25" t="s">
        <v>465</v>
      </c>
      <c r="O215" s="25" t="s">
        <v>892</v>
      </c>
      <c r="P215" s="25" t="s">
        <v>494</v>
      </c>
    </row>
    <row r="216" ht="20" customHeight="1" spans="1:16" x14ac:dyDescent="0.25">
      <c r="A216" s="21" t="s">
        <v>893</v>
      </c>
      <c r="B216" s="21" t="s">
        <v>890</v>
      </c>
      <c r="C216" s="21" t="s">
        <v>894</v>
      </c>
      <c r="D216" s="21" t="s">
        <v>890</v>
      </c>
      <c r="E216" s="21" t="s">
        <v>895</v>
      </c>
      <c r="F216" s="22" t="s">
        <v>896</v>
      </c>
      <c r="G216" s="21" t="s">
        <v>54</v>
      </c>
      <c r="H216" s="21" t="s">
        <v>70</v>
      </c>
      <c r="I216" s="22" t="s">
        <v>181</v>
      </c>
      <c r="J216" s="22" t="s">
        <v>57</v>
      </c>
      <c r="K216" s="22" t="s">
        <v>759</v>
      </c>
      <c r="L216" s="22" t="s">
        <v>73</v>
      </c>
      <c r="M216" s="22" t="s">
        <v>420</v>
      </c>
      <c r="N216" s="22" t="s">
        <v>465</v>
      </c>
      <c r="O216" s="22" t="s">
        <v>63</v>
      </c>
      <c r="P216" s="22" t="s">
        <v>63</v>
      </c>
    </row>
    <row r="217" ht="20" customHeight="1" spans="1:16" s="23" customFormat="1" x14ac:dyDescent="0.25">
      <c r="A217" s="24" t="s">
        <v>897</v>
      </c>
      <c r="B217" s="24" t="s">
        <v>890</v>
      </c>
      <c r="C217" s="24" t="s">
        <v>898</v>
      </c>
      <c r="D217" s="24" t="s">
        <v>890</v>
      </c>
      <c r="E217" s="24" t="s">
        <v>899</v>
      </c>
      <c r="F217" s="25" t="s">
        <v>53</v>
      </c>
      <c r="G217" s="24" t="s">
        <v>105</v>
      </c>
      <c r="H217" s="24" t="s">
        <v>610</v>
      </c>
      <c r="I217" s="25" t="s">
        <v>113</v>
      </c>
      <c r="J217" s="25" t="s">
        <v>57</v>
      </c>
      <c r="K217" s="25" t="s">
        <v>260</v>
      </c>
      <c r="L217" s="25" t="s">
        <v>307</v>
      </c>
      <c r="M217" s="25" t="s">
        <v>420</v>
      </c>
      <c r="N217" s="25" t="s">
        <v>465</v>
      </c>
      <c r="O217" s="25" t="s">
        <v>63</v>
      </c>
      <c r="P217" s="25" t="s">
        <v>63</v>
      </c>
    </row>
    <row r="218" ht="20" customHeight="1" spans="1:16" x14ac:dyDescent="0.25">
      <c r="A218" s="21" t="s">
        <v>900</v>
      </c>
      <c r="B218" s="21" t="s">
        <v>890</v>
      </c>
      <c r="C218" s="21" t="s">
        <v>728</v>
      </c>
      <c r="D218" s="21" t="s">
        <v>890</v>
      </c>
      <c r="E218" s="21" t="s">
        <v>901</v>
      </c>
      <c r="F218" s="22" t="s">
        <v>85</v>
      </c>
      <c r="G218" s="21" t="s">
        <v>86</v>
      </c>
      <c r="H218" s="21" t="s">
        <v>87</v>
      </c>
      <c r="I218" s="22" t="s">
        <v>80</v>
      </c>
      <c r="J218" s="22" t="s">
        <v>57</v>
      </c>
      <c r="K218" s="22" t="s">
        <v>151</v>
      </c>
      <c r="L218" s="22" t="s">
        <v>73</v>
      </c>
      <c r="M218" s="22" t="s">
        <v>60</v>
      </c>
      <c r="N218" s="22" t="s">
        <v>61</v>
      </c>
      <c r="O218" s="22" t="s">
        <v>63</v>
      </c>
      <c r="P218" s="22" t="s">
        <v>63</v>
      </c>
    </row>
    <row r="219" ht="20" customHeight="1" spans="1:16" s="23" customFormat="1" x14ac:dyDescent="0.25">
      <c r="A219" s="24" t="s">
        <v>902</v>
      </c>
      <c r="B219" s="24" t="s">
        <v>890</v>
      </c>
      <c r="C219" s="24" t="s">
        <v>903</v>
      </c>
      <c r="D219" s="24" t="s">
        <v>890</v>
      </c>
      <c r="E219" s="24" t="s">
        <v>815</v>
      </c>
      <c r="F219" s="25" t="s">
        <v>53</v>
      </c>
      <c r="G219" s="24" t="s">
        <v>105</v>
      </c>
      <c r="H219" s="24" t="s">
        <v>610</v>
      </c>
      <c r="I219" s="25" t="s">
        <v>80</v>
      </c>
      <c r="J219" s="25" t="s">
        <v>57</v>
      </c>
      <c r="K219" s="25" t="s">
        <v>72</v>
      </c>
      <c r="L219" s="25" t="s">
        <v>73</v>
      </c>
      <c r="M219" s="25" t="s">
        <v>420</v>
      </c>
      <c r="N219" s="25" t="s">
        <v>465</v>
      </c>
      <c r="O219" s="25" t="s">
        <v>904</v>
      </c>
      <c r="P219" s="25" t="s">
        <v>63</v>
      </c>
    </row>
    <row r="220" ht="20" customHeight="1" spans="1:16" x14ac:dyDescent="0.25">
      <c r="A220" s="21" t="s">
        <v>905</v>
      </c>
      <c r="B220" s="21" t="s">
        <v>890</v>
      </c>
      <c r="C220" s="21" t="s">
        <v>328</v>
      </c>
      <c r="D220" s="21" t="s">
        <v>890</v>
      </c>
      <c r="E220" s="21" t="s">
        <v>329</v>
      </c>
      <c r="F220" s="22" t="s">
        <v>53</v>
      </c>
      <c r="G220" s="21" t="s">
        <v>105</v>
      </c>
      <c r="H220" s="21" t="s">
        <v>610</v>
      </c>
      <c r="I220" s="22" t="s">
        <v>153</v>
      </c>
      <c r="J220" s="22" t="s">
        <v>57</v>
      </c>
      <c r="K220" s="22" t="s">
        <v>255</v>
      </c>
      <c r="L220" s="22" t="s">
        <v>906</v>
      </c>
      <c r="M220" s="22" t="s">
        <v>60</v>
      </c>
      <c r="N220" s="22" t="s">
        <v>61</v>
      </c>
      <c r="O220" s="22" t="s">
        <v>63</v>
      </c>
      <c r="P220" s="22" t="s">
        <v>63</v>
      </c>
    </row>
    <row r="221" ht="20" customHeight="1" spans="1:16" s="23" customFormat="1" x14ac:dyDescent="0.25">
      <c r="A221" s="24" t="s">
        <v>907</v>
      </c>
      <c r="B221" s="24" t="s">
        <v>883</v>
      </c>
      <c r="C221" s="24" t="s">
        <v>711</v>
      </c>
      <c r="D221" s="24" t="s">
        <v>883</v>
      </c>
      <c r="E221" s="24" t="s">
        <v>864</v>
      </c>
      <c r="F221" s="25" t="s">
        <v>884</v>
      </c>
      <c r="G221" s="24" t="s">
        <v>54</v>
      </c>
      <c r="H221" s="24" t="s">
        <v>55</v>
      </c>
      <c r="I221" s="25" t="s">
        <v>763</v>
      </c>
      <c r="J221" s="25" t="s">
        <v>57</v>
      </c>
      <c r="K221" s="25" t="s">
        <v>247</v>
      </c>
      <c r="L221" s="25" t="s">
        <v>73</v>
      </c>
      <c r="M221" s="25" t="s">
        <v>868</v>
      </c>
      <c r="N221" s="25" t="s">
        <v>465</v>
      </c>
      <c r="O221" s="25" t="s">
        <v>908</v>
      </c>
      <c r="P221" s="25" t="s">
        <v>63</v>
      </c>
    </row>
    <row r="222" ht="20" customHeight="1" spans="1:16" x14ac:dyDescent="0.25">
      <c r="A222" s="21" t="s">
        <v>909</v>
      </c>
      <c r="B222" s="21" t="s">
        <v>883</v>
      </c>
      <c r="C222" s="21" t="s">
        <v>711</v>
      </c>
      <c r="D222" s="21" t="s">
        <v>883</v>
      </c>
      <c r="E222" s="21" t="s">
        <v>502</v>
      </c>
      <c r="F222" s="22" t="s">
        <v>68</v>
      </c>
      <c r="G222" s="21" t="s">
        <v>69</v>
      </c>
      <c r="H222" s="21" t="s">
        <v>70</v>
      </c>
      <c r="I222" s="22" t="s">
        <v>430</v>
      </c>
      <c r="J222" s="22" t="s">
        <v>57</v>
      </c>
      <c r="K222" s="22" t="s">
        <v>910</v>
      </c>
      <c r="L222" s="22" t="s">
        <v>233</v>
      </c>
      <c r="M222" s="22" t="s">
        <v>868</v>
      </c>
      <c r="N222" s="22" t="s">
        <v>465</v>
      </c>
      <c r="O222" s="22" t="s">
        <v>911</v>
      </c>
      <c r="P222" s="22" t="s">
        <v>63</v>
      </c>
    </row>
    <row r="223" ht="20" customHeight="1" spans="1:16" s="23" customFormat="1" x14ac:dyDescent="0.25">
      <c r="A223" s="24" t="s">
        <v>912</v>
      </c>
      <c r="B223" s="24" t="s">
        <v>883</v>
      </c>
      <c r="C223" s="24" t="s">
        <v>392</v>
      </c>
      <c r="D223" s="24" t="s">
        <v>883</v>
      </c>
      <c r="E223" s="24" t="s">
        <v>329</v>
      </c>
      <c r="F223" s="25" t="s">
        <v>53</v>
      </c>
      <c r="G223" s="24" t="s">
        <v>105</v>
      </c>
      <c r="H223" s="24" t="s">
        <v>610</v>
      </c>
      <c r="I223" s="25" t="s">
        <v>80</v>
      </c>
      <c r="J223" s="25" t="s">
        <v>57</v>
      </c>
      <c r="K223" s="25" t="s">
        <v>605</v>
      </c>
      <c r="L223" s="25" t="s">
        <v>73</v>
      </c>
      <c r="M223" s="25" t="s">
        <v>388</v>
      </c>
      <c r="N223" s="25" t="s">
        <v>389</v>
      </c>
      <c r="O223" s="25" t="s">
        <v>63</v>
      </c>
      <c r="P223" s="25" t="s">
        <v>63</v>
      </c>
    </row>
    <row r="224" ht="20" customHeight="1" spans="1:16" x14ac:dyDescent="0.25">
      <c r="A224" s="21" t="s">
        <v>913</v>
      </c>
      <c r="B224" s="21" t="s">
        <v>883</v>
      </c>
      <c r="C224" s="21" t="s">
        <v>435</v>
      </c>
      <c r="D224" s="21" t="s">
        <v>883</v>
      </c>
      <c r="E224" s="21" t="s">
        <v>914</v>
      </c>
      <c r="F224" s="22" t="s">
        <v>53</v>
      </c>
      <c r="G224" s="21" t="s">
        <v>54</v>
      </c>
      <c r="H224" s="21" t="s">
        <v>55</v>
      </c>
      <c r="I224" s="22" t="s">
        <v>209</v>
      </c>
      <c r="J224" s="22" t="s">
        <v>57</v>
      </c>
      <c r="K224" s="22" t="s">
        <v>247</v>
      </c>
      <c r="L224" s="22" t="s">
        <v>73</v>
      </c>
      <c r="M224" s="22" t="s">
        <v>868</v>
      </c>
      <c r="N224" s="22" t="s">
        <v>465</v>
      </c>
      <c r="O224" s="22" t="s">
        <v>915</v>
      </c>
      <c r="P224" s="22" t="s">
        <v>63</v>
      </c>
    </row>
    <row r="225" ht="20" customHeight="1" spans="1:16" s="23" customFormat="1" x14ac:dyDescent="0.25">
      <c r="A225" s="24" t="s">
        <v>916</v>
      </c>
      <c r="B225" s="24" t="s">
        <v>883</v>
      </c>
      <c r="C225" s="24" t="s">
        <v>917</v>
      </c>
      <c r="D225" s="24" t="s">
        <v>883</v>
      </c>
      <c r="E225" s="24" t="s">
        <v>918</v>
      </c>
      <c r="F225" s="25" t="s">
        <v>85</v>
      </c>
      <c r="G225" s="24" t="s">
        <v>86</v>
      </c>
      <c r="H225" s="24" t="s">
        <v>87</v>
      </c>
      <c r="I225" s="25" t="s">
        <v>100</v>
      </c>
      <c r="J225" s="25" t="s">
        <v>57</v>
      </c>
      <c r="K225" s="25" t="s">
        <v>919</v>
      </c>
      <c r="L225" s="25" t="s">
        <v>920</v>
      </c>
      <c r="M225" s="25" t="s">
        <v>354</v>
      </c>
      <c r="N225" s="25" t="s">
        <v>355</v>
      </c>
      <c r="O225" s="25" t="s">
        <v>63</v>
      </c>
      <c r="P225" s="25" t="s">
        <v>63</v>
      </c>
    </row>
    <row r="226" ht="20" customHeight="1" spans="1:16" x14ac:dyDescent="0.25">
      <c r="A226" s="21" t="s">
        <v>921</v>
      </c>
      <c r="B226" s="21" t="s">
        <v>883</v>
      </c>
      <c r="C226" s="21" t="s">
        <v>922</v>
      </c>
      <c r="D226" s="21" t="s">
        <v>883</v>
      </c>
      <c r="E226" s="21" t="s">
        <v>359</v>
      </c>
      <c r="F226" s="22" t="s">
        <v>923</v>
      </c>
      <c r="G226" s="21" t="s">
        <v>54</v>
      </c>
      <c r="H226" s="21" t="s">
        <v>610</v>
      </c>
      <c r="I226" s="22" t="s">
        <v>88</v>
      </c>
      <c r="J226" s="22" t="s">
        <v>57</v>
      </c>
      <c r="K226" s="22" t="s">
        <v>58</v>
      </c>
      <c r="L226" s="22" t="s">
        <v>73</v>
      </c>
      <c r="M226" s="22" t="s">
        <v>354</v>
      </c>
      <c r="N226" s="22" t="s">
        <v>355</v>
      </c>
      <c r="O226" s="22" t="s">
        <v>63</v>
      </c>
      <c r="P226" s="22" t="s">
        <v>63</v>
      </c>
    </row>
    <row r="227" ht="20" customHeight="1" spans="1:16" s="23" customFormat="1" x14ac:dyDescent="0.25">
      <c r="A227" s="24" t="s">
        <v>909</v>
      </c>
      <c r="B227" s="24" t="s">
        <v>883</v>
      </c>
      <c r="C227" s="24" t="s">
        <v>359</v>
      </c>
      <c r="D227" s="24" t="s">
        <v>883</v>
      </c>
      <c r="E227" s="24" t="s">
        <v>454</v>
      </c>
      <c r="F227" s="25" t="s">
        <v>68</v>
      </c>
      <c r="G227" s="24" t="s">
        <v>69</v>
      </c>
      <c r="H227" s="24" t="s">
        <v>70</v>
      </c>
      <c r="I227" s="25" t="s">
        <v>430</v>
      </c>
      <c r="J227" s="25" t="s">
        <v>57</v>
      </c>
      <c r="K227" s="25" t="s">
        <v>924</v>
      </c>
      <c r="L227" s="25" t="s">
        <v>73</v>
      </c>
      <c r="M227" s="25" t="s">
        <v>354</v>
      </c>
      <c r="N227" s="25" t="s">
        <v>355</v>
      </c>
      <c r="O227" s="25" t="s">
        <v>925</v>
      </c>
      <c r="P227" s="25" t="s">
        <v>63</v>
      </c>
    </row>
    <row r="228" ht="20" customHeight="1" spans="1:16" x14ac:dyDescent="0.25">
      <c r="A228" s="21" t="s">
        <v>926</v>
      </c>
      <c r="B228" s="21" t="s">
        <v>883</v>
      </c>
      <c r="C228" s="21" t="s">
        <v>927</v>
      </c>
      <c r="D228" s="21" t="s">
        <v>883</v>
      </c>
      <c r="E228" s="21" t="s">
        <v>159</v>
      </c>
      <c r="F228" s="22" t="s">
        <v>436</v>
      </c>
      <c r="G228" s="21" t="s">
        <v>437</v>
      </c>
      <c r="H228" s="21" t="s">
        <v>438</v>
      </c>
      <c r="I228" s="22" t="s">
        <v>482</v>
      </c>
      <c r="J228" s="22" t="s">
        <v>57</v>
      </c>
      <c r="K228" s="22" t="s">
        <v>928</v>
      </c>
      <c r="L228" s="22" t="s">
        <v>929</v>
      </c>
      <c r="M228" s="22" t="s">
        <v>354</v>
      </c>
      <c r="N228" s="22" t="s">
        <v>355</v>
      </c>
      <c r="O228" s="22" t="s">
        <v>63</v>
      </c>
      <c r="P228" s="22" t="s">
        <v>63</v>
      </c>
    </row>
    <row r="229" ht="20" customHeight="1" spans="1:16" s="23" customFormat="1" x14ac:dyDescent="0.25">
      <c r="A229" s="24" t="s">
        <v>930</v>
      </c>
      <c r="B229" s="24" t="s">
        <v>883</v>
      </c>
      <c r="C229" s="24" t="s">
        <v>931</v>
      </c>
      <c r="D229" s="24" t="s">
        <v>883</v>
      </c>
      <c r="E229" s="24" t="s">
        <v>932</v>
      </c>
      <c r="F229" s="25" t="s">
        <v>53</v>
      </c>
      <c r="G229" s="24" t="s">
        <v>54</v>
      </c>
      <c r="H229" s="24" t="s">
        <v>55</v>
      </c>
      <c r="I229" s="25" t="s">
        <v>132</v>
      </c>
      <c r="J229" s="25" t="s">
        <v>57</v>
      </c>
      <c r="K229" s="25" t="s">
        <v>330</v>
      </c>
      <c r="L229" s="25" t="s">
        <v>331</v>
      </c>
      <c r="M229" s="25" t="s">
        <v>616</v>
      </c>
      <c r="N229" s="25" t="s">
        <v>465</v>
      </c>
      <c r="O229" s="25" t="s">
        <v>63</v>
      </c>
      <c r="P229" s="25" t="s">
        <v>63</v>
      </c>
    </row>
    <row r="230" ht="20" customHeight="1" spans="1:16" x14ac:dyDescent="0.25">
      <c r="A230" s="21" t="s">
        <v>933</v>
      </c>
      <c r="B230" s="21" t="s">
        <v>934</v>
      </c>
      <c r="C230" s="21" t="s">
        <v>935</v>
      </c>
      <c r="D230" s="21" t="s">
        <v>934</v>
      </c>
      <c r="E230" s="21" t="s">
        <v>936</v>
      </c>
      <c r="F230" s="22" t="s">
        <v>53</v>
      </c>
      <c r="G230" s="21" t="s">
        <v>105</v>
      </c>
      <c r="H230" s="21" t="s">
        <v>55</v>
      </c>
      <c r="I230" s="22" t="s">
        <v>937</v>
      </c>
      <c r="J230" s="22" t="s">
        <v>57</v>
      </c>
      <c r="K230" s="22" t="s">
        <v>938</v>
      </c>
      <c r="L230" s="22" t="s">
        <v>939</v>
      </c>
      <c r="M230" s="22" t="s">
        <v>616</v>
      </c>
      <c r="N230" s="22" t="s">
        <v>465</v>
      </c>
      <c r="O230" s="22" t="s">
        <v>63</v>
      </c>
      <c r="P230" s="22" t="s">
        <v>63</v>
      </c>
    </row>
    <row r="231" ht="20" customHeight="1" spans="1:16" s="23" customFormat="1" x14ac:dyDescent="0.25">
      <c r="A231" s="24" t="s">
        <v>940</v>
      </c>
      <c r="B231" s="24" t="s">
        <v>934</v>
      </c>
      <c r="C231" s="24" t="s">
        <v>941</v>
      </c>
      <c r="D231" s="24" t="s">
        <v>934</v>
      </c>
      <c r="E231" s="24" t="s">
        <v>942</v>
      </c>
      <c r="F231" s="25" t="s">
        <v>68</v>
      </c>
      <c r="G231" s="24" t="s">
        <v>69</v>
      </c>
      <c r="H231" s="24" t="s">
        <v>70</v>
      </c>
      <c r="I231" s="25" t="s">
        <v>430</v>
      </c>
      <c r="J231" s="25" t="s">
        <v>57</v>
      </c>
      <c r="K231" s="25" t="s">
        <v>943</v>
      </c>
      <c r="L231" s="25" t="s">
        <v>944</v>
      </c>
      <c r="M231" s="25" t="s">
        <v>616</v>
      </c>
      <c r="N231" s="25" t="s">
        <v>465</v>
      </c>
      <c r="O231" s="25" t="s">
        <v>63</v>
      </c>
      <c r="P231" s="25" t="s">
        <v>63</v>
      </c>
    </row>
    <row r="232" ht="20" customHeight="1" spans="1:16" x14ac:dyDescent="0.25">
      <c r="A232" s="21" t="s">
        <v>945</v>
      </c>
      <c r="B232" s="21" t="s">
        <v>934</v>
      </c>
      <c r="C232" s="21" t="s">
        <v>946</v>
      </c>
      <c r="D232" s="21" t="s">
        <v>934</v>
      </c>
      <c r="E232" s="21" t="s">
        <v>947</v>
      </c>
      <c r="F232" s="22" t="s">
        <v>731</v>
      </c>
      <c r="G232" s="21" t="s">
        <v>732</v>
      </c>
      <c r="H232" s="21" t="s">
        <v>733</v>
      </c>
      <c r="I232" s="22" t="s">
        <v>186</v>
      </c>
      <c r="J232" s="22" t="s">
        <v>57</v>
      </c>
      <c r="K232" s="22" t="s">
        <v>948</v>
      </c>
      <c r="L232" s="22" t="s">
        <v>949</v>
      </c>
      <c r="M232" s="22" t="s">
        <v>235</v>
      </c>
      <c r="N232" s="22" t="s">
        <v>389</v>
      </c>
      <c r="O232" s="22" t="s">
        <v>950</v>
      </c>
      <c r="P232" s="22" t="s">
        <v>63</v>
      </c>
    </row>
    <row r="233" ht="20" customHeight="1" spans="1:16" s="23" customFormat="1" x14ac:dyDescent="0.25">
      <c r="A233" s="24" t="s">
        <v>951</v>
      </c>
      <c r="B233" s="24" t="s">
        <v>934</v>
      </c>
      <c r="C233" s="24" t="s">
        <v>952</v>
      </c>
      <c r="D233" s="24" t="s">
        <v>934</v>
      </c>
      <c r="E233" s="24" t="s">
        <v>953</v>
      </c>
      <c r="F233" s="25" t="s">
        <v>85</v>
      </c>
      <c r="G233" s="24" t="s">
        <v>86</v>
      </c>
      <c r="H233" s="24" t="s">
        <v>87</v>
      </c>
      <c r="I233" s="25" t="s">
        <v>80</v>
      </c>
      <c r="J233" s="25" t="s">
        <v>57</v>
      </c>
      <c r="K233" s="25" t="s">
        <v>81</v>
      </c>
      <c r="L233" s="25" t="s">
        <v>73</v>
      </c>
      <c r="M233" s="25" t="s">
        <v>60</v>
      </c>
      <c r="N233" s="25" t="s">
        <v>61</v>
      </c>
      <c r="O233" s="25" t="s">
        <v>954</v>
      </c>
      <c r="P233" s="25" t="s">
        <v>63</v>
      </c>
    </row>
    <row r="234" ht="20" customHeight="1" spans="1:16" x14ac:dyDescent="0.25">
      <c r="A234" s="21" t="s">
        <v>955</v>
      </c>
      <c r="B234" s="21" t="s">
        <v>934</v>
      </c>
      <c r="C234" s="21" t="s">
        <v>956</v>
      </c>
      <c r="D234" s="21" t="s">
        <v>934</v>
      </c>
      <c r="E234" s="21" t="s">
        <v>957</v>
      </c>
      <c r="F234" s="22" t="s">
        <v>137</v>
      </c>
      <c r="G234" s="21" t="s">
        <v>166</v>
      </c>
      <c r="H234" s="21" t="s">
        <v>139</v>
      </c>
      <c r="I234" s="22" t="s">
        <v>80</v>
      </c>
      <c r="J234" s="22" t="s">
        <v>57</v>
      </c>
      <c r="K234" s="22" t="s">
        <v>147</v>
      </c>
      <c r="L234" s="22" t="s">
        <v>73</v>
      </c>
      <c r="M234" s="22" t="s">
        <v>60</v>
      </c>
      <c r="N234" s="22" t="s">
        <v>61</v>
      </c>
      <c r="O234" s="22" t="s">
        <v>63</v>
      </c>
      <c r="P234" s="22" t="s">
        <v>63</v>
      </c>
    </row>
    <row r="235" ht="20" customHeight="1" spans="1:16" s="23" customFormat="1" x14ac:dyDescent="0.25">
      <c r="A235" s="24" t="s">
        <v>958</v>
      </c>
      <c r="B235" s="24" t="s">
        <v>934</v>
      </c>
      <c r="C235" s="24" t="s">
        <v>959</v>
      </c>
      <c r="D235" s="24" t="s">
        <v>934</v>
      </c>
      <c r="E235" s="24" t="s">
        <v>328</v>
      </c>
      <c r="F235" s="25" t="s">
        <v>53</v>
      </c>
      <c r="G235" s="24" t="s">
        <v>54</v>
      </c>
      <c r="H235" s="24" t="s">
        <v>55</v>
      </c>
      <c r="I235" s="25" t="s">
        <v>140</v>
      </c>
      <c r="J235" s="25" t="s">
        <v>57</v>
      </c>
      <c r="K235" s="25" t="s">
        <v>960</v>
      </c>
      <c r="L235" s="25" t="s">
        <v>73</v>
      </c>
      <c r="M235" s="25" t="s">
        <v>420</v>
      </c>
      <c r="N235" s="25" t="s">
        <v>465</v>
      </c>
      <c r="O235" s="25" t="s">
        <v>961</v>
      </c>
      <c r="P235" s="25" t="s">
        <v>63</v>
      </c>
    </row>
    <row r="236" ht="20" customHeight="1" spans="1:16" x14ac:dyDescent="0.25">
      <c r="A236" s="21" t="s">
        <v>962</v>
      </c>
      <c r="B236" s="21" t="s">
        <v>963</v>
      </c>
      <c r="C236" s="21" t="s">
        <v>964</v>
      </c>
      <c r="D236" s="21" t="s">
        <v>963</v>
      </c>
      <c r="E236" s="21" t="s">
        <v>965</v>
      </c>
      <c r="F236" s="22" t="s">
        <v>53</v>
      </c>
      <c r="G236" s="21" t="s">
        <v>105</v>
      </c>
      <c r="H236" s="21" t="s">
        <v>55</v>
      </c>
      <c r="I236" s="22" t="s">
        <v>866</v>
      </c>
      <c r="J236" s="22" t="s">
        <v>57</v>
      </c>
      <c r="K236" s="22" t="s">
        <v>966</v>
      </c>
      <c r="L236" s="22" t="s">
        <v>73</v>
      </c>
      <c r="M236" s="22" t="s">
        <v>868</v>
      </c>
      <c r="N236" s="22" t="s">
        <v>465</v>
      </c>
      <c r="O236" s="22" t="s">
        <v>63</v>
      </c>
      <c r="P236" s="22" t="s">
        <v>63</v>
      </c>
    </row>
    <row r="237" ht="20" customHeight="1" spans="1:16" s="23" customFormat="1" x14ac:dyDescent="0.25">
      <c r="A237" s="24" t="s">
        <v>967</v>
      </c>
      <c r="B237" s="24" t="s">
        <v>963</v>
      </c>
      <c r="C237" s="24" t="s">
        <v>326</v>
      </c>
      <c r="D237" s="24" t="s">
        <v>963</v>
      </c>
      <c r="E237" s="24" t="s">
        <v>685</v>
      </c>
      <c r="F237" s="25" t="s">
        <v>53</v>
      </c>
      <c r="G237" s="24" t="s">
        <v>54</v>
      </c>
      <c r="H237" s="24" t="s">
        <v>55</v>
      </c>
      <c r="I237" s="25" t="s">
        <v>100</v>
      </c>
      <c r="J237" s="25" t="s">
        <v>57</v>
      </c>
      <c r="K237" s="25" t="s">
        <v>591</v>
      </c>
      <c r="L237" s="25" t="s">
        <v>73</v>
      </c>
      <c r="M237" s="25" t="s">
        <v>60</v>
      </c>
      <c r="N237" s="25" t="s">
        <v>61</v>
      </c>
      <c r="O237" s="25" t="s">
        <v>63</v>
      </c>
      <c r="P237" s="25" t="s">
        <v>63</v>
      </c>
    </row>
    <row r="238" ht="20" customHeight="1" spans="1:16" x14ac:dyDescent="0.25">
      <c r="A238" s="21" t="s">
        <v>968</v>
      </c>
      <c r="B238" s="21" t="s">
        <v>963</v>
      </c>
      <c r="C238" s="21" t="s">
        <v>969</v>
      </c>
      <c r="D238" s="21" t="s">
        <v>963</v>
      </c>
      <c r="E238" s="21" t="s">
        <v>755</v>
      </c>
      <c r="F238" s="22" t="s">
        <v>85</v>
      </c>
      <c r="G238" s="21" t="s">
        <v>86</v>
      </c>
      <c r="H238" s="21" t="s">
        <v>87</v>
      </c>
      <c r="I238" s="22" t="s">
        <v>80</v>
      </c>
      <c r="J238" s="22" t="s">
        <v>57</v>
      </c>
      <c r="K238" s="22" t="s">
        <v>841</v>
      </c>
      <c r="L238" s="22" t="s">
        <v>73</v>
      </c>
      <c r="M238" s="22" t="s">
        <v>60</v>
      </c>
      <c r="N238" s="22" t="s">
        <v>61</v>
      </c>
      <c r="O238" s="22" t="s">
        <v>970</v>
      </c>
      <c r="P238" s="22" t="s">
        <v>63</v>
      </c>
    </row>
    <row r="239" ht="20" customHeight="1" spans="1:16" s="23" customFormat="1" x14ac:dyDescent="0.25">
      <c r="A239" s="24" t="s">
        <v>971</v>
      </c>
      <c r="B239" s="24" t="s">
        <v>963</v>
      </c>
      <c r="C239" s="24" t="s">
        <v>67</v>
      </c>
      <c r="D239" s="24" t="s">
        <v>963</v>
      </c>
      <c r="E239" s="24" t="s">
        <v>972</v>
      </c>
      <c r="F239" s="25" t="s">
        <v>68</v>
      </c>
      <c r="G239" s="24" t="s">
        <v>69</v>
      </c>
      <c r="H239" s="24" t="s">
        <v>70</v>
      </c>
      <c r="I239" s="25" t="s">
        <v>301</v>
      </c>
      <c r="J239" s="25" t="s">
        <v>57</v>
      </c>
      <c r="K239" s="25" t="s">
        <v>817</v>
      </c>
      <c r="L239" s="25" t="s">
        <v>73</v>
      </c>
      <c r="M239" s="25" t="s">
        <v>868</v>
      </c>
      <c r="N239" s="25" t="s">
        <v>465</v>
      </c>
      <c r="O239" s="25" t="s">
        <v>63</v>
      </c>
      <c r="P239" s="25" t="s">
        <v>63</v>
      </c>
    </row>
    <row r="240" ht="20" customHeight="1" spans="1:16" x14ac:dyDescent="0.25">
      <c r="A240" s="21" t="s">
        <v>968</v>
      </c>
      <c r="B240" s="21" t="s">
        <v>963</v>
      </c>
      <c r="C240" s="21" t="s">
        <v>739</v>
      </c>
      <c r="D240" s="21" t="s">
        <v>963</v>
      </c>
      <c r="E240" s="21" t="s">
        <v>758</v>
      </c>
      <c r="F240" s="22" t="s">
        <v>85</v>
      </c>
      <c r="G240" s="21" t="s">
        <v>86</v>
      </c>
      <c r="H240" s="21" t="s">
        <v>87</v>
      </c>
      <c r="I240" s="22" t="s">
        <v>80</v>
      </c>
      <c r="J240" s="22" t="s">
        <v>57</v>
      </c>
      <c r="K240" s="22" t="s">
        <v>973</v>
      </c>
      <c r="L240" s="22" t="s">
        <v>73</v>
      </c>
      <c r="M240" s="22" t="s">
        <v>201</v>
      </c>
      <c r="N240" s="22" t="s">
        <v>974</v>
      </c>
      <c r="O240" s="22" t="s">
        <v>63</v>
      </c>
      <c r="P240" s="22" t="s">
        <v>63</v>
      </c>
    </row>
    <row r="241" ht="20" customHeight="1" spans="1:16" s="23" customFormat="1" x14ac:dyDescent="0.25">
      <c r="A241" s="24" t="s">
        <v>975</v>
      </c>
      <c r="B241" s="24" t="s">
        <v>976</v>
      </c>
      <c r="C241" s="24" t="s">
        <v>50</v>
      </c>
      <c r="D241" s="24" t="s">
        <v>976</v>
      </c>
      <c r="E241" s="24" t="s">
        <v>977</v>
      </c>
      <c r="F241" s="25" t="s">
        <v>68</v>
      </c>
      <c r="G241" s="24" t="s">
        <v>978</v>
      </c>
      <c r="H241" s="24" t="s">
        <v>70</v>
      </c>
      <c r="I241" s="25" t="s">
        <v>307</v>
      </c>
      <c r="J241" s="25" t="s">
        <v>57</v>
      </c>
      <c r="K241" s="25" t="s">
        <v>596</v>
      </c>
      <c r="L241" s="25" t="s">
        <v>73</v>
      </c>
      <c r="M241" s="25" t="s">
        <v>235</v>
      </c>
      <c r="N241" s="25" t="s">
        <v>389</v>
      </c>
      <c r="O241" s="25" t="s">
        <v>63</v>
      </c>
      <c r="P241" s="25" t="s">
        <v>63</v>
      </c>
    </row>
    <row r="242" ht="20" customHeight="1" spans="1:16" x14ac:dyDescent="0.25">
      <c r="A242" s="21" t="s">
        <v>979</v>
      </c>
      <c r="B242" s="21" t="s">
        <v>980</v>
      </c>
      <c r="C242" s="21" t="s">
        <v>977</v>
      </c>
      <c r="D242" s="21" t="s">
        <v>980</v>
      </c>
      <c r="E242" s="21" t="s">
        <v>981</v>
      </c>
      <c r="F242" s="22" t="s">
        <v>68</v>
      </c>
      <c r="G242" s="21" t="s">
        <v>978</v>
      </c>
      <c r="H242" s="21" t="s">
        <v>982</v>
      </c>
      <c r="I242" s="22" t="s">
        <v>140</v>
      </c>
      <c r="J242" s="22" t="s">
        <v>57</v>
      </c>
      <c r="K242" s="22" t="s">
        <v>227</v>
      </c>
      <c r="L242" s="22" t="s">
        <v>983</v>
      </c>
      <c r="M242" s="22" t="s">
        <v>201</v>
      </c>
      <c r="N242" s="22" t="s">
        <v>974</v>
      </c>
      <c r="O242" s="22" t="s">
        <v>63</v>
      </c>
      <c r="P242" s="22" t="s">
        <v>63</v>
      </c>
    </row>
    <row r="243" ht="20" customHeight="1" spans="1:16" s="23" customFormat="1" x14ac:dyDescent="0.25">
      <c r="A243" s="24" t="s">
        <v>968</v>
      </c>
      <c r="B243" s="24" t="s">
        <v>984</v>
      </c>
      <c r="C243" s="24" t="s">
        <v>985</v>
      </c>
      <c r="D243" s="24" t="s">
        <v>984</v>
      </c>
      <c r="E243" s="24" t="s">
        <v>986</v>
      </c>
      <c r="F243" s="25" t="s">
        <v>85</v>
      </c>
      <c r="G243" s="24" t="s">
        <v>987</v>
      </c>
      <c r="H243" s="24" t="s">
        <v>988</v>
      </c>
      <c r="I243" s="25" t="s">
        <v>275</v>
      </c>
      <c r="J243" s="25" t="s">
        <v>57</v>
      </c>
      <c r="K243" s="25" t="s">
        <v>841</v>
      </c>
      <c r="L243" s="25" t="s">
        <v>73</v>
      </c>
      <c r="M243" s="25" t="s">
        <v>420</v>
      </c>
      <c r="N243" s="25" t="s">
        <v>465</v>
      </c>
      <c r="O243" s="25" t="s">
        <v>989</v>
      </c>
      <c r="P243" s="25" t="s">
        <v>63</v>
      </c>
    </row>
    <row r="244" ht="20" customHeight="1" spans="1:16" x14ac:dyDescent="0.25">
      <c r="A244" s="21" t="s">
        <v>990</v>
      </c>
      <c r="B244" s="21" t="s">
        <v>984</v>
      </c>
      <c r="C244" s="21" t="s">
        <v>991</v>
      </c>
      <c r="D244" s="21" t="s">
        <v>984</v>
      </c>
      <c r="E244" s="21" t="s">
        <v>345</v>
      </c>
      <c r="F244" s="22" t="s">
        <v>53</v>
      </c>
      <c r="G244" s="21" t="s">
        <v>105</v>
      </c>
      <c r="H244" s="21" t="s">
        <v>55</v>
      </c>
      <c r="I244" s="22" t="s">
        <v>186</v>
      </c>
      <c r="J244" s="22" t="s">
        <v>57</v>
      </c>
      <c r="K244" s="22" t="s">
        <v>752</v>
      </c>
      <c r="L244" s="22" t="s">
        <v>73</v>
      </c>
      <c r="M244" s="22" t="s">
        <v>235</v>
      </c>
      <c r="N244" s="22" t="s">
        <v>389</v>
      </c>
      <c r="O244" s="22" t="s">
        <v>63</v>
      </c>
      <c r="P244" s="22" t="s">
        <v>63</v>
      </c>
    </row>
    <row r="245" ht="20" customHeight="1" spans="1:16" s="23" customFormat="1" x14ac:dyDescent="0.25">
      <c r="A245" s="24" t="s">
        <v>992</v>
      </c>
      <c r="B245" s="24" t="s">
        <v>993</v>
      </c>
      <c r="C245" s="24" t="s">
        <v>340</v>
      </c>
      <c r="D245" s="24" t="s">
        <v>993</v>
      </c>
      <c r="E245" s="24" t="s">
        <v>994</v>
      </c>
      <c r="F245" s="25" t="s">
        <v>53</v>
      </c>
      <c r="G245" s="24" t="s">
        <v>995</v>
      </c>
      <c r="H245" s="24" t="s">
        <v>55</v>
      </c>
      <c r="I245" s="25" t="s">
        <v>866</v>
      </c>
      <c r="J245" s="25" t="s">
        <v>57</v>
      </c>
      <c r="K245" s="25" t="s">
        <v>279</v>
      </c>
      <c r="L245" s="25" t="s">
        <v>73</v>
      </c>
      <c r="M245" s="25" t="s">
        <v>544</v>
      </c>
      <c r="N245" s="25" t="s">
        <v>545</v>
      </c>
      <c r="O245" s="25" t="s">
        <v>996</v>
      </c>
      <c r="P245" s="25" t="s">
        <v>63</v>
      </c>
    </row>
    <row r="246" ht="20" customHeight="1" spans="1:16" x14ac:dyDescent="0.25">
      <c r="A246" s="21" t="s">
        <v>997</v>
      </c>
      <c r="B246" s="21" t="s">
        <v>993</v>
      </c>
      <c r="C246" s="21" t="s">
        <v>998</v>
      </c>
      <c r="D246" s="21" t="s">
        <v>993</v>
      </c>
      <c r="E246" s="21" t="s">
        <v>999</v>
      </c>
      <c r="F246" s="22" t="s">
        <v>68</v>
      </c>
      <c r="G246" s="21" t="s">
        <v>69</v>
      </c>
      <c r="H246" s="21" t="s">
        <v>70</v>
      </c>
      <c r="I246" s="22" t="s">
        <v>1000</v>
      </c>
      <c r="J246" s="22" t="s">
        <v>57</v>
      </c>
      <c r="K246" s="22" t="s">
        <v>260</v>
      </c>
      <c r="L246" s="22" t="s">
        <v>1001</v>
      </c>
      <c r="M246" s="22" t="s">
        <v>420</v>
      </c>
      <c r="N246" s="22" t="s">
        <v>465</v>
      </c>
      <c r="O246" s="22" t="s">
        <v>1002</v>
      </c>
      <c r="P246" s="22" t="s">
        <v>63</v>
      </c>
    </row>
    <row r="247" ht="20" customHeight="1" spans="1:16" s="23" customFormat="1" x14ac:dyDescent="0.25">
      <c r="A247" s="24" t="s">
        <v>1003</v>
      </c>
      <c r="B247" s="24" t="s">
        <v>993</v>
      </c>
      <c r="C247" s="24" t="s">
        <v>1004</v>
      </c>
      <c r="D247" s="24" t="s">
        <v>993</v>
      </c>
      <c r="E247" s="24" t="s">
        <v>875</v>
      </c>
      <c r="F247" s="25" t="s">
        <v>53</v>
      </c>
      <c r="G247" s="24" t="s">
        <v>105</v>
      </c>
      <c r="H247" s="24" t="s">
        <v>610</v>
      </c>
      <c r="I247" s="25" t="s">
        <v>88</v>
      </c>
      <c r="J247" s="25" t="s">
        <v>57</v>
      </c>
      <c r="K247" s="25" t="s">
        <v>81</v>
      </c>
      <c r="L247" s="25" t="s">
        <v>73</v>
      </c>
      <c r="M247" s="25" t="s">
        <v>60</v>
      </c>
      <c r="N247" s="25" t="s">
        <v>61</v>
      </c>
      <c r="O247" s="25" t="s">
        <v>63</v>
      </c>
      <c r="P247" s="25" t="s">
        <v>63</v>
      </c>
    </row>
    <row r="248" ht="20" customHeight="1" spans="1:16" x14ac:dyDescent="0.25">
      <c r="A248" s="21" t="s">
        <v>1005</v>
      </c>
      <c r="B248" s="21" t="s">
        <v>1006</v>
      </c>
      <c r="C248" s="21" t="s">
        <v>78</v>
      </c>
      <c r="D248" s="21" t="s">
        <v>1006</v>
      </c>
      <c r="E248" s="21" t="s">
        <v>1007</v>
      </c>
      <c r="F248" s="22" t="s">
        <v>53</v>
      </c>
      <c r="G248" s="21" t="s">
        <v>105</v>
      </c>
      <c r="H248" s="21" t="s">
        <v>610</v>
      </c>
      <c r="I248" s="22" t="s">
        <v>868</v>
      </c>
      <c r="J248" s="22" t="s">
        <v>57</v>
      </c>
      <c r="K248" s="22" t="s">
        <v>72</v>
      </c>
      <c r="L248" s="22" t="s">
        <v>1008</v>
      </c>
      <c r="M248" s="22" t="s">
        <v>464</v>
      </c>
      <c r="N248" s="22" t="s">
        <v>465</v>
      </c>
      <c r="O248" s="22" t="s">
        <v>63</v>
      </c>
      <c r="P248" s="22" t="s">
        <v>63</v>
      </c>
    </row>
    <row r="249" ht="20" customHeight="1" spans="1:16" s="23" customFormat="1" x14ac:dyDescent="0.25">
      <c r="A249" s="24" t="s">
        <v>1009</v>
      </c>
      <c r="B249" s="24" t="s">
        <v>1006</v>
      </c>
      <c r="C249" s="24" t="s">
        <v>79</v>
      </c>
      <c r="D249" s="24" t="s">
        <v>1006</v>
      </c>
      <c r="E249" s="24" t="s">
        <v>1010</v>
      </c>
      <c r="F249" s="25" t="s">
        <v>53</v>
      </c>
      <c r="G249" s="24" t="s">
        <v>105</v>
      </c>
      <c r="H249" s="24" t="s">
        <v>55</v>
      </c>
      <c r="I249" s="25" t="s">
        <v>100</v>
      </c>
      <c r="J249" s="25" t="s">
        <v>57</v>
      </c>
      <c r="K249" s="25" t="s">
        <v>596</v>
      </c>
      <c r="L249" s="25" t="s">
        <v>73</v>
      </c>
      <c r="M249" s="25" t="s">
        <v>160</v>
      </c>
      <c r="N249" s="25" t="s">
        <v>426</v>
      </c>
      <c r="O249" s="25" t="s">
        <v>63</v>
      </c>
      <c r="P249" s="25" t="s">
        <v>63</v>
      </c>
    </row>
    <row r="250" ht="20" customHeight="1" spans="1:16" x14ac:dyDescent="0.25">
      <c r="A250" s="21" t="s">
        <v>1011</v>
      </c>
      <c r="B250" s="21" t="s">
        <v>1006</v>
      </c>
      <c r="C250" s="21" t="s">
        <v>1012</v>
      </c>
      <c r="D250" s="21" t="s">
        <v>1006</v>
      </c>
      <c r="E250" s="21" t="s">
        <v>1013</v>
      </c>
      <c r="F250" s="22" t="s">
        <v>68</v>
      </c>
      <c r="G250" s="21" t="s">
        <v>69</v>
      </c>
      <c r="H250" s="21" t="s">
        <v>70</v>
      </c>
      <c r="I250" s="22" t="s">
        <v>314</v>
      </c>
      <c r="J250" s="22" t="s">
        <v>57</v>
      </c>
      <c r="K250" s="22" t="s">
        <v>81</v>
      </c>
      <c r="L250" s="22" t="s">
        <v>73</v>
      </c>
      <c r="M250" s="22" t="s">
        <v>201</v>
      </c>
      <c r="N250" s="22" t="s">
        <v>974</v>
      </c>
      <c r="O250" s="22" t="s">
        <v>1014</v>
      </c>
      <c r="P250" s="22" t="s">
        <v>63</v>
      </c>
    </row>
    <row r="251" ht="20" customHeight="1" spans="1:16" s="23" customFormat="1" x14ac:dyDescent="0.25">
      <c r="A251" s="24" t="s">
        <v>1015</v>
      </c>
      <c r="B251" s="24" t="s">
        <v>1016</v>
      </c>
      <c r="C251" s="24" t="s">
        <v>1017</v>
      </c>
      <c r="D251" s="24" t="s">
        <v>1016</v>
      </c>
      <c r="E251" s="24" t="s">
        <v>1018</v>
      </c>
      <c r="F251" s="25" t="s">
        <v>53</v>
      </c>
      <c r="G251" s="24" t="s">
        <v>995</v>
      </c>
      <c r="H251" s="24" t="s">
        <v>55</v>
      </c>
      <c r="I251" s="25" t="s">
        <v>186</v>
      </c>
      <c r="J251" s="25" t="s">
        <v>57</v>
      </c>
      <c r="K251" s="25" t="s">
        <v>1019</v>
      </c>
      <c r="L251" s="25" t="s">
        <v>73</v>
      </c>
      <c r="M251" s="25" t="s">
        <v>235</v>
      </c>
      <c r="N251" s="25" t="s">
        <v>389</v>
      </c>
      <c r="O251" s="25" t="s">
        <v>63</v>
      </c>
      <c r="P251" s="25" t="s">
        <v>63</v>
      </c>
    </row>
    <row r="252" ht="20" customHeight="1" spans="1:16" x14ac:dyDescent="0.25">
      <c r="A252" s="21" t="s">
        <v>1020</v>
      </c>
      <c r="B252" s="21" t="s">
        <v>1016</v>
      </c>
      <c r="C252" s="21" t="s">
        <v>1021</v>
      </c>
      <c r="D252" s="21" t="s">
        <v>1016</v>
      </c>
      <c r="E252" s="21" t="s">
        <v>1022</v>
      </c>
      <c r="F252" s="22" t="s">
        <v>85</v>
      </c>
      <c r="G252" s="21" t="s">
        <v>86</v>
      </c>
      <c r="H252" s="21" t="s">
        <v>87</v>
      </c>
      <c r="I252" s="22" t="s">
        <v>100</v>
      </c>
      <c r="J252" s="22" t="s">
        <v>57</v>
      </c>
      <c r="K252" s="22" t="s">
        <v>101</v>
      </c>
      <c r="L252" s="22" t="s">
        <v>1023</v>
      </c>
      <c r="M252" s="22" t="s">
        <v>60</v>
      </c>
      <c r="N252" s="22" t="s">
        <v>61</v>
      </c>
      <c r="O252" s="22" t="s">
        <v>63</v>
      </c>
      <c r="P252" s="22" t="s">
        <v>63</v>
      </c>
    </row>
    <row r="253" ht="20" customHeight="1" spans="1:16" s="23" customFormat="1" x14ac:dyDescent="0.25">
      <c r="A253" s="24" t="s">
        <v>1024</v>
      </c>
      <c r="B253" s="24" t="s">
        <v>1016</v>
      </c>
      <c r="C253" s="24" t="s">
        <v>903</v>
      </c>
      <c r="D253" s="24" t="s">
        <v>1016</v>
      </c>
      <c r="E253" s="24" t="s">
        <v>1025</v>
      </c>
      <c r="F253" s="25" t="s">
        <v>436</v>
      </c>
      <c r="G253" s="24" t="s">
        <v>437</v>
      </c>
      <c r="H253" s="24" t="s">
        <v>438</v>
      </c>
      <c r="I253" s="25" t="s">
        <v>80</v>
      </c>
      <c r="J253" s="25" t="s">
        <v>57</v>
      </c>
      <c r="K253" s="25" t="s">
        <v>72</v>
      </c>
      <c r="L253" s="25" t="s">
        <v>73</v>
      </c>
      <c r="M253" s="25" t="s">
        <v>60</v>
      </c>
      <c r="N253" s="25" t="s">
        <v>61</v>
      </c>
      <c r="O253" s="25" t="s">
        <v>63</v>
      </c>
      <c r="P253" s="25" t="s">
        <v>63</v>
      </c>
    </row>
    <row r="254" ht="20" customHeight="1" spans="1:16" x14ac:dyDescent="0.25">
      <c r="A254" s="21" t="s">
        <v>1026</v>
      </c>
      <c r="B254" s="21" t="s">
        <v>1016</v>
      </c>
      <c r="C254" s="21" t="s">
        <v>109</v>
      </c>
      <c r="D254" s="21" t="s">
        <v>1016</v>
      </c>
      <c r="E254" s="21" t="s">
        <v>193</v>
      </c>
      <c r="F254" s="22" t="s">
        <v>85</v>
      </c>
      <c r="G254" s="21" t="s">
        <v>86</v>
      </c>
      <c r="H254" s="21" t="s">
        <v>87</v>
      </c>
      <c r="I254" s="22" t="s">
        <v>113</v>
      </c>
      <c r="J254" s="22" t="s">
        <v>57</v>
      </c>
      <c r="K254" s="22" t="s">
        <v>1027</v>
      </c>
      <c r="L254" s="22" t="s">
        <v>734</v>
      </c>
      <c r="M254" s="22" t="s">
        <v>420</v>
      </c>
      <c r="N254" s="22" t="s">
        <v>465</v>
      </c>
      <c r="O254" s="22" t="s">
        <v>63</v>
      </c>
      <c r="P254" s="22" t="s">
        <v>63</v>
      </c>
    </row>
    <row r="255" ht="20" customHeight="1" spans="1:16" s="23" customFormat="1" x14ac:dyDescent="0.25">
      <c r="A255" s="24" t="s">
        <v>1028</v>
      </c>
      <c r="B255" s="24" t="s">
        <v>993</v>
      </c>
      <c r="C255" s="24" t="s">
        <v>340</v>
      </c>
      <c r="D255" s="24" t="s">
        <v>993</v>
      </c>
      <c r="E255" s="24" t="s">
        <v>1029</v>
      </c>
      <c r="F255" s="25" t="s">
        <v>53</v>
      </c>
      <c r="G255" s="24" t="s">
        <v>54</v>
      </c>
      <c r="H255" s="24" t="s">
        <v>55</v>
      </c>
      <c r="I255" s="25" t="s">
        <v>80</v>
      </c>
      <c r="J255" s="25" t="s">
        <v>57</v>
      </c>
      <c r="K255" s="25" t="s">
        <v>279</v>
      </c>
      <c r="L255" s="25" t="s">
        <v>73</v>
      </c>
      <c r="M255" s="25" t="s">
        <v>544</v>
      </c>
      <c r="N255" s="25" t="s">
        <v>545</v>
      </c>
      <c r="O255" s="25" t="s">
        <v>63</v>
      </c>
      <c r="P255" s="25" t="s">
        <v>63</v>
      </c>
    </row>
    <row r="256" ht="20" customHeight="1" spans="1:16" x14ac:dyDescent="0.25">
      <c r="A256" s="21" t="s">
        <v>1030</v>
      </c>
      <c r="B256" s="21" t="s">
        <v>1016</v>
      </c>
      <c r="C256" s="21" t="s">
        <v>865</v>
      </c>
      <c r="D256" s="21" t="s">
        <v>1016</v>
      </c>
      <c r="E256" s="21" t="s">
        <v>1029</v>
      </c>
      <c r="F256" s="22" t="s">
        <v>53</v>
      </c>
      <c r="G256" s="21" t="s">
        <v>54</v>
      </c>
      <c r="H256" s="21" t="s">
        <v>55</v>
      </c>
      <c r="I256" s="22" t="s">
        <v>80</v>
      </c>
      <c r="J256" s="22" t="s">
        <v>57</v>
      </c>
      <c r="K256" s="22" t="s">
        <v>81</v>
      </c>
      <c r="L256" s="22" t="s">
        <v>73</v>
      </c>
      <c r="M256" s="22" t="s">
        <v>60</v>
      </c>
      <c r="N256" s="22" t="s">
        <v>61</v>
      </c>
      <c r="O256" s="22" t="s">
        <v>63</v>
      </c>
      <c r="P256" s="22" t="s">
        <v>63</v>
      </c>
    </row>
    <row r="257" ht="20" customHeight="1" spans="1:16" s="23" customFormat="1" x14ac:dyDescent="0.25">
      <c r="A257" s="24" t="s">
        <v>1031</v>
      </c>
      <c r="B257" s="24" t="s">
        <v>1032</v>
      </c>
      <c r="C257" s="24" t="s">
        <v>204</v>
      </c>
      <c r="D257" s="24" t="s">
        <v>1032</v>
      </c>
      <c r="E257" s="24" t="s">
        <v>1033</v>
      </c>
      <c r="F257" s="25" t="s">
        <v>53</v>
      </c>
      <c r="G257" s="24" t="s">
        <v>105</v>
      </c>
      <c r="H257" s="24" t="s">
        <v>55</v>
      </c>
      <c r="I257" s="25" t="s">
        <v>201</v>
      </c>
      <c r="J257" s="25" t="s">
        <v>57</v>
      </c>
      <c r="K257" s="25" t="s">
        <v>752</v>
      </c>
      <c r="L257" s="25" t="s">
        <v>73</v>
      </c>
      <c r="M257" s="25" t="s">
        <v>160</v>
      </c>
      <c r="N257" s="25" t="s">
        <v>426</v>
      </c>
      <c r="O257" s="25" t="s">
        <v>63</v>
      </c>
      <c r="P257" s="25" t="s">
        <v>1034</v>
      </c>
    </row>
    <row r="258" ht="20" customHeight="1" spans="1:16" x14ac:dyDescent="0.25">
      <c r="A258" s="21" t="s">
        <v>1035</v>
      </c>
      <c r="B258" s="21" t="s">
        <v>1032</v>
      </c>
      <c r="C258" s="21" t="s">
        <v>1036</v>
      </c>
      <c r="D258" s="21" t="s">
        <v>1032</v>
      </c>
      <c r="E258" s="21" t="s">
        <v>1037</v>
      </c>
      <c r="F258" s="22" t="s">
        <v>53</v>
      </c>
      <c r="G258" s="21" t="s">
        <v>54</v>
      </c>
      <c r="H258" s="21" t="s">
        <v>55</v>
      </c>
      <c r="I258" s="22" t="s">
        <v>88</v>
      </c>
      <c r="J258" s="22" t="s">
        <v>57</v>
      </c>
      <c r="K258" s="22" t="s">
        <v>58</v>
      </c>
      <c r="L258" s="22" t="s">
        <v>73</v>
      </c>
      <c r="M258" s="22" t="s">
        <v>464</v>
      </c>
      <c r="N258" s="22" t="s">
        <v>465</v>
      </c>
      <c r="O258" s="22" t="s">
        <v>63</v>
      </c>
      <c r="P258" s="22" t="s">
        <v>63</v>
      </c>
    </row>
    <row r="259" ht="20" customHeight="1" spans="1:16" s="23" customFormat="1" x14ac:dyDescent="0.25">
      <c r="A259" s="24" t="s">
        <v>1038</v>
      </c>
      <c r="B259" s="24" t="s">
        <v>1039</v>
      </c>
      <c r="C259" s="24" t="s">
        <v>244</v>
      </c>
      <c r="D259" s="24" t="s">
        <v>1039</v>
      </c>
      <c r="E259" s="24" t="s">
        <v>1040</v>
      </c>
      <c r="F259" s="25" t="s">
        <v>68</v>
      </c>
      <c r="G259" s="24" t="s">
        <v>69</v>
      </c>
      <c r="H259" s="24" t="s">
        <v>70</v>
      </c>
      <c r="I259" s="25" t="s">
        <v>233</v>
      </c>
      <c r="J259" s="25" t="s">
        <v>57</v>
      </c>
      <c r="K259" s="25" t="s">
        <v>596</v>
      </c>
      <c r="L259" s="25" t="s">
        <v>1041</v>
      </c>
      <c r="M259" s="25" t="s">
        <v>235</v>
      </c>
      <c r="N259" s="25" t="s">
        <v>389</v>
      </c>
      <c r="O259" s="25" t="s">
        <v>63</v>
      </c>
      <c r="P259" s="25" t="s">
        <v>63</v>
      </c>
    </row>
    <row r="260" ht="20" customHeight="1" spans="1:16" x14ac:dyDescent="0.25">
      <c r="A260" s="21" t="s">
        <v>1042</v>
      </c>
      <c r="B260" s="21" t="s">
        <v>1039</v>
      </c>
      <c r="C260" s="21" t="s">
        <v>1043</v>
      </c>
      <c r="D260" s="21" t="s">
        <v>1039</v>
      </c>
      <c r="E260" s="21" t="s">
        <v>594</v>
      </c>
      <c r="F260" s="22" t="s">
        <v>68</v>
      </c>
      <c r="G260" s="21" t="s">
        <v>69</v>
      </c>
      <c r="H260" s="21" t="s">
        <v>70</v>
      </c>
      <c r="I260" s="22" t="s">
        <v>233</v>
      </c>
      <c r="J260" s="22" t="s">
        <v>57</v>
      </c>
      <c r="K260" s="22" t="s">
        <v>596</v>
      </c>
      <c r="L260" s="22" t="s">
        <v>73</v>
      </c>
      <c r="M260" s="22" t="s">
        <v>235</v>
      </c>
      <c r="N260" s="22" t="s">
        <v>389</v>
      </c>
      <c r="O260" s="22" t="s">
        <v>63</v>
      </c>
      <c r="P260" s="22" t="s">
        <v>63</v>
      </c>
    </row>
    <row r="261" ht="20" customHeight="1" spans="1:16" s="23" customFormat="1" x14ac:dyDescent="0.25">
      <c r="A261" s="24" t="s">
        <v>1044</v>
      </c>
      <c r="B261" s="24" t="s">
        <v>1045</v>
      </c>
      <c r="C261" s="24" t="s">
        <v>164</v>
      </c>
      <c r="D261" s="24" t="s">
        <v>1045</v>
      </c>
      <c r="E261" s="24" t="s">
        <v>480</v>
      </c>
      <c r="F261" s="25" t="s">
        <v>53</v>
      </c>
      <c r="G261" s="24" t="s">
        <v>105</v>
      </c>
      <c r="H261" s="24" t="s">
        <v>55</v>
      </c>
      <c r="I261" s="25" t="s">
        <v>866</v>
      </c>
      <c r="J261" s="25" t="s">
        <v>57</v>
      </c>
      <c r="K261" s="25" t="s">
        <v>867</v>
      </c>
      <c r="L261" s="25" t="s">
        <v>73</v>
      </c>
      <c r="M261" s="25" t="s">
        <v>464</v>
      </c>
      <c r="N261" s="25" t="s">
        <v>465</v>
      </c>
      <c r="O261" s="25" t="s">
        <v>63</v>
      </c>
      <c r="P261" s="25" t="s">
        <v>63</v>
      </c>
    </row>
    <row r="262" ht="20" customHeight="1" spans="1:16" x14ac:dyDescent="0.25">
      <c r="A262" s="21" t="s">
        <v>1046</v>
      </c>
      <c r="B262" s="21" t="s">
        <v>1045</v>
      </c>
      <c r="C262" s="21" t="s">
        <v>1047</v>
      </c>
      <c r="D262" s="21" t="s">
        <v>1045</v>
      </c>
      <c r="E262" s="21" t="s">
        <v>1048</v>
      </c>
      <c r="F262" s="22" t="s">
        <v>68</v>
      </c>
      <c r="G262" s="21" t="s">
        <v>69</v>
      </c>
      <c r="H262" s="21" t="s">
        <v>70</v>
      </c>
      <c r="I262" s="22" t="s">
        <v>301</v>
      </c>
      <c r="J262" s="22" t="s">
        <v>57</v>
      </c>
      <c r="K262" s="22" t="s">
        <v>1049</v>
      </c>
      <c r="L262" s="22" t="s">
        <v>73</v>
      </c>
      <c r="M262" s="22" t="s">
        <v>201</v>
      </c>
      <c r="N262" s="22" t="s">
        <v>974</v>
      </c>
      <c r="O262" s="22" t="s">
        <v>63</v>
      </c>
      <c r="P262" s="22" t="s">
        <v>63</v>
      </c>
    </row>
    <row r="263" ht="20" customHeight="1" spans="1:16" s="23" customFormat="1" x14ac:dyDescent="0.25">
      <c r="A263" s="24" t="s">
        <v>1050</v>
      </c>
      <c r="B263" s="24" t="s">
        <v>1045</v>
      </c>
      <c r="C263" s="24" t="s">
        <v>169</v>
      </c>
      <c r="D263" s="24" t="s">
        <v>1045</v>
      </c>
      <c r="E263" s="24" t="s">
        <v>145</v>
      </c>
      <c r="F263" s="25" t="s">
        <v>436</v>
      </c>
      <c r="G263" s="24" t="s">
        <v>437</v>
      </c>
      <c r="H263" s="24" t="s">
        <v>438</v>
      </c>
      <c r="I263" s="25" t="s">
        <v>1051</v>
      </c>
      <c r="J263" s="25" t="s">
        <v>57</v>
      </c>
      <c r="K263" s="25" t="s">
        <v>206</v>
      </c>
      <c r="L263" s="25" t="s">
        <v>73</v>
      </c>
      <c r="M263" s="25" t="s">
        <v>60</v>
      </c>
      <c r="N263" s="25" t="s">
        <v>61</v>
      </c>
      <c r="O263" s="25" t="s">
        <v>63</v>
      </c>
      <c r="P263" s="25" t="s">
        <v>63</v>
      </c>
    </row>
    <row r="264" ht="20" customHeight="1" spans="1:16" x14ac:dyDescent="0.25">
      <c r="A264" s="21" t="s">
        <v>1052</v>
      </c>
      <c r="B264" s="21" t="s">
        <v>1045</v>
      </c>
      <c r="C264" s="21" t="s">
        <v>1053</v>
      </c>
      <c r="D264" s="21" t="s">
        <v>1045</v>
      </c>
      <c r="E264" s="21" t="s">
        <v>1054</v>
      </c>
      <c r="F264" s="22" t="s">
        <v>85</v>
      </c>
      <c r="G264" s="21" t="s">
        <v>86</v>
      </c>
      <c r="H264" s="21" t="s">
        <v>87</v>
      </c>
      <c r="I264" s="22" t="s">
        <v>80</v>
      </c>
      <c r="J264" s="22" t="s">
        <v>57</v>
      </c>
      <c r="K264" s="22" t="s">
        <v>81</v>
      </c>
      <c r="L264" s="22" t="s">
        <v>73</v>
      </c>
      <c r="M264" s="22" t="s">
        <v>60</v>
      </c>
      <c r="N264" s="22" t="s">
        <v>61</v>
      </c>
      <c r="O264" s="22" t="s">
        <v>63</v>
      </c>
      <c r="P264" s="22" t="s">
        <v>63</v>
      </c>
    </row>
    <row r="265" ht="20" customHeight="1" spans="1:16" s="23" customFormat="1" x14ac:dyDescent="0.25">
      <c r="A265" s="24" t="s">
        <v>1055</v>
      </c>
      <c r="B265" s="24" t="s">
        <v>1045</v>
      </c>
      <c r="C265" s="24" t="s">
        <v>594</v>
      </c>
      <c r="D265" s="24" t="s">
        <v>1056</v>
      </c>
      <c r="E265" s="24" t="s">
        <v>614</v>
      </c>
      <c r="F265" s="25" t="s">
        <v>53</v>
      </c>
      <c r="G265" s="24" t="s">
        <v>54</v>
      </c>
      <c r="H265" s="24" t="s">
        <v>55</v>
      </c>
      <c r="I265" s="25" t="s">
        <v>56</v>
      </c>
      <c r="J265" s="25" t="s">
        <v>57</v>
      </c>
      <c r="K265" s="25" t="s">
        <v>147</v>
      </c>
      <c r="L265" s="25" t="s">
        <v>106</v>
      </c>
      <c r="M265" s="25" t="s">
        <v>60</v>
      </c>
      <c r="N265" s="25" t="s">
        <v>61</v>
      </c>
      <c r="O265" s="25" t="s">
        <v>63</v>
      </c>
      <c r="P265" s="25" t="s">
        <v>63</v>
      </c>
    </row>
    <row r="266" ht="20" customHeight="1" spans="1:16" x14ac:dyDescent="0.25">
      <c r="A266" s="21" t="s">
        <v>1057</v>
      </c>
      <c r="B266" s="21" t="s">
        <v>1045</v>
      </c>
      <c r="C266" s="21" t="s">
        <v>1058</v>
      </c>
      <c r="D266" s="21" t="s">
        <v>1045</v>
      </c>
      <c r="E266" s="21" t="s">
        <v>1059</v>
      </c>
      <c r="F266" s="22" t="s">
        <v>68</v>
      </c>
      <c r="G266" s="21" t="s">
        <v>69</v>
      </c>
      <c r="H266" s="21" t="s">
        <v>70</v>
      </c>
      <c r="I266" s="22" t="s">
        <v>233</v>
      </c>
      <c r="J266" s="22" t="s">
        <v>57</v>
      </c>
      <c r="K266" s="22" t="s">
        <v>247</v>
      </c>
      <c r="L266" s="22" t="s">
        <v>73</v>
      </c>
      <c r="M266" s="22" t="s">
        <v>868</v>
      </c>
      <c r="N266" s="22" t="s">
        <v>465</v>
      </c>
      <c r="O266" s="22" t="s">
        <v>63</v>
      </c>
      <c r="P266" s="22" t="s">
        <v>63</v>
      </c>
    </row>
    <row r="267" ht="20" customHeight="1" spans="1:16" s="23" customFormat="1" x14ac:dyDescent="0.25">
      <c r="A267" s="24" t="s">
        <v>1060</v>
      </c>
      <c r="B267" s="24" t="s">
        <v>1056</v>
      </c>
      <c r="C267" s="24" t="s">
        <v>581</v>
      </c>
      <c r="D267" s="24" t="s">
        <v>1056</v>
      </c>
      <c r="E267" s="24" t="s">
        <v>1061</v>
      </c>
      <c r="F267" s="25" t="s">
        <v>53</v>
      </c>
      <c r="G267" s="24" t="s">
        <v>54</v>
      </c>
      <c r="H267" s="24" t="s">
        <v>55</v>
      </c>
      <c r="I267" s="25" t="s">
        <v>160</v>
      </c>
      <c r="J267" s="25" t="s">
        <v>57</v>
      </c>
      <c r="K267" s="25" t="s">
        <v>772</v>
      </c>
      <c r="L267" s="25" t="s">
        <v>73</v>
      </c>
      <c r="M267" s="25" t="s">
        <v>160</v>
      </c>
      <c r="N267" s="25" t="s">
        <v>426</v>
      </c>
      <c r="O267" s="25" t="s">
        <v>63</v>
      </c>
      <c r="P267" s="25" t="s">
        <v>63</v>
      </c>
    </row>
    <row r="268" ht="20" customHeight="1" spans="1:16" x14ac:dyDescent="0.25">
      <c r="A268" s="21" t="s">
        <v>1062</v>
      </c>
      <c r="B268" s="21" t="s">
        <v>1056</v>
      </c>
      <c r="C268" s="21" t="s">
        <v>1063</v>
      </c>
      <c r="D268" s="21" t="s">
        <v>1056</v>
      </c>
      <c r="E268" s="21" t="s">
        <v>1064</v>
      </c>
      <c r="F268" s="22" t="s">
        <v>53</v>
      </c>
      <c r="G268" s="21" t="s">
        <v>105</v>
      </c>
      <c r="H268" s="21" t="s">
        <v>610</v>
      </c>
      <c r="I268" s="22" t="s">
        <v>233</v>
      </c>
      <c r="J268" s="22" t="s">
        <v>57</v>
      </c>
      <c r="K268" s="22" t="s">
        <v>72</v>
      </c>
      <c r="L268" s="22" t="s">
        <v>73</v>
      </c>
      <c r="M268" s="22" t="s">
        <v>420</v>
      </c>
      <c r="N268" s="22" t="s">
        <v>465</v>
      </c>
      <c r="O268" s="22" t="s">
        <v>63</v>
      </c>
      <c r="P268" s="22" t="s">
        <v>63</v>
      </c>
    </row>
    <row r="269" ht="20" customHeight="1" spans="1:16" s="23" customFormat="1" x14ac:dyDescent="0.25">
      <c r="A269" s="24" t="s">
        <v>1065</v>
      </c>
      <c r="B269" s="24" t="s">
        <v>1056</v>
      </c>
      <c r="C269" s="24" t="s">
        <v>98</v>
      </c>
      <c r="D269" s="24" t="s">
        <v>1056</v>
      </c>
      <c r="E269" s="24" t="s">
        <v>471</v>
      </c>
      <c r="F269" s="25" t="s">
        <v>68</v>
      </c>
      <c r="G269" s="24" t="s">
        <v>69</v>
      </c>
      <c r="H269" s="24" t="s">
        <v>70</v>
      </c>
      <c r="I269" s="25" t="s">
        <v>233</v>
      </c>
      <c r="J269" s="25" t="s">
        <v>57</v>
      </c>
      <c r="K269" s="25" t="s">
        <v>260</v>
      </c>
      <c r="L269" s="25" t="s">
        <v>73</v>
      </c>
      <c r="M269" s="25" t="s">
        <v>420</v>
      </c>
      <c r="N269" s="25" t="s">
        <v>465</v>
      </c>
      <c r="O269" s="25" t="s">
        <v>63</v>
      </c>
      <c r="P269" s="25" t="s">
        <v>63</v>
      </c>
    </row>
    <row r="270" ht="20" customHeight="1" spans="1:16" x14ac:dyDescent="0.25">
      <c r="A270" s="21" t="s">
        <v>1065</v>
      </c>
      <c r="B270" s="21" t="s">
        <v>1056</v>
      </c>
      <c r="C270" s="21" t="s">
        <v>1066</v>
      </c>
      <c r="D270" s="21" t="s">
        <v>1056</v>
      </c>
      <c r="E270" s="21" t="s">
        <v>1067</v>
      </c>
      <c r="F270" s="22" t="s">
        <v>68</v>
      </c>
      <c r="G270" s="21" t="s">
        <v>69</v>
      </c>
      <c r="H270" s="21" t="s">
        <v>70</v>
      </c>
      <c r="I270" s="22" t="s">
        <v>233</v>
      </c>
      <c r="J270" s="22" t="s">
        <v>57</v>
      </c>
      <c r="K270" s="22" t="s">
        <v>260</v>
      </c>
      <c r="L270" s="22" t="s">
        <v>1068</v>
      </c>
      <c r="M270" s="22" t="s">
        <v>420</v>
      </c>
      <c r="N270" s="22" t="s">
        <v>465</v>
      </c>
      <c r="O270" s="22" t="s">
        <v>63</v>
      </c>
      <c r="P270" s="22" t="s">
        <v>63</v>
      </c>
    </row>
    <row r="271" ht="20" customHeight="1" spans="1:16" s="23" customFormat="1" x14ac:dyDescent="0.25">
      <c r="A271" s="24" t="s">
        <v>1069</v>
      </c>
      <c r="B271" s="24" t="s">
        <v>1056</v>
      </c>
      <c r="C271" s="24" t="s">
        <v>922</v>
      </c>
      <c r="D271" s="24" t="s">
        <v>1056</v>
      </c>
      <c r="E271" s="24" t="s">
        <v>1070</v>
      </c>
      <c r="F271" s="25" t="s">
        <v>436</v>
      </c>
      <c r="G271" s="24" t="s">
        <v>437</v>
      </c>
      <c r="H271" s="24" t="s">
        <v>438</v>
      </c>
      <c r="I271" s="25" t="s">
        <v>482</v>
      </c>
      <c r="J271" s="25" t="s">
        <v>57</v>
      </c>
      <c r="K271" s="25" t="s">
        <v>147</v>
      </c>
      <c r="L271" s="25" t="s">
        <v>73</v>
      </c>
      <c r="M271" s="25" t="s">
        <v>60</v>
      </c>
      <c r="N271" s="25" t="s">
        <v>61</v>
      </c>
      <c r="O271" s="25" t="s">
        <v>63</v>
      </c>
      <c r="P271" s="25" t="s">
        <v>63</v>
      </c>
    </row>
    <row r="272" ht="20" customHeight="1" spans="1:16" x14ac:dyDescent="0.25">
      <c r="A272" s="21" t="s">
        <v>1071</v>
      </c>
      <c r="B272" s="21" t="s">
        <v>1056</v>
      </c>
      <c r="C272" s="21" t="s">
        <v>922</v>
      </c>
      <c r="D272" s="21" t="s">
        <v>1056</v>
      </c>
      <c r="E272" s="21" t="s">
        <v>623</v>
      </c>
      <c r="F272" s="22" t="s">
        <v>53</v>
      </c>
      <c r="G272" s="21" t="s">
        <v>105</v>
      </c>
      <c r="H272" s="21" t="s">
        <v>610</v>
      </c>
      <c r="I272" s="22" t="s">
        <v>56</v>
      </c>
      <c r="J272" s="22" t="s">
        <v>57</v>
      </c>
      <c r="K272" s="22" t="s">
        <v>147</v>
      </c>
      <c r="L272" s="22" t="s">
        <v>73</v>
      </c>
      <c r="M272" s="22" t="s">
        <v>60</v>
      </c>
      <c r="N272" s="22" t="s">
        <v>61</v>
      </c>
      <c r="O272" s="22" t="s">
        <v>63</v>
      </c>
      <c r="P272" s="22" t="s">
        <v>63</v>
      </c>
    </row>
    <row r="273" ht="20" customHeight="1" spans="1:16" s="23" customFormat="1" x14ac:dyDescent="0.25">
      <c r="A273" s="24" t="s">
        <v>1072</v>
      </c>
      <c r="B273" s="24" t="s">
        <v>1056</v>
      </c>
      <c r="C273" s="24" t="s">
        <v>873</v>
      </c>
      <c r="D273" s="24" t="s">
        <v>1056</v>
      </c>
      <c r="E273" s="24" t="s">
        <v>1073</v>
      </c>
      <c r="F273" s="25" t="s">
        <v>731</v>
      </c>
      <c r="G273" s="24" t="s">
        <v>732</v>
      </c>
      <c r="H273" s="24" t="s">
        <v>733</v>
      </c>
      <c r="I273" s="25" t="s">
        <v>80</v>
      </c>
      <c r="J273" s="25" t="s">
        <v>57</v>
      </c>
      <c r="K273" s="25" t="s">
        <v>81</v>
      </c>
      <c r="L273" s="25" t="s">
        <v>73</v>
      </c>
      <c r="M273" s="25" t="s">
        <v>60</v>
      </c>
      <c r="N273" s="25" t="s">
        <v>61</v>
      </c>
      <c r="O273" s="25" t="s">
        <v>63</v>
      </c>
      <c r="P273" s="25" t="s">
        <v>63</v>
      </c>
    </row>
    <row r="274" ht="20" customHeight="1" spans="1:16" x14ac:dyDescent="0.25">
      <c r="A274" s="21" t="s">
        <v>1074</v>
      </c>
      <c r="B274" s="21" t="s">
        <v>1056</v>
      </c>
      <c r="C274" s="21" t="s">
        <v>328</v>
      </c>
      <c r="D274" s="21" t="s">
        <v>1056</v>
      </c>
      <c r="E274" s="21" t="s">
        <v>614</v>
      </c>
      <c r="F274" s="22" t="s">
        <v>53</v>
      </c>
      <c r="G274" s="21" t="s">
        <v>54</v>
      </c>
      <c r="H274" s="21" t="s">
        <v>55</v>
      </c>
      <c r="I274" s="22" t="s">
        <v>259</v>
      </c>
      <c r="J274" s="22" t="s">
        <v>57</v>
      </c>
      <c r="K274" s="22" t="s">
        <v>72</v>
      </c>
      <c r="L274" s="22" t="s">
        <v>73</v>
      </c>
      <c r="M274" s="22" t="s">
        <v>499</v>
      </c>
      <c r="N274" s="22" t="s">
        <v>465</v>
      </c>
      <c r="O274" s="22" t="s">
        <v>63</v>
      </c>
      <c r="P274" s="22" t="s">
        <v>63</v>
      </c>
    </row>
    <row r="275" ht="20" customHeight="1" spans="1:16" s="23" customFormat="1" x14ac:dyDescent="0.25">
      <c r="A275" s="24" t="s">
        <v>1074</v>
      </c>
      <c r="B275" s="24" t="s">
        <v>1056</v>
      </c>
      <c r="C275" s="24" t="s">
        <v>328</v>
      </c>
      <c r="D275" s="24" t="s">
        <v>1056</v>
      </c>
      <c r="E275" s="24" t="s">
        <v>614</v>
      </c>
      <c r="F275" s="25" t="s">
        <v>53</v>
      </c>
      <c r="G275" s="24" t="s">
        <v>54</v>
      </c>
      <c r="H275" s="24" t="s">
        <v>55</v>
      </c>
      <c r="I275" s="25" t="s">
        <v>259</v>
      </c>
      <c r="J275" s="25" t="s">
        <v>57</v>
      </c>
      <c r="K275" s="25" t="s">
        <v>279</v>
      </c>
      <c r="L275" s="25" t="s">
        <v>73</v>
      </c>
      <c r="M275" s="25" t="s">
        <v>63</v>
      </c>
      <c r="N275" s="25" t="s">
        <v>63</v>
      </c>
      <c r="O275" s="25" t="s">
        <v>63</v>
      </c>
      <c r="P275" s="25" t="s">
        <v>63</v>
      </c>
    </row>
    <row r="276" ht="20" customHeight="1" spans="1:16" x14ac:dyDescent="0.25">
      <c r="A276" s="21" t="s">
        <v>1075</v>
      </c>
      <c r="B276" s="21" t="s">
        <v>1076</v>
      </c>
      <c r="C276" s="21" t="s">
        <v>93</v>
      </c>
      <c r="D276" s="21" t="s">
        <v>1076</v>
      </c>
      <c r="E276" s="21" t="s">
        <v>786</v>
      </c>
      <c r="F276" s="22" t="s">
        <v>53</v>
      </c>
      <c r="G276" s="21" t="s">
        <v>131</v>
      </c>
      <c r="H276" s="21" t="s">
        <v>55</v>
      </c>
      <c r="I276" s="22" t="s">
        <v>56</v>
      </c>
      <c r="J276" s="22" t="s">
        <v>57</v>
      </c>
      <c r="K276" s="22" t="s">
        <v>1077</v>
      </c>
      <c r="L276" s="22" t="s">
        <v>1078</v>
      </c>
      <c r="M276" s="22" t="s">
        <v>464</v>
      </c>
      <c r="N276" s="22" t="s">
        <v>465</v>
      </c>
      <c r="O276" s="22" t="s">
        <v>63</v>
      </c>
      <c r="P276" s="22" t="s">
        <v>63</v>
      </c>
    </row>
    <row r="277" ht="20" customHeight="1" spans="1:16" s="23" customFormat="1" x14ac:dyDescent="0.25">
      <c r="A277" s="24" t="s">
        <v>1079</v>
      </c>
      <c r="B277" s="24" t="s">
        <v>1076</v>
      </c>
      <c r="C277" s="24" t="s">
        <v>1080</v>
      </c>
      <c r="D277" s="24" t="s">
        <v>1076</v>
      </c>
      <c r="E277" s="24" t="s">
        <v>526</v>
      </c>
      <c r="F277" s="25" t="s">
        <v>53</v>
      </c>
      <c r="G277" s="24" t="s">
        <v>54</v>
      </c>
      <c r="H277" s="24" t="s">
        <v>55</v>
      </c>
      <c r="I277" s="25" t="s">
        <v>235</v>
      </c>
      <c r="J277" s="25" t="s">
        <v>57</v>
      </c>
      <c r="K277" s="25" t="s">
        <v>772</v>
      </c>
      <c r="L277" s="25" t="s">
        <v>1081</v>
      </c>
      <c r="M277" s="25" t="s">
        <v>235</v>
      </c>
      <c r="N277" s="25" t="s">
        <v>389</v>
      </c>
      <c r="O277" s="25" t="s">
        <v>63</v>
      </c>
      <c r="P277" s="25" t="s">
        <v>63</v>
      </c>
    </row>
    <row r="278" ht="20" customHeight="1" spans="1:16" x14ac:dyDescent="0.25">
      <c r="A278" s="21" t="s">
        <v>1082</v>
      </c>
      <c r="B278" s="21" t="s">
        <v>1076</v>
      </c>
      <c r="C278" s="21" t="s">
        <v>309</v>
      </c>
      <c r="D278" s="21" t="s">
        <v>1076</v>
      </c>
      <c r="E278" s="21" t="s">
        <v>1083</v>
      </c>
      <c r="F278" s="22" t="s">
        <v>1084</v>
      </c>
      <c r="G278" s="21" t="s">
        <v>1085</v>
      </c>
      <c r="H278" s="21" t="s">
        <v>70</v>
      </c>
      <c r="I278" s="22" t="s">
        <v>1086</v>
      </c>
      <c r="J278" s="22" t="s">
        <v>57</v>
      </c>
      <c r="K278" s="22" t="s">
        <v>1087</v>
      </c>
      <c r="L278" s="22" t="s">
        <v>425</v>
      </c>
      <c r="M278" s="22" t="s">
        <v>464</v>
      </c>
      <c r="N278" s="22" t="s">
        <v>465</v>
      </c>
      <c r="O278" s="22" t="s">
        <v>63</v>
      </c>
      <c r="P278" s="22" t="s">
        <v>63</v>
      </c>
    </row>
    <row r="279" ht="20" customHeight="1" spans="1:16" s="23" customFormat="1" x14ac:dyDescent="0.25">
      <c r="A279" s="24" t="s">
        <v>1088</v>
      </c>
      <c r="B279" s="24" t="s">
        <v>1076</v>
      </c>
      <c r="C279" s="24" t="s">
        <v>755</v>
      </c>
      <c r="D279" s="24" t="s">
        <v>1076</v>
      </c>
      <c r="E279" s="24" t="s">
        <v>1089</v>
      </c>
      <c r="F279" s="25" t="s">
        <v>85</v>
      </c>
      <c r="G279" s="24" t="s">
        <v>86</v>
      </c>
      <c r="H279" s="24" t="s">
        <v>87</v>
      </c>
      <c r="I279" s="25" t="s">
        <v>80</v>
      </c>
      <c r="J279" s="25" t="s">
        <v>57</v>
      </c>
      <c r="K279" s="25" t="s">
        <v>151</v>
      </c>
      <c r="L279" s="25" t="s">
        <v>73</v>
      </c>
      <c r="M279" s="25" t="s">
        <v>60</v>
      </c>
      <c r="N279" s="25" t="s">
        <v>61</v>
      </c>
      <c r="O279" s="25" t="s">
        <v>63</v>
      </c>
      <c r="P279" s="25" t="s">
        <v>63</v>
      </c>
    </row>
    <row r="280" ht="20" customHeight="1" spans="1:16" x14ac:dyDescent="0.25">
      <c r="A280" s="21" t="s">
        <v>1090</v>
      </c>
      <c r="B280" s="21" t="s">
        <v>1076</v>
      </c>
      <c r="C280" s="21" t="s">
        <v>1091</v>
      </c>
      <c r="D280" s="21" t="s">
        <v>1076</v>
      </c>
      <c r="E280" s="21" t="s">
        <v>1029</v>
      </c>
      <c r="F280" s="22" t="s">
        <v>68</v>
      </c>
      <c r="G280" s="21" t="s">
        <v>69</v>
      </c>
      <c r="H280" s="21" t="s">
        <v>70</v>
      </c>
      <c r="I280" s="22" t="s">
        <v>314</v>
      </c>
      <c r="J280" s="22" t="s">
        <v>57</v>
      </c>
      <c r="K280" s="22" t="s">
        <v>1092</v>
      </c>
      <c r="L280" s="22" t="s">
        <v>73</v>
      </c>
      <c r="M280" s="22" t="s">
        <v>201</v>
      </c>
      <c r="N280" s="22" t="s">
        <v>974</v>
      </c>
      <c r="O280" s="22" t="s">
        <v>63</v>
      </c>
      <c r="P280" s="22" t="s">
        <v>63</v>
      </c>
    </row>
    <row r="281" ht="20" customHeight="1" spans="1:16" s="23" customFormat="1" x14ac:dyDescent="0.25">
      <c r="A281" s="24" t="s">
        <v>1093</v>
      </c>
      <c r="B281" s="24" t="s">
        <v>1076</v>
      </c>
      <c r="C281" s="24" t="s">
        <v>1094</v>
      </c>
      <c r="D281" s="24" t="s">
        <v>1076</v>
      </c>
      <c r="E281" s="24" t="s">
        <v>1095</v>
      </c>
      <c r="F281" s="25" t="s">
        <v>68</v>
      </c>
      <c r="G281" s="24" t="s">
        <v>69</v>
      </c>
      <c r="H281" s="24" t="s">
        <v>70</v>
      </c>
      <c r="I281" s="25" t="s">
        <v>1096</v>
      </c>
      <c r="J281" s="25" t="s">
        <v>57</v>
      </c>
      <c r="K281" s="25" t="s">
        <v>349</v>
      </c>
      <c r="L281" s="25" t="s">
        <v>73</v>
      </c>
      <c r="M281" s="25" t="s">
        <v>201</v>
      </c>
      <c r="N281" s="25" t="s">
        <v>974</v>
      </c>
      <c r="O281" s="25" t="s">
        <v>63</v>
      </c>
      <c r="P281" s="25" t="s">
        <v>63</v>
      </c>
    </row>
    <row r="282" ht="20" customHeight="1" spans="1:16" x14ac:dyDescent="0.25">
      <c r="A282" s="21" t="s">
        <v>1079</v>
      </c>
      <c r="B282" s="21" t="s">
        <v>1076</v>
      </c>
      <c r="C282" s="21" t="s">
        <v>1073</v>
      </c>
      <c r="D282" s="21" t="s">
        <v>1076</v>
      </c>
      <c r="E282" s="21" t="s">
        <v>1097</v>
      </c>
      <c r="F282" s="22" t="s">
        <v>53</v>
      </c>
      <c r="G282" s="21" t="s">
        <v>54</v>
      </c>
      <c r="H282" s="21" t="s">
        <v>55</v>
      </c>
      <c r="I282" s="22" t="s">
        <v>235</v>
      </c>
      <c r="J282" s="22" t="s">
        <v>57</v>
      </c>
      <c r="K282" s="22" t="s">
        <v>72</v>
      </c>
      <c r="L282" s="22" t="s">
        <v>1098</v>
      </c>
      <c r="M282" s="22" t="s">
        <v>60</v>
      </c>
      <c r="N282" s="22" t="s">
        <v>61</v>
      </c>
      <c r="O282" s="22" t="s">
        <v>63</v>
      </c>
      <c r="P282" s="22" t="s">
        <v>63</v>
      </c>
    </row>
    <row r="283" ht="20" customHeight="1" spans="1:16" s="23" customFormat="1" x14ac:dyDescent="0.25">
      <c r="A283" s="24" t="s">
        <v>1099</v>
      </c>
      <c r="B283" s="24" t="s">
        <v>1076</v>
      </c>
      <c r="C283" s="24" t="s">
        <v>1100</v>
      </c>
      <c r="D283" s="24" t="s">
        <v>1076</v>
      </c>
      <c r="E283" s="24" t="s">
        <v>1101</v>
      </c>
      <c r="F283" s="25" t="s">
        <v>53</v>
      </c>
      <c r="G283" s="24" t="s">
        <v>54</v>
      </c>
      <c r="H283" s="24" t="s">
        <v>55</v>
      </c>
      <c r="I283" s="25" t="s">
        <v>331</v>
      </c>
      <c r="J283" s="25" t="s">
        <v>57</v>
      </c>
      <c r="K283" s="25" t="s">
        <v>1102</v>
      </c>
      <c r="L283" s="25" t="s">
        <v>73</v>
      </c>
      <c r="M283" s="25" t="s">
        <v>616</v>
      </c>
      <c r="N283" s="25" t="s">
        <v>465</v>
      </c>
      <c r="O283" s="25" t="s">
        <v>63</v>
      </c>
      <c r="P283" s="25" t="s">
        <v>63</v>
      </c>
    </row>
    <row r="284" ht="20" customHeight="1" spans="1:16" x14ac:dyDescent="0.25">
      <c r="A284" s="21" t="s">
        <v>1103</v>
      </c>
      <c r="B284" s="21" t="s">
        <v>1104</v>
      </c>
      <c r="C284" s="21" t="s">
        <v>1105</v>
      </c>
      <c r="D284" s="21" t="s">
        <v>1104</v>
      </c>
      <c r="E284" s="21" t="s">
        <v>569</v>
      </c>
      <c r="F284" s="22" t="s">
        <v>53</v>
      </c>
      <c r="G284" s="21" t="s">
        <v>105</v>
      </c>
      <c r="H284" s="21" t="s">
        <v>55</v>
      </c>
      <c r="I284" s="22" t="s">
        <v>307</v>
      </c>
      <c r="J284" s="22" t="s">
        <v>57</v>
      </c>
      <c r="K284" s="22" t="s">
        <v>1102</v>
      </c>
      <c r="L284" s="22" t="s">
        <v>73</v>
      </c>
      <c r="M284" s="22" t="s">
        <v>616</v>
      </c>
      <c r="N284" s="22" t="s">
        <v>465</v>
      </c>
      <c r="O284" s="22" t="s">
        <v>63</v>
      </c>
      <c r="P284" s="22" t="s">
        <v>63</v>
      </c>
    </row>
    <row r="285" ht="20" customHeight="1" spans="1:16" s="23" customFormat="1" x14ac:dyDescent="0.25">
      <c r="A285" s="24" t="s">
        <v>1106</v>
      </c>
      <c r="B285" s="24" t="s">
        <v>1104</v>
      </c>
      <c r="C285" s="24" t="s">
        <v>1107</v>
      </c>
      <c r="D285" s="24" t="s">
        <v>1104</v>
      </c>
      <c r="E285" s="24" t="s">
        <v>1037</v>
      </c>
      <c r="F285" s="25" t="s">
        <v>85</v>
      </c>
      <c r="G285" s="24" t="s">
        <v>86</v>
      </c>
      <c r="H285" s="24" t="s">
        <v>87</v>
      </c>
      <c r="I285" s="25" t="s">
        <v>186</v>
      </c>
      <c r="J285" s="25" t="s">
        <v>57</v>
      </c>
      <c r="K285" s="25" t="s">
        <v>96</v>
      </c>
      <c r="L285" s="25" t="s">
        <v>73</v>
      </c>
      <c r="M285" s="25" t="s">
        <v>420</v>
      </c>
      <c r="N285" s="25" t="s">
        <v>465</v>
      </c>
      <c r="O285" s="25" t="s">
        <v>63</v>
      </c>
      <c r="P285" s="25" t="s">
        <v>63</v>
      </c>
    </row>
    <row r="286" ht="20" customHeight="1" spans="1:16" x14ac:dyDescent="0.25">
      <c r="A286" s="21" t="s">
        <v>1108</v>
      </c>
      <c r="B286" s="21" t="s">
        <v>1104</v>
      </c>
      <c r="C286" s="21" t="s">
        <v>894</v>
      </c>
      <c r="D286" s="21" t="s">
        <v>1104</v>
      </c>
      <c r="E286" s="21" t="s">
        <v>1109</v>
      </c>
      <c r="F286" s="22" t="s">
        <v>53</v>
      </c>
      <c r="G286" s="21" t="s">
        <v>54</v>
      </c>
      <c r="H286" s="21" t="s">
        <v>55</v>
      </c>
      <c r="I286" s="22" t="s">
        <v>314</v>
      </c>
      <c r="J286" s="22" t="s">
        <v>57</v>
      </c>
      <c r="K286" s="22" t="s">
        <v>96</v>
      </c>
      <c r="L286" s="22" t="s">
        <v>1110</v>
      </c>
      <c r="M286" s="22" t="s">
        <v>420</v>
      </c>
      <c r="N286" s="22" t="s">
        <v>465</v>
      </c>
      <c r="O286" s="22" t="s">
        <v>63</v>
      </c>
      <c r="P286" s="22" t="s">
        <v>63</v>
      </c>
    </row>
    <row r="287" ht="20" customHeight="1" spans="1:16" s="23" customFormat="1" x14ac:dyDescent="0.25">
      <c r="A287" s="24" t="s">
        <v>1111</v>
      </c>
      <c r="B287" s="24" t="s">
        <v>1104</v>
      </c>
      <c r="C287" s="24" t="s">
        <v>324</v>
      </c>
      <c r="D287" s="24" t="s">
        <v>1104</v>
      </c>
      <c r="E287" s="24" t="s">
        <v>1112</v>
      </c>
      <c r="F287" s="25" t="s">
        <v>53</v>
      </c>
      <c r="G287" s="24" t="s">
        <v>105</v>
      </c>
      <c r="H287" s="24" t="s">
        <v>610</v>
      </c>
      <c r="I287" s="25" t="s">
        <v>866</v>
      </c>
      <c r="J287" s="25" t="s">
        <v>57</v>
      </c>
      <c r="K287" s="25" t="s">
        <v>96</v>
      </c>
      <c r="L287" s="25" t="s">
        <v>73</v>
      </c>
      <c r="M287" s="25" t="s">
        <v>420</v>
      </c>
      <c r="N287" s="25" t="s">
        <v>465</v>
      </c>
      <c r="O287" s="25" t="s">
        <v>63</v>
      </c>
      <c r="P287" s="25" t="s">
        <v>63</v>
      </c>
    </row>
    <row r="288" ht="20" customHeight="1" spans="1:16" x14ac:dyDescent="0.25">
      <c r="A288" s="21" t="s">
        <v>1113</v>
      </c>
      <c r="B288" s="21" t="s">
        <v>1104</v>
      </c>
      <c r="C288" s="21" t="s">
        <v>175</v>
      </c>
      <c r="D288" s="21" t="s">
        <v>1104</v>
      </c>
      <c r="E288" s="21" t="s">
        <v>559</v>
      </c>
      <c r="F288" s="22" t="s">
        <v>731</v>
      </c>
      <c r="G288" s="21" t="s">
        <v>732</v>
      </c>
      <c r="H288" s="21" t="s">
        <v>733</v>
      </c>
      <c r="I288" s="22" t="s">
        <v>100</v>
      </c>
      <c r="J288" s="22" t="s">
        <v>57</v>
      </c>
      <c r="K288" s="22" t="s">
        <v>1114</v>
      </c>
      <c r="L288" s="22" t="s">
        <v>73</v>
      </c>
      <c r="M288" s="22" t="s">
        <v>420</v>
      </c>
      <c r="N288" s="22" t="s">
        <v>465</v>
      </c>
      <c r="O288" s="22" t="s">
        <v>63</v>
      </c>
      <c r="P288" s="22" t="s">
        <v>63</v>
      </c>
    </row>
    <row r="289" ht="20" customHeight="1" spans="1:16" s="23" customFormat="1" x14ac:dyDescent="0.25">
      <c r="A289" s="24" t="s">
        <v>1115</v>
      </c>
      <c r="B289" s="24" t="s">
        <v>1104</v>
      </c>
      <c r="C289" s="24" t="s">
        <v>559</v>
      </c>
      <c r="D289" s="24" t="s">
        <v>1104</v>
      </c>
      <c r="E289" s="24" t="s">
        <v>108</v>
      </c>
      <c r="F289" s="25" t="s">
        <v>68</v>
      </c>
      <c r="G289" s="24" t="s">
        <v>69</v>
      </c>
      <c r="H289" s="24" t="s">
        <v>70</v>
      </c>
      <c r="I289" s="25" t="s">
        <v>160</v>
      </c>
      <c r="J289" s="25" t="s">
        <v>57</v>
      </c>
      <c r="K289" s="25" t="s">
        <v>752</v>
      </c>
      <c r="L289" s="25" t="s">
        <v>734</v>
      </c>
      <c r="M289" s="25" t="s">
        <v>160</v>
      </c>
      <c r="N289" s="25" t="s">
        <v>426</v>
      </c>
      <c r="O289" s="25" t="s">
        <v>63</v>
      </c>
      <c r="P289" s="25" t="s">
        <v>63</v>
      </c>
    </row>
    <row r="290" ht="20" customHeight="1" spans="1:16" x14ac:dyDescent="0.25">
      <c r="A290" s="21" t="s">
        <v>1116</v>
      </c>
      <c r="B290" s="21" t="s">
        <v>1117</v>
      </c>
      <c r="C290" s="21" t="s">
        <v>1118</v>
      </c>
      <c r="D290" s="21" t="s">
        <v>1117</v>
      </c>
      <c r="E290" s="21" t="s">
        <v>1119</v>
      </c>
      <c r="F290" s="22" t="s">
        <v>53</v>
      </c>
      <c r="G290" s="21" t="s">
        <v>105</v>
      </c>
      <c r="H290" s="21" t="s">
        <v>55</v>
      </c>
      <c r="I290" s="22" t="s">
        <v>181</v>
      </c>
      <c r="J290" s="22" t="s">
        <v>57</v>
      </c>
      <c r="K290" s="22" t="s">
        <v>775</v>
      </c>
      <c r="L290" s="22" t="s">
        <v>73</v>
      </c>
      <c r="M290" s="22" t="s">
        <v>616</v>
      </c>
      <c r="N290" s="22" t="s">
        <v>465</v>
      </c>
      <c r="O290" s="22" t="s">
        <v>63</v>
      </c>
      <c r="P290" s="22" t="s">
        <v>63</v>
      </c>
    </row>
    <row r="291" ht="20" customHeight="1" spans="1:16" s="23" customFormat="1" x14ac:dyDescent="0.25">
      <c r="A291" s="24" t="s">
        <v>1120</v>
      </c>
      <c r="B291" s="24" t="s">
        <v>1121</v>
      </c>
      <c r="C291" s="24" t="s">
        <v>328</v>
      </c>
      <c r="D291" s="24" t="s">
        <v>1122</v>
      </c>
      <c r="E291" s="24" t="s">
        <v>50</v>
      </c>
      <c r="F291" s="25" t="s">
        <v>53</v>
      </c>
      <c r="G291" s="24" t="s">
        <v>105</v>
      </c>
      <c r="H291" s="24" t="s">
        <v>55</v>
      </c>
      <c r="I291" s="25" t="s">
        <v>153</v>
      </c>
      <c r="J291" s="25" t="s">
        <v>57</v>
      </c>
      <c r="K291" s="25" t="s">
        <v>1123</v>
      </c>
      <c r="L291" s="25" t="s">
        <v>534</v>
      </c>
      <c r="M291" s="25" t="s">
        <v>63</v>
      </c>
      <c r="N291" s="25" t="s">
        <v>63</v>
      </c>
      <c r="O291" s="25" t="s">
        <v>63</v>
      </c>
      <c r="P291" s="25" t="s">
        <v>63</v>
      </c>
    </row>
    <row r="292" ht="20" customHeight="1" spans="1:16" x14ac:dyDescent="0.25">
      <c r="A292" s="21" t="s">
        <v>1124</v>
      </c>
      <c r="B292" s="21" t="s">
        <v>1122</v>
      </c>
      <c r="C292" s="21" t="s">
        <v>1125</v>
      </c>
      <c r="D292" s="21" t="s">
        <v>1122</v>
      </c>
      <c r="E292" s="21" t="s">
        <v>1126</v>
      </c>
      <c r="F292" s="22" t="s">
        <v>53</v>
      </c>
      <c r="G292" s="21" t="s">
        <v>105</v>
      </c>
      <c r="H292" s="21" t="s">
        <v>55</v>
      </c>
      <c r="I292" s="22" t="s">
        <v>763</v>
      </c>
      <c r="J292" s="22" t="s">
        <v>57</v>
      </c>
      <c r="K292" s="22" t="s">
        <v>72</v>
      </c>
      <c r="L292" s="22" t="s">
        <v>534</v>
      </c>
      <c r="M292" s="22" t="s">
        <v>868</v>
      </c>
      <c r="N292" s="22" t="s">
        <v>465</v>
      </c>
      <c r="O292" s="22" t="s">
        <v>63</v>
      </c>
      <c r="P292" s="22" t="s">
        <v>63</v>
      </c>
    </row>
    <row r="293" ht="20" customHeight="1" spans="1:16" s="23" customFormat="1" x14ac:dyDescent="0.25">
      <c r="A293" s="24" t="s">
        <v>1127</v>
      </c>
      <c r="B293" s="24" t="s">
        <v>1122</v>
      </c>
      <c r="C293" s="24" t="s">
        <v>50</v>
      </c>
      <c r="D293" s="24" t="s">
        <v>1122</v>
      </c>
      <c r="E293" s="24" t="s">
        <v>927</v>
      </c>
      <c r="F293" s="25" t="s">
        <v>68</v>
      </c>
      <c r="G293" s="24" t="s">
        <v>69</v>
      </c>
      <c r="H293" s="24" t="s">
        <v>70</v>
      </c>
      <c r="I293" s="25" t="s">
        <v>1128</v>
      </c>
      <c r="J293" s="25" t="s">
        <v>57</v>
      </c>
      <c r="K293" s="25" t="s">
        <v>247</v>
      </c>
      <c r="L293" s="25" t="s">
        <v>314</v>
      </c>
      <c r="M293" s="25" t="s">
        <v>868</v>
      </c>
      <c r="N293" s="25" t="s">
        <v>465</v>
      </c>
      <c r="O293" s="25" t="s">
        <v>63</v>
      </c>
      <c r="P293" s="25" t="s">
        <v>63</v>
      </c>
    </row>
    <row r="294" ht="20" customHeight="1" spans="1:16" x14ac:dyDescent="0.25">
      <c r="A294" s="21" t="s">
        <v>1129</v>
      </c>
      <c r="B294" s="21" t="s">
        <v>1122</v>
      </c>
      <c r="C294" s="21" t="s">
        <v>328</v>
      </c>
      <c r="D294" s="21" t="s">
        <v>1122</v>
      </c>
      <c r="E294" s="21" t="s">
        <v>1130</v>
      </c>
      <c r="F294" s="22" t="s">
        <v>53</v>
      </c>
      <c r="G294" s="21" t="s">
        <v>105</v>
      </c>
      <c r="H294" s="21" t="s">
        <v>55</v>
      </c>
      <c r="I294" s="22" t="s">
        <v>331</v>
      </c>
      <c r="J294" s="22" t="s">
        <v>57</v>
      </c>
      <c r="K294" s="22" t="s">
        <v>1102</v>
      </c>
      <c r="L294" s="22" t="s">
        <v>73</v>
      </c>
      <c r="M294" s="22" t="s">
        <v>616</v>
      </c>
      <c r="N294" s="22" t="s">
        <v>465</v>
      </c>
      <c r="O294" s="22" t="s">
        <v>63</v>
      </c>
      <c r="P294" s="22" t="s">
        <v>63</v>
      </c>
    </row>
    <row r="295" ht="20" customHeight="1" spans="1:16" s="23" customFormat="1" x14ac:dyDescent="0.25">
      <c r="A295" s="24" t="s">
        <v>1131</v>
      </c>
      <c r="B295" s="24" t="s">
        <v>1132</v>
      </c>
      <c r="C295" s="24" t="s">
        <v>1133</v>
      </c>
      <c r="D295" s="24" t="s">
        <v>1132</v>
      </c>
      <c r="E295" s="24" t="s">
        <v>603</v>
      </c>
      <c r="F295" s="25" t="s">
        <v>53</v>
      </c>
      <c r="G295" s="24" t="s">
        <v>105</v>
      </c>
      <c r="H295" s="24" t="s">
        <v>55</v>
      </c>
      <c r="I295" s="25" t="s">
        <v>307</v>
      </c>
      <c r="J295" s="25" t="s">
        <v>57</v>
      </c>
      <c r="K295" s="25" t="s">
        <v>1102</v>
      </c>
      <c r="L295" s="25" t="s">
        <v>73</v>
      </c>
      <c r="M295" s="25" t="s">
        <v>616</v>
      </c>
      <c r="N295" s="25" t="s">
        <v>465</v>
      </c>
      <c r="O295" s="25" t="s">
        <v>63</v>
      </c>
      <c r="P295" s="25" t="s">
        <v>63</v>
      </c>
    </row>
    <row r="296" ht="20" customHeight="1" spans="1:16" x14ac:dyDescent="0.25">
      <c r="A296" s="21" t="s">
        <v>1134</v>
      </c>
      <c r="B296" s="21" t="s">
        <v>1132</v>
      </c>
      <c r="C296" s="21" t="s">
        <v>1135</v>
      </c>
      <c r="D296" s="21" t="s">
        <v>1132</v>
      </c>
      <c r="E296" s="21" t="s">
        <v>1136</v>
      </c>
      <c r="F296" s="22" t="s">
        <v>68</v>
      </c>
      <c r="G296" s="21" t="s">
        <v>69</v>
      </c>
      <c r="H296" s="21" t="s">
        <v>70</v>
      </c>
      <c r="I296" s="22" t="s">
        <v>113</v>
      </c>
      <c r="J296" s="22" t="s">
        <v>57</v>
      </c>
      <c r="K296" s="22" t="s">
        <v>72</v>
      </c>
      <c r="L296" s="22" t="s">
        <v>734</v>
      </c>
      <c r="M296" s="22" t="s">
        <v>420</v>
      </c>
      <c r="N296" s="22" t="s">
        <v>465</v>
      </c>
      <c r="O296" s="22" t="s">
        <v>63</v>
      </c>
      <c r="P296" s="22" t="s">
        <v>63</v>
      </c>
    </row>
    <row r="297" ht="20" customHeight="1" spans="1:16" s="23" customFormat="1" x14ac:dyDescent="0.25">
      <c r="A297" s="24" t="s">
        <v>1137</v>
      </c>
      <c r="B297" s="24" t="s">
        <v>1132</v>
      </c>
      <c r="C297" s="24" t="s">
        <v>1138</v>
      </c>
      <c r="D297" s="24" t="s">
        <v>1132</v>
      </c>
      <c r="E297" s="24" t="s">
        <v>1139</v>
      </c>
      <c r="F297" s="25" t="s">
        <v>53</v>
      </c>
      <c r="G297" s="24" t="s">
        <v>105</v>
      </c>
      <c r="H297" s="24" t="s">
        <v>55</v>
      </c>
      <c r="I297" s="25" t="s">
        <v>1140</v>
      </c>
      <c r="J297" s="25" t="s">
        <v>57</v>
      </c>
      <c r="K297" s="25" t="s">
        <v>81</v>
      </c>
      <c r="L297" s="25" t="s">
        <v>73</v>
      </c>
      <c r="M297" s="25" t="s">
        <v>60</v>
      </c>
      <c r="N297" s="25" t="s">
        <v>61</v>
      </c>
      <c r="O297" s="25" t="s">
        <v>63</v>
      </c>
      <c r="P297" s="25" t="s">
        <v>63</v>
      </c>
    </row>
    <row r="298" ht="20" customHeight="1" spans="1:16" x14ac:dyDescent="0.25">
      <c r="A298" s="21" t="s">
        <v>1141</v>
      </c>
      <c r="B298" s="21" t="s">
        <v>1132</v>
      </c>
      <c r="C298" s="21" t="s">
        <v>121</v>
      </c>
      <c r="D298" s="21" t="s">
        <v>1132</v>
      </c>
      <c r="E298" s="21" t="s">
        <v>1142</v>
      </c>
      <c r="F298" s="22" t="s">
        <v>53</v>
      </c>
      <c r="G298" s="21" t="s">
        <v>54</v>
      </c>
      <c r="H298" s="21" t="s">
        <v>55</v>
      </c>
      <c r="I298" s="22" t="s">
        <v>420</v>
      </c>
      <c r="J298" s="22" t="s">
        <v>57</v>
      </c>
      <c r="K298" s="22" t="s">
        <v>119</v>
      </c>
      <c r="L298" s="22" t="s">
        <v>73</v>
      </c>
      <c r="M298" s="22" t="s">
        <v>420</v>
      </c>
      <c r="N298" s="22" t="s">
        <v>465</v>
      </c>
      <c r="O298" s="22" t="s">
        <v>63</v>
      </c>
      <c r="P298" s="22" t="s">
        <v>63</v>
      </c>
    </row>
    <row r="299" ht="20" customHeight="1" spans="1:16" s="23" customFormat="1" x14ac:dyDescent="0.25">
      <c r="A299" s="24" t="s">
        <v>1143</v>
      </c>
      <c r="B299" s="24" t="s">
        <v>1132</v>
      </c>
      <c r="C299" s="24" t="s">
        <v>790</v>
      </c>
      <c r="D299" s="24" t="s">
        <v>1132</v>
      </c>
      <c r="E299" s="24" t="s">
        <v>758</v>
      </c>
      <c r="F299" s="25" t="s">
        <v>53</v>
      </c>
      <c r="G299" s="24" t="s">
        <v>105</v>
      </c>
      <c r="H299" s="24" t="s">
        <v>55</v>
      </c>
      <c r="I299" s="25" t="s">
        <v>88</v>
      </c>
      <c r="J299" s="25" t="s">
        <v>57</v>
      </c>
      <c r="K299" s="25" t="s">
        <v>752</v>
      </c>
      <c r="L299" s="25" t="s">
        <v>73</v>
      </c>
      <c r="M299" s="25" t="s">
        <v>60</v>
      </c>
      <c r="N299" s="25" t="s">
        <v>61</v>
      </c>
      <c r="O299" s="25" t="s">
        <v>63</v>
      </c>
      <c r="P299" s="25" t="s">
        <v>63</v>
      </c>
    </row>
    <row r="300" ht="20" customHeight="1" spans="1:16" x14ac:dyDescent="0.25">
      <c r="A300" s="21" t="s">
        <v>1144</v>
      </c>
      <c r="B300" s="21" t="s">
        <v>1132</v>
      </c>
      <c r="C300" s="21" t="s">
        <v>476</v>
      </c>
      <c r="D300" s="21" t="s">
        <v>1132</v>
      </c>
      <c r="E300" s="21" t="s">
        <v>1145</v>
      </c>
      <c r="F300" s="22" t="s">
        <v>53</v>
      </c>
      <c r="G300" s="21" t="s">
        <v>54</v>
      </c>
      <c r="H300" s="21" t="s">
        <v>55</v>
      </c>
      <c r="I300" s="22" t="s">
        <v>56</v>
      </c>
      <c r="J300" s="22" t="s">
        <v>57</v>
      </c>
      <c r="K300" s="22" t="s">
        <v>247</v>
      </c>
      <c r="L300" s="22" t="s">
        <v>73</v>
      </c>
      <c r="M300" s="22" t="s">
        <v>60</v>
      </c>
      <c r="N300" s="22" t="s">
        <v>61</v>
      </c>
      <c r="O300" s="22" t="s">
        <v>63</v>
      </c>
      <c r="P300" s="22" t="s">
        <v>63</v>
      </c>
    </row>
    <row r="301" ht="20" customHeight="1" spans="1:16" s="23" customFormat="1" x14ac:dyDescent="0.25">
      <c r="A301" s="24" t="s">
        <v>1146</v>
      </c>
      <c r="B301" s="24" t="s">
        <v>1132</v>
      </c>
      <c r="C301" s="24" t="s">
        <v>766</v>
      </c>
      <c r="D301" s="24" t="s">
        <v>1132</v>
      </c>
      <c r="E301" s="24" t="s">
        <v>685</v>
      </c>
      <c r="F301" s="25" t="s">
        <v>53</v>
      </c>
      <c r="G301" s="24" t="s">
        <v>995</v>
      </c>
      <c r="H301" s="24" t="s">
        <v>55</v>
      </c>
      <c r="I301" s="25" t="s">
        <v>80</v>
      </c>
      <c r="J301" s="25" t="s">
        <v>57</v>
      </c>
      <c r="K301" s="25" t="s">
        <v>1147</v>
      </c>
      <c r="L301" s="25" t="s">
        <v>73</v>
      </c>
      <c r="M301" s="25" t="s">
        <v>420</v>
      </c>
      <c r="N301" s="25" t="s">
        <v>465</v>
      </c>
      <c r="O301" s="25" t="s">
        <v>63</v>
      </c>
      <c r="P301" s="25" t="s">
        <v>63</v>
      </c>
    </row>
    <row r="302" ht="20" customHeight="1" spans="1:16" x14ac:dyDescent="0.25">
      <c r="A302" s="21" t="s">
        <v>1148</v>
      </c>
      <c r="B302" s="21" t="s">
        <v>1132</v>
      </c>
      <c r="C302" s="21" t="s">
        <v>1073</v>
      </c>
      <c r="D302" s="21" t="s">
        <v>1132</v>
      </c>
      <c r="E302" s="21" t="s">
        <v>808</v>
      </c>
      <c r="F302" s="22" t="s">
        <v>68</v>
      </c>
      <c r="G302" s="21" t="s">
        <v>69</v>
      </c>
      <c r="H302" s="21" t="s">
        <v>70</v>
      </c>
      <c r="I302" s="22" t="s">
        <v>186</v>
      </c>
      <c r="J302" s="22" t="s">
        <v>57</v>
      </c>
      <c r="K302" s="22" t="s">
        <v>596</v>
      </c>
      <c r="L302" s="22" t="s">
        <v>73</v>
      </c>
      <c r="M302" s="22" t="s">
        <v>160</v>
      </c>
      <c r="N302" s="22" t="s">
        <v>426</v>
      </c>
      <c r="O302" s="22" t="s">
        <v>63</v>
      </c>
      <c r="P302" s="22" t="s">
        <v>63</v>
      </c>
    </row>
    <row r="303" ht="20" customHeight="1" spans="1:16" s="23" customFormat="1" x14ac:dyDescent="0.25">
      <c r="A303" s="24" t="s">
        <v>1149</v>
      </c>
      <c r="B303" s="24" t="s">
        <v>1132</v>
      </c>
      <c r="C303" s="24" t="s">
        <v>656</v>
      </c>
      <c r="D303" s="24" t="s">
        <v>1132</v>
      </c>
      <c r="E303" s="24" t="s">
        <v>1150</v>
      </c>
      <c r="F303" s="25" t="s">
        <v>68</v>
      </c>
      <c r="G303" s="24" t="s">
        <v>69</v>
      </c>
      <c r="H303" s="24" t="s">
        <v>70</v>
      </c>
      <c r="I303" s="25" t="s">
        <v>529</v>
      </c>
      <c r="J303" s="25" t="s">
        <v>57</v>
      </c>
      <c r="K303" s="25" t="s">
        <v>294</v>
      </c>
      <c r="L303" s="25" t="s">
        <v>1151</v>
      </c>
      <c r="M303" s="25" t="s">
        <v>420</v>
      </c>
      <c r="N303" s="25" t="s">
        <v>465</v>
      </c>
      <c r="O303" s="25" t="s">
        <v>63</v>
      </c>
      <c r="P303" s="25" t="s">
        <v>63</v>
      </c>
    </row>
    <row r="304" ht="20" customHeight="1" spans="1:16" x14ac:dyDescent="0.25">
      <c r="A304" s="21" t="s">
        <v>1152</v>
      </c>
      <c r="B304" s="21" t="s">
        <v>1153</v>
      </c>
      <c r="C304" s="21" t="s">
        <v>1154</v>
      </c>
      <c r="D304" s="21" t="s">
        <v>1153</v>
      </c>
      <c r="E304" s="21" t="s">
        <v>1155</v>
      </c>
      <c r="F304" s="22" t="s">
        <v>68</v>
      </c>
      <c r="G304" s="21" t="s">
        <v>69</v>
      </c>
      <c r="H304" s="21" t="s">
        <v>70</v>
      </c>
      <c r="I304" s="22" t="s">
        <v>534</v>
      </c>
      <c r="J304" s="22" t="s">
        <v>57</v>
      </c>
      <c r="K304" s="22" t="s">
        <v>1156</v>
      </c>
      <c r="L304" s="22" t="s">
        <v>1157</v>
      </c>
      <c r="M304" s="22" t="s">
        <v>499</v>
      </c>
      <c r="N304" s="22" t="s">
        <v>465</v>
      </c>
      <c r="O304" s="22" t="s">
        <v>63</v>
      </c>
      <c r="P304" s="22" t="s">
        <v>63</v>
      </c>
    </row>
    <row r="305" ht="20" customHeight="1" spans="1:16" s="23" customFormat="1" x14ac:dyDescent="0.25">
      <c r="A305" s="24" t="s">
        <v>1158</v>
      </c>
      <c r="B305" s="24" t="s">
        <v>1153</v>
      </c>
      <c r="C305" s="24" t="s">
        <v>569</v>
      </c>
      <c r="D305" s="24" t="s">
        <v>1153</v>
      </c>
      <c r="E305" s="24" t="s">
        <v>1159</v>
      </c>
      <c r="F305" s="25" t="s">
        <v>53</v>
      </c>
      <c r="G305" s="24" t="s">
        <v>105</v>
      </c>
      <c r="H305" s="24" t="s">
        <v>55</v>
      </c>
      <c r="I305" s="25" t="s">
        <v>80</v>
      </c>
      <c r="J305" s="25" t="s">
        <v>57</v>
      </c>
      <c r="K305" s="25" t="s">
        <v>1160</v>
      </c>
      <c r="L305" s="25" t="s">
        <v>73</v>
      </c>
      <c r="M305" s="25" t="s">
        <v>60</v>
      </c>
      <c r="N305" s="25" t="s">
        <v>61</v>
      </c>
      <c r="O305" s="25" t="s">
        <v>63</v>
      </c>
      <c r="P305" s="25" t="s">
        <v>63</v>
      </c>
    </row>
    <row r="306" ht="20" customHeight="1" spans="1:16" x14ac:dyDescent="0.25">
      <c r="A306" s="21" t="s">
        <v>1161</v>
      </c>
      <c r="B306" s="21" t="s">
        <v>1153</v>
      </c>
      <c r="C306" s="21" t="s">
        <v>1162</v>
      </c>
      <c r="D306" s="21" t="s">
        <v>1153</v>
      </c>
      <c r="E306" s="21" t="s">
        <v>1163</v>
      </c>
      <c r="F306" s="22" t="s">
        <v>53</v>
      </c>
      <c r="G306" s="21" t="s">
        <v>54</v>
      </c>
      <c r="H306" s="21" t="s">
        <v>55</v>
      </c>
      <c r="I306" s="22" t="s">
        <v>71</v>
      </c>
      <c r="J306" s="22" t="s">
        <v>57</v>
      </c>
      <c r="K306" s="22" t="s">
        <v>1164</v>
      </c>
      <c r="L306" s="22" t="s">
        <v>73</v>
      </c>
      <c r="M306" s="22" t="s">
        <v>160</v>
      </c>
      <c r="N306" s="22" t="s">
        <v>426</v>
      </c>
      <c r="O306" s="22" t="s">
        <v>63</v>
      </c>
      <c r="P306" s="22" t="s">
        <v>1165</v>
      </c>
    </row>
    <row r="307" ht="20" customHeight="1" spans="1:16" s="23" customFormat="1" x14ac:dyDescent="0.25">
      <c r="A307" s="24" t="s">
        <v>1166</v>
      </c>
      <c r="B307" s="24" t="s">
        <v>1153</v>
      </c>
      <c r="C307" s="24" t="s">
        <v>1167</v>
      </c>
      <c r="D307" s="24" t="s">
        <v>1153</v>
      </c>
      <c r="E307" s="24" t="s">
        <v>1168</v>
      </c>
      <c r="F307" s="25" t="s">
        <v>53</v>
      </c>
      <c r="G307" s="24" t="s">
        <v>105</v>
      </c>
      <c r="H307" s="24" t="s">
        <v>55</v>
      </c>
      <c r="I307" s="25" t="s">
        <v>181</v>
      </c>
      <c r="J307" s="25" t="s">
        <v>57</v>
      </c>
      <c r="K307" s="25" t="s">
        <v>673</v>
      </c>
      <c r="L307" s="25" t="s">
        <v>73</v>
      </c>
      <c r="M307" s="25" t="s">
        <v>616</v>
      </c>
      <c r="N307" s="25" t="s">
        <v>465</v>
      </c>
      <c r="O307" s="25" t="s">
        <v>63</v>
      </c>
      <c r="P307" s="25" t="s">
        <v>63</v>
      </c>
    </row>
    <row r="308" ht="20" customHeight="1" spans="1:16" x14ac:dyDescent="0.25">
      <c r="A308" s="21" t="s">
        <v>1169</v>
      </c>
      <c r="B308" s="21" t="s">
        <v>1153</v>
      </c>
      <c r="C308" s="21" t="s">
        <v>769</v>
      </c>
      <c r="D308" s="21" t="s">
        <v>1153</v>
      </c>
      <c r="E308" s="21" t="s">
        <v>1170</v>
      </c>
      <c r="F308" s="22" t="s">
        <v>53</v>
      </c>
      <c r="G308" s="21" t="s">
        <v>54</v>
      </c>
      <c r="H308" s="21" t="s">
        <v>55</v>
      </c>
      <c r="I308" s="22" t="s">
        <v>691</v>
      </c>
      <c r="J308" s="22" t="s">
        <v>57</v>
      </c>
      <c r="K308" s="22" t="s">
        <v>615</v>
      </c>
      <c r="L308" s="22" t="s">
        <v>73</v>
      </c>
      <c r="M308" s="22" t="s">
        <v>616</v>
      </c>
      <c r="N308" s="22" t="s">
        <v>465</v>
      </c>
      <c r="O308" s="22" t="s">
        <v>63</v>
      </c>
      <c r="P308" s="22" t="s">
        <v>63</v>
      </c>
    </row>
    <row r="309" ht="20" customHeight="1" spans="1:16" s="23" customFormat="1" x14ac:dyDescent="0.25">
      <c r="A309" s="24" t="s">
        <v>1171</v>
      </c>
      <c r="B309" s="24" t="s">
        <v>1172</v>
      </c>
      <c r="C309" s="24" t="s">
        <v>93</v>
      </c>
      <c r="D309" s="24" t="s">
        <v>1172</v>
      </c>
      <c r="E309" s="24" t="s">
        <v>640</v>
      </c>
      <c r="F309" s="25" t="s">
        <v>53</v>
      </c>
      <c r="G309" s="24" t="s">
        <v>105</v>
      </c>
      <c r="H309" s="24" t="s">
        <v>55</v>
      </c>
      <c r="I309" s="25" t="s">
        <v>307</v>
      </c>
      <c r="J309" s="25" t="s">
        <v>57</v>
      </c>
      <c r="K309" s="25" t="s">
        <v>1102</v>
      </c>
      <c r="L309" s="25" t="s">
        <v>73</v>
      </c>
      <c r="M309" s="25" t="s">
        <v>616</v>
      </c>
      <c r="N309" s="25" t="s">
        <v>465</v>
      </c>
      <c r="O309" s="25" t="s">
        <v>63</v>
      </c>
      <c r="P309" s="25" t="s">
        <v>63</v>
      </c>
    </row>
    <row r="310" ht="20" customHeight="1" spans="1:16" x14ac:dyDescent="0.25">
      <c r="A310" s="21" t="s">
        <v>1173</v>
      </c>
      <c r="B310" s="21" t="s">
        <v>1172</v>
      </c>
      <c r="C310" s="21" t="s">
        <v>66</v>
      </c>
      <c r="D310" s="21" t="s">
        <v>1172</v>
      </c>
      <c r="E310" s="21" t="s">
        <v>1142</v>
      </c>
      <c r="F310" s="22" t="s">
        <v>68</v>
      </c>
      <c r="G310" s="21" t="s">
        <v>69</v>
      </c>
      <c r="H310" s="21" t="s">
        <v>70</v>
      </c>
      <c r="I310" s="22" t="s">
        <v>71</v>
      </c>
      <c r="J310" s="22" t="s">
        <v>57</v>
      </c>
      <c r="K310" s="22" t="s">
        <v>72</v>
      </c>
      <c r="L310" s="22" t="s">
        <v>1174</v>
      </c>
      <c r="M310" s="22" t="s">
        <v>420</v>
      </c>
      <c r="N310" s="22" t="s">
        <v>465</v>
      </c>
      <c r="O310" s="22" t="s">
        <v>63</v>
      </c>
      <c r="P310" s="22" t="s">
        <v>63</v>
      </c>
    </row>
    <row r="311" ht="20" customHeight="1" spans="1:16" s="23" customFormat="1" x14ac:dyDescent="0.25">
      <c r="A311" s="24" t="s">
        <v>1175</v>
      </c>
      <c r="B311" s="24" t="s">
        <v>1172</v>
      </c>
      <c r="C311" s="24" t="s">
        <v>1094</v>
      </c>
      <c r="D311" s="24" t="s">
        <v>1172</v>
      </c>
      <c r="E311" s="24" t="s">
        <v>1176</v>
      </c>
      <c r="F311" s="25" t="s">
        <v>53</v>
      </c>
      <c r="G311" s="24" t="s">
        <v>54</v>
      </c>
      <c r="H311" s="24" t="s">
        <v>55</v>
      </c>
      <c r="I311" s="25" t="s">
        <v>160</v>
      </c>
      <c r="J311" s="25" t="s">
        <v>57</v>
      </c>
      <c r="K311" s="25" t="s">
        <v>96</v>
      </c>
      <c r="L311" s="25" t="s">
        <v>256</v>
      </c>
      <c r="M311" s="25" t="s">
        <v>420</v>
      </c>
      <c r="N311" s="25" t="s">
        <v>465</v>
      </c>
      <c r="O311" s="25" t="s">
        <v>63</v>
      </c>
      <c r="P311" s="25" t="s">
        <v>63</v>
      </c>
    </row>
    <row r="312" ht="20" customHeight="1" spans="1:16" x14ac:dyDescent="0.25">
      <c r="A312" s="21" t="s">
        <v>1177</v>
      </c>
      <c r="B312" s="21" t="s">
        <v>1172</v>
      </c>
      <c r="C312" s="21" t="s">
        <v>1178</v>
      </c>
      <c r="D312" s="21" t="s">
        <v>1172</v>
      </c>
      <c r="E312" s="21" t="s">
        <v>574</v>
      </c>
      <c r="F312" s="22" t="s">
        <v>53</v>
      </c>
      <c r="G312" s="21" t="s">
        <v>995</v>
      </c>
      <c r="H312" s="21" t="s">
        <v>55</v>
      </c>
      <c r="I312" s="22" t="s">
        <v>71</v>
      </c>
      <c r="J312" s="22" t="s">
        <v>57</v>
      </c>
      <c r="K312" s="22" t="s">
        <v>260</v>
      </c>
      <c r="L312" s="22" t="s">
        <v>73</v>
      </c>
      <c r="M312" s="22" t="s">
        <v>420</v>
      </c>
      <c r="N312" s="22" t="s">
        <v>465</v>
      </c>
      <c r="O312" s="22" t="s">
        <v>63</v>
      </c>
      <c r="P312" s="22" t="s">
        <v>63</v>
      </c>
    </row>
    <row r="313" ht="20" customHeight="1" spans="1:16" s="23" customFormat="1" x14ac:dyDescent="0.25">
      <c r="A313" s="24" t="s">
        <v>1179</v>
      </c>
      <c r="B313" s="24" t="s">
        <v>1180</v>
      </c>
      <c r="C313" s="24" t="s">
        <v>1181</v>
      </c>
      <c r="D313" s="24" t="s">
        <v>1180</v>
      </c>
      <c r="E313" s="24" t="s">
        <v>1182</v>
      </c>
      <c r="F313" s="25" t="s">
        <v>53</v>
      </c>
      <c r="G313" s="24" t="s">
        <v>54</v>
      </c>
      <c r="H313" s="24" t="s">
        <v>55</v>
      </c>
      <c r="I313" s="25" t="s">
        <v>307</v>
      </c>
      <c r="J313" s="25" t="s">
        <v>57</v>
      </c>
      <c r="K313" s="25" t="s">
        <v>133</v>
      </c>
      <c r="L313" s="25" t="s">
        <v>1183</v>
      </c>
      <c r="M313" s="25" t="s">
        <v>499</v>
      </c>
      <c r="N313" s="25" t="s">
        <v>465</v>
      </c>
      <c r="O313" s="25" t="s">
        <v>63</v>
      </c>
      <c r="P313" s="25" t="s">
        <v>1184</v>
      </c>
    </row>
    <row r="314" ht="20" customHeight="1" spans="1:16" x14ac:dyDescent="0.25">
      <c r="A314" s="21" t="s">
        <v>1185</v>
      </c>
      <c r="B314" s="21" t="s">
        <v>1180</v>
      </c>
      <c r="C314" s="21" t="s">
        <v>711</v>
      </c>
      <c r="D314" s="21" t="s">
        <v>1180</v>
      </c>
      <c r="E314" s="21" t="s">
        <v>1186</v>
      </c>
      <c r="F314" s="22" t="s">
        <v>53</v>
      </c>
      <c r="G314" s="21" t="s">
        <v>105</v>
      </c>
      <c r="H314" s="21" t="s">
        <v>610</v>
      </c>
      <c r="I314" s="22" t="s">
        <v>80</v>
      </c>
      <c r="J314" s="22" t="s">
        <v>57</v>
      </c>
      <c r="K314" s="22" t="s">
        <v>1160</v>
      </c>
      <c r="L314" s="22" t="s">
        <v>73</v>
      </c>
      <c r="M314" s="22" t="s">
        <v>60</v>
      </c>
      <c r="N314" s="22" t="s">
        <v>61</v>
      </c>
      <c r="O314" s="22" t="s">
        <v>63</v>
      </c>
      <c r="P314" s="22" t="s">
        <v>63</v>
      </c>
    </row>
    <row r="315" ht="20" customHeight="1" spans="1:16" s="23" customFormat="1" x14ac:dyDescent="0.25">
      <c r="A315" s="24" t="s">
        <v>1187</v>
      </c>
      <c r="B315" s="24" t="s">
        <v>1180</v>
      </c>
      <c r="C315" s="24" t="s">
        <v>93</v>
      </c>
      <c r="D315" s="24" t="s">
        <v>1180</v>
      </c>
      <c r="E315" s="24" t="s">
        <v>1188</v>
      </c>
      <c r="F315" s="25" t="s">
        <v>68</v>
      </c>
      <c r="G315" s="24" t="s">
        <v>69</v>
      </c>
      <c r="H315" s="24" t="s">
        <v>70</v>
      </c>
      <c r="I315" s="25" t="s">
        <v>1189</v>
      </c>
      <c r="J315" s="25" t="s">
        <v>57</v>
      </c>
      <c r="K315" s="25" t="s">
        <v>1190</v>
      </c>
      <c r="L315" s="25" t="s">
        <v>1191</v>
      </c>
      <c r="M315" s="25" t="s">
        <v>60</v>
      </c>
      <c r="N315" s="25" t="s">
        <v>61</v>
      </c>
      <c r="O315" s="25" t="s">
        <v>63</v>
      </c>
      <c r="P315" s="25" t="s">
        <v>63</v>
      </c>
    </row>
    <row r="316" ht="20" customHeight="1" spans="1:16" x14ac:dyDescent="0.25">
      <c r="A316" s="21" t="s">
        <v>1192</v>
      </c>
      <c r="B316" s="21" t="s">
        <v>1180</v>
      </c>
      <c r="C316" s="21" t="s">
        <v>1193</v>
      </c>
      <c r="D316" s="21" t="s">
        <v>1180</v>
      </c>
      <c r="E316" s="21" t="s">
        <v>1054</v>
      </c>
      <c r="F316" s="22" t="s">
        <v>436</v>
      </c>
      <c r="G316" s="21" t="s">
        <v>437</v>
      </c>
      <c r="H316" s="21" t="s">
        <v>438</v>
      </c>
      <c r="I316" s="22" t="s">
        <v>140</v>
      </c>
      <c r="J316" s="22" t="s">
        <v>57</v>
      </c>
      <c r="K316" s="22" t="s">
        <v>1194</v>
      </c>
      <c r="L316" s="22" t="s">
        <v>73</v>
      </c>
      <c r="M316" s="22" t="s">
        <v>201</v>
      </c>
      <c r="N316" s="22" t="s">
        <v>974</v>
      </c>
      <c r="O316" s="22" t="s">
        <v>63</v>
      </c>
      <c r="P316" s="22" t="s">
        <v>63</v>
      </c>
    </row>
    <row r="317" ht="20" customHeight="1" spans="1:16" s="23" customFormat="1" x14ac:dyDescent="0.25">
      <c r="A317" s="24" t="s">
        <v>1195</v>
      </c>
      <c r="B317" s="24" t="s">
        <v>1180</v>
      </c>
      <c r="C317" s="24" t="s">
        <v>309</v>
      </c>
      <c r="D317" s="24" t="s">
        <v>1196</v>
      </c>
      <c r="E317" s="24" t="s">
        <v>1197</v>
      </c>
      <c r="F317" s="25" t="s">
        <v>85</v>
      </c>
      <c r="G317" s="24" t="s">
        <v>86</v>
      </c>
      <c r="H317" s="24" t="s">
        <v>87</v>
      </c>
      <c r="I317" s="25" t="s">
        <v>937</v>
      </c>
      <c r="J317" s="25" t="s">
        <v>57</v>
      </c>
      <c r="K317" s="25" t="s">
        <v>1198</v>
      </c>
      <c r="L317" s="25" t="s">
        <v>1199</v>
      </c>
      <c r="M317" s="25" t="s">
        <v>201</v>
      </c>
      <c r="N317" s="25" t="s">
        <v>974</v>
      </c>
      <c r="O317" s="25" t="s">
        <v>63</v>
      </c>
      <c r="P317" s="25" t="s">
        <v>63</v>
      </c>
    </row>
    <row r="318" ht="20" customHeight="1" spans="1:16" x14ac:dyDescent="0.25">
      <c r="A318" s="21" t="s">
        <v>1200</v>
      </c>
      <c r="B318" s="21" t="s">
        <v>1180</v>
      </c>
      <c r="C318" s="21" t="s">
        <v>721</v>
      </c>
      <c r="D318" s="21" t="s">
        <v>1180</v>
      </c>
      <c r="E318" s="21" t="s">
        <v>977</v>
      </c>
      <c r="F318" s="22" t="s">
        <v>731</v>
      </c>
      <c r="G318" s="21" t="s">
        <v>732</v>
      </c>
      <c r="H318" s="21" t="s">
        <v>733</v>
      </c>
      <c r="I318" s="22" t="s">
        <v>100</v>
      </c>
      <c r="J318" s="22" t="s">
        <v>57</v>
      </c>
      <c r="K318" s="22" t="s">
        <v>596</v>
      </c>
      <c r="L318" s="22" t="s">
        <v>1201</v>
      </c>
      <c r="M318" s="22" t="s">
        <v>160</v>
      </c>
      <c r="N318" s="22" t="s">
        <v>426</v>
      </c>
      <c r="O318" s="22" t="s">
        <v>63</v>
      </c>
      <c r="P318" s="22" t="s">
        <v>63</v>
      </c>
    </row>
    <row r="319" ht="20" customHeight="1" spans="1:16" s="23" customFormat="1" x14ac:dyDescent="0.25">
      <c r="A319" s="24" t="s">
        <v>1202</v>
      </c>
      <c r="B319" s="24" t="s">
        <v>1180</v>
      </c>
      <c r="C319" s="24" t="s">
        <v>1203</v>
      </c>
      <c r="D319" s="24" t="s">
        <v>1180</v>
      </c>
      <c r="E319" s="24" t="s">
        <v>1204</v>
      </c>
      <c r="F319" s="25" t="s">
        <v>53</v>
      </c>
      <c r="G319" s="24" t="s">
        <v>54</v>
      </c>
      <c r="H319" s="24" t="s">
        <v>55</v>
      </c>
      <c r="I319" s="25" t="s">
        <v>1205</v>
      </c>
      <c r="J319" s="25" t="s">
        <v>57</v>
      </c>
      <c r="K319" s="25" t="s">
        <v>1206</v>
      </c>
      <c r="L319" s="25" t="s">
        <v>73</v>
      </c>
      <c r="M319" s="25" t="s">
        <v>201</v>
      </c>
      <c r="N319" s="25" t="s">
        <v>974</v>
      </c>
      <c r="O319" s="25" t="s">
        <v>63</v>
      </c>
      <c r="P319" s="25" t="s">
        <v>63</v>
      </c>
    </row>
    <row r="320" ht="20" customHeight="1" spans="1:16" x14ac:dyDescent="0.25">
      <c r="A320" s="21" t="s">
        <v>1207</v>
      </c>
      <c r="B320" s="21" t="s">
        <v>1180</v>
      </c>
      <c r="C320" s="21" t="s">
        <v>1118</v>
      </c>
      <c r="D320" s="21" t="s">
        <v>1180</v>
      </c>
      <c r="E320" s="21" t="s">
        <v>1208</v>
      </c>
      <c r="F320" s="22" t="s">
        <v>137</v>
      </c>
      <c r="G320" s="21" t="s">
        <v>138</v>
      </c>
      <c r="H320" s="21" t="s">
        <v>139</v>
      </c>
      <c r="I320" s="22" t="s">
        <v>181</v>
      </c>
      <c r="J320" s="22" t="s">
        <v>57</v>
      </c>
      <c r="K320" s="22" t="s">
        <v>775</v>
      </c>
      <c r="L320" s="22" t="s">
        <v>331</v>
      </c>
      <c r="M320" s="22" t="s">
        <v>616</v>
      </c>
      <c r="N320" s="22" t="s">
        <v>465</v>
      </c>
      <c r="O320" s="22" t="s">
        <v>63</v>
      </c>
      <c r="P320" s="22" t="s">
        <v>63</v>
      </c>
    </row>
    <row r="321" ht="20" customHeight="1" spans="1:16" s="23" customFormat="1" x14ac:dyDescent="0.25">
      <c r="A321" s="24" t="s">
        <v>191</v>
      </c>
      <c r="B321" s="24" t="s">
        <v>1209</v>
      </c>
      <c r="C321" s="24" t="s">
        <v>1210</v>
      </c>
      <c r="D321" s="24" t="s">
        <v>1209</v>
      </c>
      <c r="E321" s="24" t="s">
        <v>1211</v>
      </c>
      <c r="F321" s="25" t="s">
        <v>436</v>
      </c>
      <c r="G321" s="24" t="s">
        <v>437</v>
      </c>
      <c r="H321" s="24" t="s">
        <v>438</v>
      </c>
      <c r="I321" s="25" t="s">
        <v>181</v>
      </c>
      <c r="J321" s="25" t="s">
        <v>57</v>
      </c>
      <c r="K321" s="25" t="s">
        <v>1212</v>
      </c>
      <c r="L321" s="25" t="s">
        <v>132</v>
      </c>
      <c r="M321" s="25" t="s">
        <v>616</v>
      </c>
      <c r="N321" s="25" t="s">
        <v>465</v>
      </c>
      <c r="O321" s="25" t="s">
        <v>63</v>
      </c>
      <c r="P321" s="25" t="s">
        <v>63</v>
      </c>
    </row>
    <row r="322" ht="20" customHeight="1" spans="1:16" x14ac:dyDescent="0.25">
      <c r="A322" s="21" t="s">
        <v>1213</v>
      </c>
      <c r="B322" s="21" t="s">
        <v>1209</v>
      </c>
      <c r="C322" s="21" t="s">
        <v>1214</v>
      </c>
      <c r="D322" s="21" t="s">
        <v>1209</v>
      </c>
      <c r="E322" s="21" t="s">
        <v>808</v>
      </c>
      <c r="F322" s="22" t="s">
        <v>137</v>
      </c>
      <c r="G322" s="21" t="s">
        <v>1085</v>
      </c>
      <c r="H322" s="21" t="s">
        <v>139</v>
      </c>
      <c r="I322" s="22" t="s">
        <v>71</v>
      </c>
      <c r="J322" s="22" t="s">
        <v>57</v>
      </c>
      <c r="K322" s="22" t="s">
        <v>1215</v>
      </c>
      <c r="L322" s="22" t="s">
        <v>1086</v>
      </c>
      <c r="M322" s="22" t="s">
        <v>616</v>
      </c>
      <c r="N322" s="22" t="s">
        <v>465</v>
      </c>
      <c r="O322" s="22" t="s">
        <v>63</v>
      </c>
      <c r="P322" s="22" t="s">
        <v>1216</v>
      </c>
    </row>
    <row r="323" ht="20" customHeight="1" spans="1:16" s="23" customFormat="1" x14ac:dyDescent="0.25">
      <c r="A323" s="24" t="s">
        <v>1217</v>
      </c>
      <c r="B323" s="24" t="s">
        <v>1209</v>
      </c>
      <c r="C323" s="24" t="s">
        <v>491</v>
      </c>
      <c r="D323" s="24" t="s">
        <v>1209</v>
      </c>
      <c r="E323" s="24" t="s">
        <v>1218</v>
      </c>
      <c r="F323" s="25" t="s">
        <v>53</v>
      </c>
      <c r="G323" s="24" t="s">
        <v>105</v>
      </c>
      <c r="H323" s="24" t="s">
        <v>55</v>
      </c>
      <c r="I323" s="25" t="s">
        <v>616</v>
      </c>
      <c r="J323" s="25" t="s">
        <v>57</v>
      </c>
      <c r="K323" s="25" t="s">
        <v>72</v>
      </c>
      <c r="L323" s="25" t="s">
        <v>73</v>
      </c>
      <c r="M323" s="25" t="s">
        <v>420</v>
      </c>
      <c r="N323" s="25" t="s">
        <v>465</v>
      </c>
      <c r="O323" s="25" t="s">
        <v>63</v>
      </c>
      <c r="P323" s="25" t="s">
        <v>63</v>
      </c>
    </row>
    <row r="324" ht="20" customHeight="1" spans="1:16" x14ac:dyDescent="0.25">
      <c r="A324" s="21" t="s">
        <v>1219</v>
      </c>
      <c r="B324" s="21" t="s">
        <v>1209</v>
      </c>
      <c r="C324" s="21" t="s">
        <v>169</v>
      </c>
      <c r="D324" s="21" t="s">
        <v>1209</v>
      </c>
      <c r="E324" s="21" t="s">
        <v>1036</v>
      </c>
      <c r="F324" s="22" t="s">
        <v>53</v>
      </c>
      <c r="G324" s="21" t="s">
        <v>54</v>
      </c>
      <c r="H324" s="21" t="s">
        <v>55</v>
      </c>
      <c r="I324" s="22" t="s">
        <v>80</v>
      </c>
      <c r="J324" s="22" t="s">
        <v>57</v>
      </c>
      <c r="K324" s="22" t="s">
        <v>72</v>
      </c>
      <c r="L324" s="22" t="s">
        <v>73</v>
      </c>
      <c r="M324" s="22" t="s">
        <v>60</v>
      </c>
      <c r="N324" s="22" t="s">
        <v>61</v>
      </c>
      <c r="O324" s="22" t="s">
        <v>63</v>
      </c>
      <c r="P324" s="22" t="s">
        <v>63</v>
      </c>
    </row>
    <row r="325" ht="20" customHeight="1" spans="1:16" s="23" customFormat="1" x14ac:dyDescent="0.25">
      <c r="A325" s="24" t="s">
        <v>1220</v>
      </c>
      <c r="B325" s="24" t="s">
        <v>1209</v>
      </c>
      <c r="C325" s="24" t="s">
        <v>1221</v>
      </c>
      <c r="D325" s="24" t="s">
        <v>1209</v>
      </c>
      <c r="E325" s="24" t="s">
        <v>121</v>
      </c>
      <c r="F325" s="25" t="s">
        <v>53</v>
      </c>
      <c r="G325" s="24" t="s">
        <v>995</v>
      </c>
      <c r="H325" s="24" t="s">
        <v>55</v>
      </c>
      <c r="I325" s="25" t="s">
        <v>140</v>
      </c>
      <c r="J325" s="25" t="s">
        <v>57</v>
      </c>
      <c r="K325" s="25" t="s">
        <v>1222</v>
      </c>
      <c r="L325" s="25" t="s">
        <v>73</v>
      </c>
      <c r="M325" s="25" t="s">
        <v>235</v>
      </c>
      <c r="N325" s="25" t="s">
        <v>389</v>
      </c>
      <c r="O325" s="25" t="s">
        <v>63</v>
      </c>
      <c r="P325" s="25" t="s">
        <v>63</v>
      </c>
    </row>
    <row r="326" ht="20" customHeight="1" spans="1:16" x14ac:dyDescent="0.25">
      <c r="A326" s="21" t="s">
        <v>1223</v>
      </c>
      <c r="B326" s="21" t="s">
        <v>1209</v>
      </c>
      <c r="C326" s="21" t="s">
        <v>1224</v>
      </c>
      <c r="D326" s="21" t="s">
        <v>1209</v>
      </c>
      <c r="E326" s="21" t="s">
        <v>1225</v>
      </c>
      <c r="F326" s="22" t="s">
        <v>731</v>
      </c>
      <c r="G326" s="21" t="s">
        <v>732</v>
      </c>
      <c r="H326" s="21" t="s">
        <v>733</v>
      </c>
      <c r="I326" s="22" t="s">
        <v>186</v>
      </c>
      <c r="J326" s="22" t="s">
        <v>57</v>
      </c>
      <c r="K326" s="22" t="s">
        <v>596</v>
      </c>
      <c r="L326" s="22" t="s">
        <v>654</v>
      </c>
      <c r="M326" s="22" t="s">
        <v>235</v>
      </c>
      <c r="N326" s="22" t="s">
        <v>389</v>
      </c>
      <c r="O326" s="22" t="s">
        <v>63</v>
      </c>
      <c r="P326" s="22" t="s">
        <v>63</v>
      </c>
    </row>
    <row r="327" ht="20" customHeight="1" spans="1:16" s="23" customFormat="1" x14ac:dyDescent="0.25">
      <c r="A327" s="24" t="s">
        <v>1226</v>
      </c>
      <c r="B327" s="24" t="s">
        <v>1209</v>
      </c>
      <c r="C327" s="24" t="s">
        <v>1227</v>
      </c>
      <c r="D327" s="24" t="s">
        <v>1209</v>
      </c>
      <c r="E327" s="24" t="s">
        <v>815</v>
      </c>
      <c r="F327" s="25" t="s">
        <v>53</v>
      </c>
      <c r="G327" s="24" t="s">
        <v>105</v>
      </c>
      <c r="H327" s="24" t="s">
        <v>55</v>
      </c>
      <c r="I327" s="25" t="s">
        <v>80</v>
      </c>
      <c r="J327" s="25" t="s">
        <v>57</v>
      </c>
      <c r="K327" s="25" t="s">
        <v>72</v>
      </c>
      <c r="L327" s="25" t="s">
        <v>73</v>
      </c>
      <c r="M327" s="25" t="s">
        <v>60</v>
      </c>
      <c r="N327" s="25" t="s">
        <v>61</v>
      </c>
      <c r="O327" s="25" t="s">
        <v>63</v>
      </c>
      <c r="P327" s="25" t="s">
        <v>63</v>
      </c>
    </row>
    <row r="328" ht="20" customHeight="1" spans="1:16" x14ac:dyDescent="0.25">
      <c r="A328" s="21" t="s">
        <v>1228</v>
      </c>
      <c r="B328" s="21" t="s">
        <v>1209</v>
      </c>
      <c r="C328" s="21" t="s">
        <v>886</v>
      </c>
      <c r="D328" s="21" t="s">
        <v>1196</v>
      </c>
      <c r="E328" s="21" t="s">
        <v>1229</v>
      </c>
      <c r="F328" s="22" t="s">
        <v>53</v>
      </c>
      <c r="G328" s="21" t="s">
        <v>54</v>
      </c>
      <c r="H328" s="21" t="s">
        <v>55</v>
      </c>
      <c r="I328" s="22" t="s">
        <v>153</v>
      </c>
      <c r="J328" s="22" t="s">
        <v>57</v>
      </c>
      <c r="K328" s="22" t="s">
        <v>1230</v>
      </c>
      <c r="L328" s="22" t="s">
        <v>73</v>
      </c>
      <c r="M328" s="22" t="s">
        <v>160</v>
      </c>
      <c r="N328" s="22" t="s">
        <v>426</v>
      </c>
      <c r="O328" s="22" t="s">
        <v>63</v>
      </c>
      <c r="P328" s="22" t="s">
        <v>63</v>
      </c>
    </row>
    <row r="329" ht="20" customHeight="1" spans="1:16" s="23" customFormat="1" x14ac:dyDescent="0.25">
      <c r="A329" s="24" t="s">
        <v>1231</v>
      </c>
      <c r="B329" s="24" t="s">
        <v>1232</v>
      </c>
      <c r="C329" s="24" t="s">
        <v>603</v>
      </c>
      <c r="D329" s="24" t="s">
        <v>1232</v>
      </c>
      <c r="E329" s="24" t="s">
        <v>1233</v>
      </c>
      <c r="F329" s="25" t="s">
        <v>53</v>
      </c>
      <c r="G329" s="24" t="s">
        <v>54</v>
      </c>
      <c r="H329" s="24" t="s">
        <v>55</v>
      </c>
      <c r="I329" s="25" t="s">
        <v>763</v>
      </c>
      <c r="J329" s="25" t="s">
        <v>57</v>
      </c>
      <c r="K329" s="25" t="s">
        <v>279</v>
      </c>
      <c r="L329" s="25" t="s">
        <v>1234</v>
      </c>
      <c r="M329" s="25" t="s">
        <v>868</v>
      </c>
      <c r="N329" s="25" t="s">
        <v>465</v>
      </c>
      <c r="O329" s="25" t="s">
        <v>63</v>
      </c>
      <c r="P329" s="25" t="s">
        <v>63</v>
      </c>
    </row>
    <row r="330" ht="20" customHeight="1" spans="1:16" x14ac:dyDescent="0.25">
      <c r="A330" s="21" t="s">
        <v>1235</v>
      </c>
      <c r="B330" s="21" t="s">
        <v>1232</v>
      </c>
      <c r="C330" s="21" t="s">
        <v>328</v>
      </c>
      <c r="D330" s="21" t="s">
        <v>1232</v>
      </c>
      <c r="E330" s="21" t="s">
        <v>1130</v>
      </c>
      <c r="F330" s="22" t="s">
        <v>53</v>
      </c>
      <c r="G330" s="21" t="s">
        <v>105</v>
      </c>
      <c r="H330" s="21" t="s">
        <v>55</v>
      </c>
      <c r="I330" s="22" t="s">
        <v>331</v>
      </c>
      <c r="J330" s="22" t="s">
        <v>57</v>
      </c>
      <c r="K330" s="22" t="s">
        <v>1102</v>
      </c>
      <c r="L330" s="22" t="s">
        <v>73</v>
      </c>
      <c r="M330" s="22" t="s">
        <v>616</v>
      </c>
      <c r="N330" s="22" t="s">
        <v>465</v>
      </c>
      <c r="O330" s="22" t="s">
        <v>63</v>
      </c>
      <c r="P330" s="22" t="s">
        <v>1236</v>
      </c>
    </row>
    <row r="331" ht="20" customHeight="1" spans="1:16" s="23" customFormat="1" x14ac:dyDescent="0.25">
      <c r="A331" s="24" t="s">
        <v>1237</v>
      </c>
      <c r="B331" s="24" t="s">
        <v>1232</v>
      </c>
      <c r="C331" s="24" t="s">
        <v>619</v>
      </c>
      <c r="D331" s="24" t="s">
        <v>1232</v>
      </c>
      <c r="E331" s="24" t="s">
        <v>1167</v>
      </c>
      <c r="F331" s="25" t="s">
        <v>53</v>
      </c>
      <c r="G331" s="24" t="s">
        <v>54</v>
      </c>
      <c r="H331" s="24" t="s">
        <v>55</v>
      </c>
      <c r="I331" s="25" t="s">
        <v>132</v>
      </c>
      <c r="J331" s="25" t="s">
        <v>57</v>
      </c>
      <c r="K331" s="25" t="s">
        <v>1238</v>
      </c>
      <c r="L331" s="25" t="s">
        <v>73</v>
      </c>
      <c r="M331" s="25" t="s">
        <v>616</v>
      </c>
      <c r="N331" s="25" t="s">
        <v>465</v>
      </c>
      <c r="O331" s="25" t="s">
        <v>63</v>
      </c>
      <c r="P331" s="25" t="s">
        <v>1236</v>
      </c>
    </row>
    <row r="332" ht="20" customHeight="1" spans="1:16" x14ac:dyDescent="0.25">
      <c r="A332" s="21" t="s">
        <v>1239</v>
      </c>
      <c r="B332" s="21" t="s">
        <v>1240</v>
      </c>
      <c r="C332" s="21" t="s">
        <v>1241</v>
      </c>
      <c r="D332" s="21" t="s">
        <v>1240</v>
      </c>
      <c r="E332" s="21" t="s">
        <v>1242</v>
      </c>
      <c r="F332" s="22" t="s">
        <v>53</v>
      </c>
      <c r="G332" s="21" t="s">
        <v>54</v>
      </c>
      <c r="H332" s="21" t="s">
        <v>55</v>
      </c>
      <c r="I332" s="22" t="s">
        <v>307</v>
      </c>
      <c r="J332" s="22" t="s">
        <v>57</v>
      </c>
      <c r="K332" s="22" t="s">
        <v>424</v>
      </c>
      <c r="L332" s="22" t="s">
        <v>513</v>
      </c>
      <c r="M332" s="22" t="s">
        <v>235</v>
      </c>
      <c r="N332" s="22" t="s">
        <v>389</v>
      </c>
      <c r="O332" s="22" t="s">
        <v>63</v>
      </c>
      <c r="P332" s="22" t="s">
        <v>63</v>
      </c>
    </row>
    <row r="333" ht="20" customHeight="1" spans="1:16" s="23" customFormat="1" x14ac:dyDescent="0.25">
      <c r="A333" s="24" t="s">
        <v>1243</v>
      </c>
      <c r="B333" s="24" t="s">
        <v>1240</v>
      </c>
      <c r="C333" s="24" t="s">
        <v>689</v>
      </c>
      <c r="D333" s="24" t="s">
        <v>1240</v>
      </c>
      <c r="E333" s="24" t="s">
        <v>751</v>
      </c>
      <c r="F333" s="25" t="s">
        <v>53</v>
      </c>
      <c r="G333" s="24" t="s">
        <v>105</v>
      </c>
      <c r="H333" s="24" t="s">
        <v>55</v>
      </c>
      <c r="I333" s="25" t="s">
        <v>616</v>
      </c>
      <c r="J333" s="25" t="s">
        <v>57</v>
      </c>
      <c r="K333" s="25" t="s">
        <v>72</v>
      </c>
      <c r="L333" s="25" t="s">
        <v>73</v>
      </c>
      <c r="M333" s="25" t="s">
        <v>420</v>
      </c>
      <c r="N333" s="25" t="s">
        <v>465</v>
      </c>
      <c r="O333" s="25" t="s">
        <v>63</v>
      </c>
      <c r="P333" s="25" t="s">
        <v>63</v>
      </c>
    </row>
    <row r="334" ht="20" customHeight="1" spans="1:16" x14ac:dyDescent="0.25">
      <c r="A334" s="21" t="s">
        <v>1244</v>
      </c>
      <c r="B334" s="21" t="s">
        <v>1240</v>
      </c>
      <c r="C334" s="21" t="s">
        <v>879</v>
      </c>
      <c r="D334" s="21" t="s">
        <v>1240</v>
      </c>
      <c r="E334" s="21" t="s">
        <v>1025</v>
      </c>
      <c r="F334" s="22" t="s">
        <v>1245</v>
      </c>
      <c r="G334" s="21" t="s">
        <v>1246</v>
      </c>
      <c r="H334" s="21" t="s">
        <v>70</v>
      </c>
      <c r="I334" s="22" t="s">
        <v>307</v>
      </c>
      <c r="J334" s="22" t="s">
        <v>57</v>
      </c>
      <c r="K334" s="22" t="s">
        <v>260</v>
      </c>
      <c r="L334" s="22" t="s">
        <v>1247</v>
      </c>
      <c r="M334" s="22" t="s">
        <v>420</v>
      </c>
      <c r="N334" s="22" t="s">
        <v>465</v>
      </c>
      <c r="O334" s="22" t="s">
        <v>63</v>
      </c>
      <c r="P334" s="22" t="s">
        <v>63</v>
      </c>
    </row>
    <row r="335" ht="20" customHeight="1" spans="1:16" s="23" customFormat="1" x14ac:dyDescent="0.25">
      <c r="A335" s="24" t="s">
        <v>1248</v>
      </c>
      <c r="B335" s="24" t="s">
        <v>1240</v>
      </c>
      <c r="C335" s="24" t="s">
        <v>886</v>
      </c>
      <c r="D335" s="24" t="s">
        <v>1240</v>
      </c>
      <c r="E335" s="24" t="s">
        <v>551</v>
      </c>
      <c r="F335" s="25" t="s">
        <v>53</v>
      </c>
      <c r="G335" s="24" t="s">
        <v>54</v>
      </c>
      <c r="H335" s="24" t="s">
        <v>55</v>
      </c>
      <c r="I335" s="25" t="s">
        <v>132</v>
      </c>
      <c r="J335" s="25" t="s">
        <v>57</v>
      </c>
      <c r="K335" s="25" t="s">
        <v>1249</v>
      </c>
      <c r="L335" s="25" t="s">
        <v>73</v>
      </c>
      <c r="M335" s="25" t="s">
        <v>499</v>
      </c>
      <c r="N335" s="25" t="s">
        <v>465</v>
      </c>
      <c r="O335" s="25" t="s">
        <v>63</v>
      </c>
      <c r="P335" s="25" t="s">
        <v>63</v>
      </c>
    </row>
    <row r="336" ht="20" customHeight="1" spans="1:16" x14ac:dyDescent="0.25">
      <c r="A336" s="21" t="s">
        <v>1250</v>
      </c>
      <c r="B336" s="21" t="s">
        <v>1251</v>
      </c>
      <c r="C336" s="21" t="s">
        <v>1252</v>
      </c>
      <c r="D336" s="21" t="s">
        <v>1251</v>
      </c>
      <c r="E336" s="21" t="s">
        <v>957</v>
      </c>
      <c r="F336" s="22" t="s">
        <v>53</v>
      </c>
      <c r="G336" s="21" t="s">
        <v>54</v>
      </c>
      <c r="H336" s="21" t="s">
        <v>55</v>
      </c>
      <c r="I336" s="22" t="s">
        <v>1253</v>
      </c>
      <c r="J336" s="22" t="s">
        <v>57</v>
      </c>
      <c r="K336" s="22" t="s">
        <v>1254</v>
      </c>
      <c r="L336" s="22" t="s">
        <v>1255</v>
      </c>
      <c r="M336" s="22" t="s">
        <v>499</v>
      </c>
      <c r="N336" s="22" t="s">
        <v>465</v>
      </c>
      <c r="O336" s="22" t="s">
        <v>63</v>
      </c>
      <c r="P336" s="22" t="s">
        <v>63</v>
      </c>
    </row>
    <row r="337" ht="20" customHeight="1" spans="1:16" s="23" customFormat="1" x14ac:dyDescent="0.25">
      <c r="A337" s="24" t="s">
        <v>1256</v>
      </c>
      <c r="B337" s="24" t="s">
        <v>1251</v>
      </c>
      <c r="C337" s="24" t="s">
        <v>1257</v>
      </c>
      <c r="D337" s="24" t="s">
        <v>1251</v>
      </c>
      <c r="E337" s="24" t="s">
        <v>1063</v>
      </c>
      <c r="F337" s="25" t="s">
        <v>53</v>
      </c>
      <c r="G337" s="24" t="s">
        <v>105</v>
      </c>
      <c r="H337" s="24" t="s">
        <v>610</v>
      </c>
      <c r="I337" s="25" t="s">
        <v>534</v>
      </c>
      <c r="J337" s="25" t="s">
        <v>57</v>
      </c>
      <c r="K337" s="25" t="s">
        <v>871</v>
      </c>
      <c r="L337" s="25" t="s">
        <v>73</v>
      </c>
      <c r="M337" s="25" t="s">
        <v>201</v>
      </c>
      <c r="N337" s="25" t="s">
        <v>974</v>
      </c>
      <c r="O337" s="25" t="s">
        <v>63</v>
      </c>
      <c r="P337" s="25" t="s">
        <v>63</v>
      </c>
    </row>
    <row r="338" ht="20" customHeight="1" spans="1:16" x14ac:dyDescent="0.25">
      <c r="A338" s="21" t="s">
        <v>1258</v>
      </c>
      <c r="B338" s="21" t="s">
        <v>1251</v>
      </c>
      <c r="C338" s="21" t="s">
        <v>145</v>
      </c>
      <c r="D338" s="21" t="s">
        <v>1251</v>
      </c>
      <c r="E338" s="21" t="s">
        <v>1259</v>
      </c>
      <c r="F338" s="22" t="s">
        <v>731</v>
      </c>
      <c r="G338" s="21" t="s">
        <v>732</v>
      </c>
      <c r="H338" s="21" t="s">
        <v>733</v>
      </c>
      <c r="I338" s="22" t="s">
        <v>1205</v>
      </c>
      <c r="J338" s="22" t="s">
        <v>57</v>
      </c>
      <c r="K338" s="22" t="s">
        <v>1147</v>
      </c>
      <c r="L338" s="22" t="s">
        <v>73</v>
      </c>
      <c r="M338" s="22" t="s">
        <v>160</v>
      </c>
      <c r="N338" s="22" t="s">
        <v>426</v>
      </c>
      <c r="O338" s="22" t="s">
        <v>63</v>
      </c>
      <c r="P338" s="22" t="s">
        <v>63</v>
      </c>
    </row>
    <row r="339" ht="20" customHeight="1" spans="1:16" s="23" customFormat="1" x14ac:dyDescent="0.25">
      <c r="A339" s="24" t="s">
        <v>1260</v>
      </c>
      <c r="B339" s="24" t="s">
        <v>1251</v>
      </c>
      <c r="C339" s="24" t="s">
        <v>762</v>
      </c>
      <c r="D339" s="24" t="s">
        <v>1261</v>
      </c>
      <c r="E339" s="24" t="s">
        <v>1262</v>
      </c>
      <c r="F339" s="25" t="s">
        <v>53</v>
      </c>
      <c r="G339" s="24" t="s">
        <v>54</v>
      </c>
      <c r="H339" s="24" t="s">
        <v>55</v>
      </c>
      <c r="I339" s="25" t="s">
        <v>160</v>
      </c>
      <c r="J339" s="25" t="s">
        <v>57</v>
      </c>
      <c r="K339" s="25" t="s">
        <v>1263</v>
      </c>
      <c r="L339" s="25" t="s">
        <v>1264</v>
      </c>
      <c r="M339" s="25" t="s">
        <v>160</v>
      </c>
      <c r="N339" s="25" t="s">
        <v>426</v>
      </c>
      <c r="O339" s="25" t="s">
        <v>63</v>
      </c>
      <c r="P339" s="25" t="s">
        <v>63</v>
      </c>
    </row>
    <row r="340" ht="20" customHeight="1" spans="1:16" x14ac:dyDescent="0.25">
      <c r="A340" s="21" t="s">
        <v>1265</v>
      </c>
      <c r="B340" s="21" t="s">
        <v>1251</v>
      </c>
      <c r="C340" s="21" t="s">
        <v>1266</v>
      </c>
      <c r="D340" s="21" t="s">
        <v>1251</v>
      </c>
      <c r="E340" s="21" t="s">
        <v>1267</v>
      </c>
      <c r="F340" s="22" t="s">
        <v>53</v>
      </c>
      <c r="G340" s="21" t="s">
        <v>105</v>
      </c>
      <c r="H340" s="21" t="s">
        <v>610</v>
      </c>
      <c r="I340" s="22" t="s">
        <v>331</v>
      </c>
      <c r="J340" s="22" t="s">
        <v>57</v>
      </c>
      <c r="K340" s="22" t="s">
        <v>1102</v>
      </c>
      <c r="L340" s="22" t="s">
        <v>228</v>
      </c>
      <c r="M340" s="22" t="s">
        <v>616</v>
      </c>
      <c r="N340" s="22" t="s">
        <v>465</v>
      </c>
      <c r="O340" s="22" t="s">
        <v>63</v>
      </c>
      <c r="P340" s="22" t="s">
        <v>63</v>
      </c>
    </row>
    <row r="341" ht="20" customHeight="1" spans="1:16" s="23" customFormat="1" x14ac:dyDescent="0.25">
      <c r="A341" s="24" t="s">
        <v>1268</v>
      </c>
      <c r="B341" s="24" t="s">
        <v>1261</v>
      </c>
      <c r="C341" s="24" t="s">
        <v>491</v>
      </c>
      <c r="D341" s="24" t="s">
        <v>1261</v>
      </c>
      <c r="E341" s="24" t="s">
        <v>1218</v>
      </c>
      <c r="F341" s="25" t="s">
        <v>1269</v>
      </c>
      <c r="G341" s="24" t="s">
        <v>833</v>
      </c>
      <c r="H341" s="24" t="s">
        <v>139</v>
      </c>
      <c r="I341" s="25" t="s">
        <v>233</v>
      </c>
      <c r="J341" s="25" t="s">
        <v>57</v>
      </c>
      <c r="K341" s="25" t="s">
        <v>1102</v>
      </c>
      <c r="L341" s="25" t="s">
        <v>1270</v>
      </c>
      <c r="M341" s="25" t="s">
        <v>616</v>
      </c>
      <c r="N341" s="25" t="s">
        <v>465</v>
      </c>
      <c r="O341" s="25" t="s">
        <v>63</v>
      </c>
      <c r="P341" s="25" t="s">
        <v>63</v>
      </c>
    </row>
    <row r="342" ht="20" customHeight="1" spans="1:16" x14ac:dyDescent="0.25">
      <c r="A342" s="21" t="s">
        <v>1271</v>
      </c>
      <c r="B342" s="21" t="s">
        <v>1261</v>
      </c>
      <c r="C342" s="21" t="s">
        <v>336</v>
      </c>
      <c r="D342" s="21" t="s">
        <v>1261</v>
      </c>
      <c r="E342" s="21" t="s">
        <v>455</v>
      </c>
      <c r="F342" s="22" t="s">
        <v>436</v>
      </c>
      <c r="G342" s="21" t="s">
        <v>437</v>
      </c>
      <c r="H342" s="21" t="s">
        <v>438</v>
      </c>
      <c r="I342" s="22" t="s">
        <v>71</v>
      </c>
      <c r="J342" s="22" t="s">
        <v>57</v>
      </c>
      <c r="K342" s="22" t="s">
        <v>1272</v>
      </c>
      <c r="L342" s="22" t="s">
        <v>425</v>
      </c>
      <c r="M342" s="22" t="s">
        <v>420</v>
      </c>
      <c r="N342" s="22" t="s">
        <v>465</v>
      </c>
      <c r="O342" s="22" t="s">
        <v>63</v>
      </c>
      <c r="P342" s="22" t="s">
        <v>63</v>
      </c>
    </row>
    <row r="343" ht="20" customHeight="1" spans="1:16" s="23" customFormat="1" x14ac:dyDescent="0.25">
      <c r="A343" s="24" t="s">
        <v>583</v>
      </c>
      <c r="B343" s="24" t="s">
        <v>1261</v>
      </c>
      <c r="C343" s="24" t="s">
        <v>894</v>
      </c>
      <c r="D343" s="24" t="s">
        <v>1261</v>
      </c>
      <c r="E343" s="24" t="s">
        <v>1273</v>
      </c>
      <c r="F343" s="25" t="s">
        <v>53</v>
      </c>
      <c r="G343" s="24" t="s">
        <v>105</v>
      </c>
      <c r="H343" s="24" t="s">
        <v>610</v>
      </c>
      <c r="I343" s="25" t="s">
        <v>1274</v>
      </c>
      <c r="J343" s="25" t="s">
        <v>57</v>
      </c>
      <c r="K343" s="25" t="s">
        <v>96</v>
      </c>
      <c r="L343" s="25" t="s">
        <v>73</v>
      </c>
      <c r="M343" s="25" t="s">
        <v>420</v>
      </c>
      <c r="N343" s="25" t="s">
        <v>465</v>
      </c>
      <c r="O343" s="25" t="s">
        <v>63</v>
      </c>
      <c r="P343" s="25" t="s">
        <v>63</v>
      </c>
    </row>
    <row r="344" ht="20" customHeight="1" spans="1:16" x14ac:dyDescent="0.25">
      <c r="A344" s="21" t="s">
        <v>1275</v>
      </c>
      <c r="B344" s="21" t="s">
        <v>1261</v>
      </c>
      <c r="C344" s="21" t="s">
        <v>1276</v>
      </c>
      <c r="D344" s="21" t="s">
        <v>1261</v>
      </c>
      <c r="E344" s="21" t="s">
        <v>609</v>
      </c>
      <c r="F344" s="22" t="s">
        <v>731</v>
      </c>
      <c r="G344" s="21" t="s">
        <v>732</v>
      </c>
      <c r="H344" s="21" t="s">
        <v>733</v>
      </c>
      <c r="I344" s="22" t="s">
        <v>763</v>
      </c>
      <c r="J344" s="22" t="s">
        <v>57</v>
      </c>
      <c r="K344" s="22" t="s">
        <v>841</v>
      </c>
      <c r="L344" s="22" t="s">
        <v>73</v>
      </c>
      <c r="M344" s="22" t="s">
        <v>60</v>
      </c>
      <c r="N344" s="22" t="s">
        <v>61</v>
      </c>
      <c r="O344" s="22" t="s">
        <v>63</v>
      </c>
      <c r="P344" s="22" t="s">
        <v>63</v>
      </c>
    </row>
    <row r="345" ht="20" customHeight="1" spans="1:16" s="23" customFormat="1" x14ac:dyDescent="0.25">
      <c r="A345" s="24" t="s">
        <v>1277</v>
      </c>
      <c r="B345" s="24" t="s">
        <v>1261</v>
      </c>
      <c r="C345" s="24" t="s">
        <v>504</v>
      </c>
      <c r="D345" s="24" t="s">
        <v>1261</v>
      </c>
      <c r="E345" s="24" t="s">
        <v>104</v>
      </c>
      <c r="F345" s="25" t="s">
        <v>1278</v>
      </c>
      <c r="G345" s="24" t="s">
        <v>1246</v>
      </c>
      <c r="H345" s="24" t="s">
        <v>70</v>
      </c>
      <c r="I345" s="25" t="s">
        <v>307</v>
      </c>
      <c r="J345" s="25" t="s">
        <v>57</v>
      </c>
      <c r="K345" s="25" t="s">
        <v>81</v>
      </c>
      <c r="L345" s="25" t="s">
        <v>73</v>
      </c>
      <c r="M345" s="25" t="s">
        <v>235</v>
      </c>
      <c r="N345" s="25" t="s">
        <v>389</v>
      </c>
      <c r="O345" s="25" t="s">
        <v>63</v>
      </c>
      <c r="P345" s="25" t="s">
        <v>63</v>
      </c>
    </row>
    <row r="346" ht="20" customHeight="1" spans="1:16" x14ac:dyDescent="0.25">
      <c r="A346" s="21" t="s">
        <v>1279</v>
      </c>
      <c r="B346" s="21" t="s">
        <v>1261</v>
      </c>
      <c r="C346" s="21" t="s">
        <v>1280</v>
      </c>
      <c r="D346" s="21" t="s">
        <v>1261</v>
      </c>
      <c r="E346" s="21" t="s">
        <v>1281</v>
      </c>
      <c r="F346" s="22" t="s">
        <v>53</v>
      </c>
      <c r="G346" s="21" t="s">
        <v>105</v>
      </c>
      <c r="H346" s="21" t="s">
        <v>610</v>
      </c>
      <c r="I346" s="22" t="s">
        <v>1274</v>
      </c>
      <c r="J346" s="22" t="s">
        <v>57</v>
      </c>
      <c r="K346" s="22" t="s">
        <v>96</v>
      </c>
      <c r="L346" s="22" t="s">
        <v>73</v>
      </c>
      <c r="M346" s="22" t="s">
        <v>420</v>
      </c>
      <c r="N346" s="22" t="s">
        <v>465</v>
      </c>
      <c r="O346" s="22" t="s">
        <v>63</v>
      </c>
      <c r="P346" s="22" t="s">
        <v>63</v>
      </c>
    </row>
    <row r="347" ht="20" customHeight="1" spans="1:16" s="23" customFormat="1" x14ac:dyDescent="0.25">
      <c r="A347" s="24" t="s">
        <v>1282</v>
      </c>
      <c r="B347" s="24" t="s">
        <v>1261</v>
      </c>
      <c r="C347" s="24" t="s">
        <v>1283</v>
      </c>
      <c r="D347" s="24" t="s">
        <v>1261</v>
      </c>
      <c r="E347" s="24" t="s">
        <v>1284</v>
      </c>
      <c r="F347" s="25" t="s">
        <v>53</v>
      </c>
      <c r="G347" s="24" t="s">
        <v>105</v>
      </c>
      <c r="H347" s="24" t="s">
        <v>610</v>
      </c>
      <c r="I347" s="25" t="s">
        <v>529</v>
      </c>
      <c r="J347" s="25" t="s">
        <v>57</v>
      </c>
      <c r="K347" s="25" t="s">
        <v>294</v>
      </c>
      <c r="L347" s="25" t="s">
        <v>73</v>
      </c>
      <c r="M347" s="25" t="s">
        <v>499</v>
      </c>
      <c r="N347" s="25" t="s">
        <v>465</v>
      </c>
      <c r="O347" s="25" t="s">
        <v>63</v>
      </c>
      <c r="P347" s="25" t="s">
        <v>63</v>
      </c>
    </row>
    <row r="348" ht="20" customHeight="1" spans="1:16" x14ac:dyDescent="0.25">
      <c r="A348" s="21" t="s">
        <v>1285</v>
      </c>
      <c r="B348" s="21" t="s">
        <v>1286</v>
      </c>
      <c r="C348" s="21" t="s">
        <v>1276</v>
      </c>
      <c r="D348" s="21" t="s">
        <v>1286</v>
      </c>
      <c r="E348" s="21" t="s">
        <v>957</v>
      </c>
      <c r="F348" s="22" t="s">
        <v>53</v>
      </c>
      <c r="G348" s="21" t="s">
        <v>54</v>
      </c>
      <c r="H348" s="21" t="s">
        <v>55</v>
      </c>
      <c r="I348" s="22" t="s">
        <v>1205</v>
      </c>
      <c r="J348" s="22" t="s">
        <v>57</v>
      </c>
      <c r="K348" s="22" t="s">
        <v>1287</v>
      </c>
      <c r="L348" s="22" t="s">
        <v>73</v>
      </c>
      <c r="M348" s="22" t="s">
        <v>616</v>
      </c>
      <c r="N348" s="22" t="s">
        <v>465</v>
      </c>
      <c r="O348" s="22" t="s">
        <v>63</v>
      </c>
      <c r="P348" s="22" t="s">
        <v>63</v>
      </c>
    </row>
    <row r="349" ht="20" customHeight="1" spans="1:16" s="23" customFormat="1" x14ac:dyDescent="0.25">
      <c r="A349" s="24" t="s">
        <v>1288</v>
      </c>
      <c r="B349" s="24" t="s">
        <v>1286</v>
      </c>
      <c r="C349" s="24" t="s">
        <v>927</v>
      </c>
      <c r="D349" s="24" t="s">
        <v>1286</v>
      </c>
      <c r="E349" s="24" t="s">
        <v>1289</v>
      </c>
      <c r="F349" s="25" t="s">
        <v>68</v>
      </c>
      <c r="G349" s="24" t="s">
        <v>69</v>
      </c>
      <c r="H349" s="24" t="s">
        <v>70</v>
      </c>
      <c r="I349" s="25" t="s">
        <v>505</v>
      </c>
      <c r="J349" s="25" t="s">
        <v>57</v>
      </c>
      <c r="K349" s="25" t="s">
        <v>1290</v>
      </c>
      <c r="L349" s="25" t="s">
        <v>73</v>
      </c>
      <c r="M349" s="25" t="s">
        <v>868</v>
      </c>
      <c r="N349" s="25" t="s">
        <v>465</v>
      </c>
      <c r="O349" s="25" t="s">
        <v>63</v>
      </c>
      <c r="P349" s="25" t="s">
        <v>63</v>
      </c>
    </row>
    <row r="350" ht="20" customHeight="1" spans="1:16" x14ac:dyDescent="0.25">
      <c r="A350" s="21" t="s">
        <v>1291</v>
      </c>
      <c r="B350" s="21" t="s">
        <v>1286</v>
      </c>
      <c r="C350" s="21" t="s">
        <v>1292</v>
      </c>
      <c r="D350" s="21" t="s">
        <v>1286</v>
      </c>
      <c r="E350" s="21" t="s">
        <v>783</v>
      </c>
      <c r="F350" s="22" t="s">
        <v>53</v>
      </c>
      <c r="G350" s="21" t="s">
        <v>105</v>
      </c>
      <c r="H350" s="21" t="s">
        <v>610</v>
      </c>
      <c r="I350" s="22" t="s">
        <v>223</v>
      </c>
      <c r="J350" s="22" t="s">
        <v>57</v>
      </c>
      <c r="K350" s="22" t="s">
        <v>1293</v>
      </c>
      <c r="L350" s="22" t="s">
        <v>73</v>
      </c>
      <c r="M350" s="22" t="s">
        <v>616</v>
      </c>
      <c r="N350" s="22" t="s">
        <v>465</v>
      </c>
      <c r="O350" s="22" t="s">
        <v>63</v>
      </c>
      <c r="P350" s="22" t="s">
        <v>63</v>
      </c>
    </row>
    <row r="351" ht="20" customHeight="1" spans="1:16" s="23" customFormat="1" x14ac:dyDescent="0.25">
      <c r="A351" s="24" t="s">
        <v>1294</v>
      </c>
      <c r="B351" s="24" t="s">
        <v>1295</v>
      </c>
      <c r="C351" s="24" t="s">
        <v>1296</v>
      </c>
      <c r="D351" s="24" t="s">
        <v>1297</v>
      </c>
      <c r="E351" s="24" t="s">
        <v>1298</v>
      </c>
      <c r="F351" s="25" t="s">
        <v>68</v>
      </c>
      <c r="G351" s="24" t="s">
        <v>69</v>
      </c>
      <c r="H351" s="24" t="s">
        <v>70</v>
      </c>
      <c r="I351" s="25" t="s">
        <v>71</v>
      </c>
      <c r="J351" s="25" t="s">
        <v>57</v>
      </c>
      <c r="K351" s="25" t="s">
        <v>1299</v>
      </c>
      <c r="L351" s="25" t="s">
        <v>534</v>
      </c>
      <c r="M351" s="25" t="s">
        <v>616</v>
      </c>
      <c r="N351" s="25" t="s">
        <v>465</v>
      </c>
      <c r="O351" s="25" t="s">
        <v>63</v>
      </c>
      <c r="P351" s="25" t="s">
        <v>63</v>
      </c>
    </row>
    <row r="352" ht="20" customHeight="1" spans="1:16" x14ac:dyDescent="0.25">
      <c r="A352" s="21" t="s">
        <v>1300</v>
      </c>
      <c r="B352" s="21" t="s">
        <v>1295</v>
      </c>
      <c r="C352" s="21" t="s">
        <v>93</v>
      </c>
      <c r="D352" s="21" t="s">
        <v>1295</v>
      </c>
      <c r="E352" s="21" t="s">
        <v>1218</v>
      </c>
      <c r="F352" s="22" t="s">
        <v>53</v>
      </c>
      <c r="G352" s="21" t="s">
        <v>54</v>
      </c>
      <c r="H352" s="21" t="s">
        <v>55</v>
      </c>
      <c r="I352" s="22" t="s">
        <v>616</v>
      </c>
      <c r="J352" s="22" t="s">
        <v>57</v>
      </c>
      <c r="K352" s="22" t="s">
        <v>775</v>
      </c>
      <c r="L352" s="22" t="s">
        <v>73</v>
      </c>
      <c r="M352" s="22" t="s">
        <v>616</v>
      </c>
      <c r="N352" s="22" t="s">
        <v>465</v>
      </c>
      <c r="O352" s="22" t="s">
        <v>63</v>
      </c>
      <c r="P352" s="22" t="s">
        <v>63</v>
      </c>
    </row>
    <row r="353" ht="20" customHeight="1" spans="1:16" s="23" customFormat="1" x14ac:dyDescent="0.25">
      <c r="A353" s="24" t="s">
        <v>1301</v>
      </c>
      <c r="B353" s="24" t="s">
        <v>1295</v>
      </c>
      <c r="C353" s="24" t="s">
        <v>1302</v>
      </c>
      <c r="D353" s="24" t="s">
        <v>1295</v>
      </c>
      <c r="E353" s="24" t="s">
        <v>1303</v>
      </c>
      <c r="F353" s="25" t="s">
        <v>53</v>
      </c>
      <c r="G353" s="24" t="s">
        <v>54</v>
      </c>
      <c r="H353" s="24" t="s">
        <v>55</v>
      </c>
      <c r="I353" s="25" t="s">
        <v>1205</v>
      </c>
      <c r="J353" s="25" t="s">
        <v>57</v>
      </c>
      <c r="K353" s="25" t="s">
        <v>260</v>
      </c>
      <c r="L353" s="25" t="s">
        <v>73</v>
      </c>
      <c r="M353" s="25" t="s">
        <v>420</v>
      </c>
      <c r="N353" s="25" t="s">
        <v>465</v>
      </c>
      <c r="O353" s="25" t="s">
        <v>63</v>
      </c>
      <c r="P353" s="25" t="s">
        <v>63</v>
      </c>
    </row>
    <row r="354" ht="20" customHeight="1" spans="1:16" x14ac:dyDescent="0.25">
      <c r="A354" s="21" t="s">
        <v>1304</v>
      </c>
      <c r="B354" s="21" t="s">
        <v>1295</v>
      </c>
      <c r="C354" s="21" t="s">
        <v>1010</v>
      </c>
      <c r="D354" s="21" t="s">
        <v>1295</v>
      </c>
      <c r="E354" s="21" t="s">
        <v>1305</v>
      </c>
      <c r="F354" s="22" t="s">
        <v>53</v>
      </c>
      <c r="G354" s="21" t="s">
        <v>105</v>
      </c>
      <c r="H354" s="21" t="s">
        <v>610</v>
      </c>
      <c r="I354" s="22" t="s">
        <v>259</v>
      </c>
      <c r="J354" s="22" t="s">
        <v>57</v>
      </c>
      <c r="K354" s="22" t="s">
        <v>58</v>
      </c>
      <c r="L354" s="22" t="s">
        <v>73</v>
      </c>
      <c r="M354" s="22" t="s">
        <v>160</v>
      </c>
      <c r="N354" s="22" t="s">
        <v>426</v>
      </c>
      <c r="O354" s="22" t="s">
        <v>63</v>
      </c>
      <c r="P354" s="22" t="s">
        <v>63</v>
      </c>
    </row>
    <row r="355" ht="20" customHeight="1" spans="1:16" s="23" customFormat="1" x14ac:dyDescent="0.25">
      <c r="A355" s="24" t="s">
        <v>1306</v>
      </c>
      <c r="B355" s="24" t="s">
        <v>1295</v>
      </c>
      <c r="C355" s="24" t="s">
        <v>1307</v>
      </c>
      <c r="D355" s="24" t="s">
        <v>1295</v>
      </c>
      <c r="E355" s="24" t="s">
        <v>574</v>
      </c>
      <c r="F355" s="25" t="s">
        <v>436</v>
      </c>
      <c r="G355" s="24" t="s">
        <v>437</v>
      </c>
      <c r="H355" s="24" t="s">
        <v>438</v>
      </c>
      <c r="I355" s="25" t="s">
        <v>683</v>
      </c>
      <c r="J355" s="25" t="s">
        <v>57</v>
      </c>
      <c r="K355" s="25" t="s">
        <v>58</v>
      </c>
      <c r="L355" s="25" t="s">
        <v>73</v>
      </c>
      <c r="M355" s="25" t="s">
        <v>160</v>
      </c>
      <c r="N355" s="25" t="s">
        <v>426</v>
      </c>
      <c r="O355" s="25" t="s">
        <v>63</v>
      </c>
      <c r="P355" s="25" t="s">
        <v>63</v>
      </c>
    </row>
    <row r="356" ht="20" customHeight="1" spans="1:16" x14ac:dyDescent="0.25">
      <c r="A356" s="21" t="s">
        <v>1308</v>
      </c>
      <c r="B356" s="21" t="s">
        <v>1295</v>
      </c>
      <c r="C356" s="21" t="s">
        <v>109</v>
      </c>
      <c r="D356" s="21" t="s">
        <v>1295</v>
      </c>
      <c r="E356" s="21" t="s">
        <v>574</v>
      </c>
      <c r="F356" s="22" t="s">
        <v>53</v>
      </c>
      <c r="G356" s="21" t="s">
        <v>105</v>
      </c>
      <c r="H356" s="21" t="s">
        <v>610</v>
      </c>
      <c r="I356" s="22" t="s">
        <v>307</v>
      </c>
      <c r="J356" s="22" t="s">
        <v>57</v>
      </c>
      <c r="K356" s="22" t="s">
        <v>260</v>
      </c>
      <c r="L356" s="22" t="s">
        <v>73</v>
      </c>
      <c r="M356" s="22" t="s">
        <v>420</v>
      </c>
      <c r="N356" s="22" t="s">
        <v>465</v>
      </c>
      <c r="O356" s="22" t="s">
        <v>63</v>
      </c>
      <c r="P356" s="22" t="s">
        <v>63</v>
      </c>
    </row>
    <row r="357" ht="20" customHeight="1" spans="1:16" s="23" customFormat="1" x14ac:dyDescent="0.25">
      <c r="A357" s="24" t="s">
        <v>1309</v>
      </c>
      <c r="B357" s="24" t="s">
        <v>1295</v>
      </c>
      <c r="C357" s="24" t="s">
        <v>679</v>
      </c>
      <c r="D357" s="24" t="s">
        <v>1295</v>
      </c>
      <c r="E357" s="24" t="s">
        <v>1310</v>
      </c>
      <c r="F357" s="25" t="s">
        <v>53</v>
      </c>
      <c r="G357" s="24" t="s">
        <v>105</v>
      </c>
      <c r="H357" s="24" t="s">
        <v>610</v>
      </c>
      <c r="I357" s="25" t="s">
        <v>88</v>
      </c>
      <c r="J357" s="25" t="s">
        <v>57</v>
      </c>
      <c r="K357" s="25" t="s">
        <v>58</v>
      </c>
      <c r="L357" s="25" t="s">
        <v>73</v>
      </c>
      <c r="M357" s="25" t="s">
        <v>420</v>
      </c>
      <c r="N357" s="25" t="s">
        <v>465</v>
      </c>
      <c r="O357" s="25" t="s">
        <v>63</v>
      </c>
      <c r="P357" s="25" t="s">
        <v>63</v>
      </c>
    </row>
    <row r="358" ht="20" customHeight="1" spans="1:16" x14ac:dyDescent="0.25">
      <c r="A358" s="21" t="s">
        <v>1311</v>
      </c>
      <c r="B358" s="21" t="s">
        <v>1295</v>
      </c>
      <c r="C358" s="21" t="s">
        <v>685</v>
      </c>
      <c r="D358" s="21" t="s">
        <v>1295</v>
      </c>
      <c r="E358" s="21" t="s">
        <v>656</v>
      </c>
      <c r="F358" s="22" t="s">
        <v>436</v>
      </c>
      <c r="G358" s="21" t="s">
        <v>437</v>
      </c>
      <c r="H358" s="21" t="s">
        <v>438</v>
      </c>
      <c r="I358" s="22" t="s">
        <v>186</v>
      </c>
      <c r="J358" s="22" t="s">
        <v>57</v>
      </c>
      <c r="K358" s="22" t="s">
        <v>72</v>
      </c>
      <c r="L358" s="22" t="s">
        <v>73</v>
      </c>
      <c r="M358" s="22" t="s">
        <v>420</v>
      </c>
      <c r="N358" s="22" t="s">
        <v>465</v>
      </c>
      <c r="O358" s="22" t="s">
        <v>63</v>
      </c>
      <c r="P358" s="22" t="s">
        <v>63</v>
      </c>
    </row>
    <row r="359" ht="20" customHeight="1" spans="1:16" s="23" customFormat="1" x14ac:dyDescent="0.25">
      <c r="A359" s="24" t="s">
        <v>1312</v>
      </c>
      <c r="B359" s="24" t="s">
        <v>1297</v>
      </c>
      <c r="C359" s="24" t="s">
        <v>1313</v>
      </c>
      <c r="D359" s="24" t="s">
        <v>1297</v>
      </c>
      <c r="E359" s="24" t="s">
        <v>1314</v>
      </c>
      <c r="F359" s="25" t="s">
        <v>53</v>
      </c>
      <c r="G359" s="24" t="s">
        <v>54</v>
      </c>
      <c r="H359" s="24" t="s">
        <v>55</v>
      </c>
      <c r="I359" s="25" t="s">
        <v>1140</v>
      </c>
      <c r="J359" s="25" t="s">
        <v>57</v>
      </c>
      <c r="K359" s="25" t="s">
        <v>1315</v>
      </c>
      <c r="L359" s="25" t="s">
        <v>73</v>
      </c>
      <c r="M359" s="25" t="s">
        <v>354</v>
      </c>
      <c r="N359" s="25" t="s">
        <v>355</v>
      </c>
      <c r="O359" s="25" t="s">
        <v>63</v>
      </c>
      <c r="P359" s="25" t="s">
        <v>63</v>
      </c>
    </row>
    <row r="360" ht="20" customHeight="1" spans="1:16" x14ac:dyDescent="0.25">
      <c r="A360" s="21" t="s">
        <v>1316</v>
      </c>
      <c r="B360" s="21" t="s">
        <v>1297</v>
      </c>
      <c r="C360" s="21" t="s">
        <v>1317</v>
      </c>
      <c r="D360" s="21" t="s">
        <v>1297</v>
      </c>
      <c r="E360" s="21" t="s">
        <v>1318</v>
      </c>
      <c r="F360" s="22" t="s">
        <v>53</v>
      </c>
      <c r="G360" s="21" t="s">
        <v>270</v>
      </c>
      <c r="H360" s="21" t="s">
        <v>610</v>
      </c>
      <c r="I360" s="22" t="s">
        <v>1205</v>
      </c>
      <c r="J360" s="22" t="s">
        <v>57</v>
      </c>
      <c r="K360" s="22" t="s">
        <v>279</v>
      </c>
      <c r="L360" s="22" t="s">
        <v>73</v>
      </c>
      <c r="M360" s="22" t="s">
        <v>868</v>
      </c>
      <c r="N360" s="22" t="s">
        <v>465</v>
      </c>
      <c r="O360" s="22" t="s">
        <v>63</v>
      </c>
      <c r="P360" s="22" t="s">
        <v>63</v>
      </c>
    </row>
    <row r="361" ht="20" customHeight="1" spans="1:16" s="23" customFormat="1" x14ac:dyDescent="0.25">
      <c r="A361" s="24" t="s">
        <v>1319</v>
      </c>
      <c r="B361" s="24" t="s">
        <v>1320</v>
      </c>
      <c r="C361" s="24" t="s">
        <v>1321</v>
      </c>
      <c r="D361" s="24" t="s">
        <v>1297</v>
      </c>
      <c r="E361" s="24" t="s">
        <v>666</v>
      </c>
      <c r="F361" s="25" t="s">
        <v>53</v>
      </c>
      <c r="G361" s="24" t="s">
        <v>54</v>
      </c>
      <c r="H361" s="24" t="s">
        <v>55</v>
      </c>
      <c r="I361" s="25" t="s">
        <v>132</v>
      </c>
      <c r="J361" s="25" t="s">
        <v>57</v>
      </c>
      <c r="K361" s="25" t="s">
        <v>1102</v>
      </c>
      <c r="L361" s="25" t="s">
        <v>331</v>
      </c>
      <c r="M361" s="25" t="s">
        <v>616</v>
      </c>
      <c r="N361" s="25" t="s">
        <v>465</v>
      </c>
      <c r="O361" s="25" t="s">
        <v>63</v>
      </c>
      <c r="P361" s="25" t="s">
        <v>63</v>
      </c>
    </row>
    <row r="362" ht="20" customHeight="1" spans="1:16" x14ac:dyDescent="0.25">
      <c r="A362" s="21" t="s">
        <v>1322</v>
      </c>
      <c r="B362" s="21" t="s">
        <v>1320</v>
      </c>
      <c r="C362" s="21" t="s">
        <v>93</v>
      </c>
      <c r="D362" s="21" t="s">
        <v>1320</v>
      </c>
      <c r="E362" s="21" t="s">
        <v>1242</v>
      </c>
      <c r="F362" s="22" t="s">
        <v>53</v>
      </c>
      <c r="G362" s="21" t="s">
        <v>54</v>
      </c>
      <c r="H362" s="21" t="s">
        <v>55</v>
      </c>
      <c r="I362" s="22" t="s">
        <v>71</v>
      </c>
      <c r="J362" s="22" t="s">
        <v>57</v>
      </c>
      <c r="K362" s="22" t="s">
        <v>775</v>
      </c>
      <c r="L362" s="22" t="s">
        <v>73</v>
      </c>
      <c r="M362" s="22" t="s">
        <v>616</v>
      </c>
      <c r="N362" s="22" t="s">
        <v>465</v>
      </c>
      <c r="O362" s="22" t="s">
        <v>63</v>
      </c>
      <c r="P362" s="22" t="s">
        <v>63</v>
      </c>
    </row>
    <row r="363" ht="20" customHeight="1" spans="1:16" s="23" customFormat="1" x14ac:dyDescent="0.25">
      <c r="A363" s="24" t="s">
        <v>1323</v>
      </c>
      <c r="B363" s="24" t="s">
        <v>1320</v>
      </c>
      <c r="C363" s="24" t="s">
        <v>899</v>
      </c>
      <c r="D363" s="24" t="s">
        <v>1320</v>
      </c>
      <c r="E363" s="24" t="s">
        <v>1130</v>
      </c>
      <c r="F363" s="25" t="s">
        <v>68</v>
      </c>
      <c r="G363" s="24" t="s">
        <v>69</v>
      </c>
      <c r="H363" s="24" t="s">
        <v>70</v>
      </c>
      <c r="I363" s="25" t="s">
        <v>71</v>
      </c>
      <c r="J363" s="25" t="s">
        <v>57</v>
      </c>
      <c r="K363" s="25" t="s">
        <v>260</v>
      </c>
      <c r="L363" s="25" t="s">
        <v>425</v>
      </c>
      <c r="M363" s="25" t="s">
        <v>420</v>
      </c>
      <c r="N363" s="25" t="s">
        <v>465</v>
      </c>
      <c r="O363" s="25" t="s">
        <v>63</v>
      </c>
      <c r="P363" s="25" t="s">
        <v>63</v>
      </c>
    </row>
    <row r="364" ht="20" customHeight="1" spans="1:16" x14ac:dyDescent="0.25">
      <c r="A364" s="21" t="s">
        <v>1324</v>
      </c>
      <c r="B364" s="21" t="s">
        <v>1325</v>
      </c>
      <c r="C364" s="21" t="s">
        <v>886</v>
      </c>
      <c r="D364" s="21" t="s">
        <v>1325</v>
      </c>
      <c r="E364" s="21" t="s">
        <v>1326</v>
      </c>
      <c r="F364" s="22" t="s">
        <v>53</v>
      </c>
      <c r="G364" s="21" t="s">
        <v>105</v>
      </c>
      <c r="H364" s="21" t="s">
        <v>55</v>
      </c>
      <c r="I364" s="22" t="s">
        <v>132</v>
      </c>
      <c r="J364" s="22" t="s">
        <v>57</v>
      </c>
      <c r="K364" s="22" t="s">
        <v>775</v>
      </c>
      <c r="L364" s="22" t="s">
        <v>331</v>
      </c>
      <c r="M364" s="22" t="s">
        <v>616</v>
      </c>
      <c r="N364" s="22" t="s">
        <v>465</v>
      </c>
      <c r="O364" s="22" t="s">
        <v>63</v>
      </c>
      <c r="P364" s="22" t="s">
        <v>63</v>
      </c>
    </row>
    <row r="365" ht="20" customHeight="1" spans="1:16" s="23" customFormat="1" x14ac:dyDescent="0.25">
      <c r="A365" s="24" t="s">
        <v>1327</v>
      </c>
      <c r="B365" s="24" t="s">
        <v>1196</v>
      </c>
      <c r="C365" s="24" t="s">
        <v>1328</v>
      </c>
      <c r="D365" s="24" t="s">
        <v>1196</v>
      </c>
      <c r="E365" s="24" t="s">
        <v>1329</v>
      </c>
      <c r="F365" s="25" t="s">
        <v>53</v>
      </c>
      <c r="G365" s="24" t="s">
        <v>105</v>
      </c>
      <c r="H365" s="24" t="s">
        <v>55</v>
      </c>
      <c r="I365" s="25" t="s">
        <v>71</v>
      </c>
      <c r="J365" s="25" t="s">
        <v>57</v>
      </c>
      <c r="K365" s="25" t="s">
        <v>1102</v>
      </c>
      <c r="L365" s="25" t="s">
        <v>73</v>
      </c>
      <c r="M365" s="25" t="s">
        <v>616</v>
      </c>
      <c r="N365" s="25" t="s">
        <v>465</v>
      </c>
      <c r="O365" s="25" t="s">
        <v>63</v>
      </c>
      <c r="P365" s="25" t="s">
        <v>63</v>
      </c>
    </row>
    <row r="366" ht="20" customHeight="1" spans="1:16" x14ac:dyDescent="0.25">
      <c r="A366" s="21" t="s">
        <v>1330</v>
      </c>
      <c r="B366" s="21" t="s">
        <v>1196</v>
      </c>
      <c r="C366" s="21" t="s">
        <v>1331</v>
      </c>
      <c r="D366" s="21" t="s">
        <v>1196</v>
      </c>
      <c r="E366" s="21" t="s">
        <v>1332</v>
      </c>
      <c r="F366" s="22" t="s">
        <v>53</v>
      </c>
      <c r="G366" s="21" t="s">
        <v>54</v>
      </c>
      <c r="H366" s="21" t="s">
        <v>55</v>
      </c>
      <c r="I366" s="22" t="s">
        <v>56</v>
      </c>
      <c r="J366" s="22" t="s">
        <v>57</v>
      </c>
      <c r="K366" s="22" t="s">
        <v>133</v>
      </c>
      <c r="L366" s="22" t="s">
        <v>73</v>
      </c>
      <c r="M366" s="22" t="s">
        <v>420</v>
      </c>
      <c r="N366" s="22" t="s">
        <v>465</v>
      </c>
      <c r="O366" s="22" t="s">
        <v>63</v>
      </c>
      <c r="P366" s="22" t="s">
        <v>63</v>
      </c>
    </row>
    <row r="367" ht="20" customHeight="1" spans="1:16" s="23" customFormat="1" x14ac:dyDescent="0.25">
      <c r="A367" s="24" t="s">
        <v>1333</v>
      </c>
      <c r="B367" s="24" t="s">
        <v>1196</v>
      </c>
      <c r="C367" s="24" t="s">
        <v>1334</v>
      </c>
      <c r="D367" s="24" t="s">
        <v>1196</v>
      </c>
      <c r="E367" s="24" t="s">
        <v>1332</v>
      </c>
      <c r="F367" s="25" t="s">
        <v>53</v>
      </c>
      <c r="G367" s="24" t="s">
        <v>105</v>
      </c>
      <c r="H367" s="24" t="s">
        <v>610</v>
      </c>
      <c r="I367" s="25" t="s">
        <v>113</v>
      </c>
      <c r="J367" s="25" t="s">
        <v>57</v>
      </c>
      <c r="K367" s="25" t="s">
        <v>133</v>
      </c>
      <c r="L367" s="25" t="s">
        <v>73</v>
      </c>
      <c r="M367" s="25" t="s">
        <v>420</v>
      </c>
      <c r="N367" s="25" t="s">
        <v>465</v>
      </c>
      <c r="O367" s="25" t="s">
        <v>63</v>
      </c>
      <c r="P367" s="25" t="s">
        <v>63</v>
      </c>
    </row>
    <row r="368" ht="20" customHeight="1" spans="1:16" x14ac:dyDescent="0.25">
      <c r="A368" s="21" t="s">
        <v>1335</v>
      </c>
      <c r="B368" s="21" t="s">
        <v>1196</v>
      </c>
      <c r="C368" s="21" t="s">
        <v>66</v>
      </c>
      <c r="D368" s="21" t="s">
        <v>1196</v>
      </c>
      <c r="E368" s="21" t="s">
        <v>450</v>
      </c>
      <c r="F368" s="22" t="s">
        <v>731</v>
      </c>
      <c r="G368" s="21" t="s">
        <v>732</v>
      </c>
      <c r="H368" s="21" t="s">
        <v>733</v>
      </c>
      <c r="I368" s="22" t="s">
        <v>71</v>
      </c>
      <c r="J368" s="22" t="s">
        <v>57</v>
      </c>
      <c r="K368" s="22" t="s">
        <v>260</v>
      </c>
      <c r="L368" s="22" t="s">
        <v>73</v>
      </c>
      <c r="M368" s="22" t="s">
        <v>420</v>
      </c>
      <c r="N368" s="22" t="s">
        <v>465</v>
      </c>
      <c r="O368" s="22" t="s">
        <v>63</v>
      </c>
      <c r="P368" s="22" t="s">
        <v>63</v>
      </c>
    </row>
    <row r="369" ht="20" customHeight="1" spans="1:16" s="23" customFormat="1" x14ac:dyDescent="0.25">
      <c r="A369" s="24" t="s">
        <v>1336</v>
      </c>
      <c r="B369" s="24" t="s">
        <v>1297</v>
      </c>
      <c r="C369" s="24" t="s">
        <v>626</v>
      </c>
      <c r="D369" s="24" t="s">
        <v>1297</v>
      </c>
      <c r="E369" s="24" t="s">
        <v>1337</v>
      </c>
      <c r="F369" s="25" t="s">
        <v>53</v>
      </c>
      <c r="G369" s="24" t="s">
        <v>105</v>
      </c>
      <c r="H369" s="24" t="s">
        <v>55</v>
      </c>
      <c r="I369" s="25" t="s">
        <v>301</v>
      </c>
      <c r="J369" s="25" t="s">
        <v>57</v>
      </c>
      <c r="K369" s="25" t="s">
        <v>1338</v>
      </c>
      <c r="L369" s="25" t="s">
        <v>73</v>
      </c>
      <c r="M369" s="25" t="s">
        <v>60</v>
      </c>
      <c r="N369" s="25" t="s">
        <v>61</v>
      </c>
      <c r="O369" s="25" t="s">
        <v>63</v>
      </c>
      <c r="P369" s="25" t="s">
        <v>63</v>
      </c>
    </row>
    <row r="370" ht="20" customHeight="1" spans="1:16" x14ac:dyDescent="0.25">
      <c r="A370" s="21" t="s">
        <v>1339</v>
      </c>
      <c r="B370" s="21" t="s">
        <v>1196</v>
      </c>
      <c r="C370" s="21" t="s">
        <v>1094</v>
      </c>
      <c r="D370" s="21" t="s">
        <v>1196</v>
      </c>
      <c r="E370" s="21" t="s">
        <v>245</v>
      </c>
      <c r="F370" s="22" t="s">
        <v>85</v>
      </c>
      <c r="G370" s="21" t="s">
        <v>987</v>
      </c>
      <c r="H370" s="21" t="s">
        <v>139</v>
      </c>
      <c r="I370" s="22" t="s">
        <v>71</v>
      </c>
      <c r="J370" s="22" t="s">
        <v>57</v>
      </c>
      <c r="K370" s="22" t="s">
        <v>321</v>
      </c>
      <c r="L370" s="22" t="s">
        <v>73</v>
      </c>
      <c r="M370" s="22" t="s">
        <v>420</v>
      </c>
      <c r="N370" s="22" t="s">
        <v>465</v>
      </c>
      <c r="O370" s="22" t="s">
        <v>63</v>
      </c>
      <c r="P370" s="22" t="s">
        <v>63</v>
      </c>
    </row>
    <row r="371" ht="20" customHeight="1" spans="1:16" s="23" customFormat="1" x14ac:dyDescent="0.25">
      <c r="A371" s="24" t="s">
        <v>1340</v>
      </c>
      <c r="B371" s="24" t="s">
        <v>1196</v>
      </c>
      <c r="C371" s="24" t="s">
        <v>1341</v>
      </c>
      <c r="D371" s="24" t="s">
        <v>1196</v>
      </c>
      <c r="E371" s="24" t="s">
        <v>1197</v>
      </c>
      <c r="F371" s="25" t="s">
        <v>731</v>
      </c>
      <c r="G371" s="24" t="s">
        <v>732</v>
      </c>
      <c r="H371" s="24" t="s">
        <v>733</v>
      </c>
      <c r="I371" s="25" t="s">
        <v>314</v>
      </c>
      <c r="J371" s="25" t="s">
        <v>57</v>
      </c>
      <c r="K371" s="25" t="s">
        <v>596</v>
      </c>
      <c r="L371" s="25" t="s">
        <v>1342</v>
      </c>
      <c r="M371" s="25" t="s">
        <v>235</v>
      </c>
      <c r="N371" s="25" t="s">
        <v>389</v>
      </c>
      <c r="O371" s="25" t="s">
        <v>63</v>
      </c>
      <c r="P371" s="25" t="s">
        <v>63</v>
      </c>
    </row>
    <row r="372" ht="20" customHeight="1" spans="1:16" x14ac:dyDescent="0.25">
      <c r="A372" s="21" t="s">
        <v>1343</v>
      </c>
      <c r="B372" s="21" t="s">
        <v>1196</v>
      </c>
      <c r="C372" s="21" t="s">
        <v>328</v>
      </c>
      <c r="D372" s="21" t="s">
        <v>1196</v>
      </c>
      <c r="E372" s="21" t="s">
        <v>1229</v>
      </c>
      <c r="F372" s="22" t="s">
        <v>53</v>
      </c>
      <c r="G372" s="21" t="s">
        <v>54</v>
      </c>
      <c r="H372" s="21" t="s">
        <v>55</v>
      </c>
      <c r="I372" s="22" t="s">
        <v>153</v>
      </c>
      <c r="J372" s="22" t="s">
        <v>57</v>
      </c>
      <c r="K372" s="22" t="s">
        <v>1156</v>
      </c>
      <c r="L372" s="22" t="s">
        <v>140</v>
      </c>
      <c r="M372" s="22" t="s">
        <v>63</v>
      </c>
      <c r="N372" s="22" t="s">
        <v>63</v>
      </c>
      <c r="O372" s="22" t="s">
        <v>63</v>
      </c>
      <c r="P372" s="22" t="s">
        <v>63</v>
      </c>
    </row>
    <row r="373" ht="20" customHeight="1" spans="1:16" s="23" customFormat="1" x14ac:dyDescent="0.25">
      <c r="A373" s="24" t="s">
        <v>1344</v>
      </c>
      <c r="B373" s="24" t="s">
        <v>1345</v>
      </c>
      <c r="C373" s="24" t="s">
        <v>935</v>
      </c>
      <c r="D373" s="24" t="s">
        <v>1346</v>
      </c>
      <c r="E373" s="24" t="s">
        <v>1347</v>
      </c>
      <c r="F373" s="25" t="s">
        <v>53</v>
      </c>
      <c r="G373" s="24" t="s">
        <v>131</v>
      </c>
      <c r="H373" s="24" t="s">
        <v>55</v>
      </c>
      <c r="I373" s="25" t="s">
        <v>868</v>
      </c>
      <c r="J373" s="25" t="s">
        <v>57</v>
      </c>
      <c r="K373" s="25" t="s">
        <v>570</v>
      </c>
      <c r="L373" s="25" t="s">
        <v>1348</v>
      </c>
      <c r="M373" s="25" t="s">
        <v>499</v>
      </c>
      <c r="N373" s="25" t="s">
        <v>465</v>
      </c>
      <c r="O373" s="25" t="s">
        <v>63</v>
      </c>
      <c r="P373" s="25" t="s">
        <v>63</v>
      </c>
    </row>
    <row r="374" ht="20" customHeight="1" spans="1:16" x14ac:dyDescent="0.25">
      <c r="A374" s="21" t="s">
        <v>1349</v>
      </c>
      <c r="B374" s="21" t="s">
        <v>1345</v>
      </c>
      <c r="C374" s="21" t="s">
        <v>1154</v>
      </c>
      <c r="D374" s="21" t="s">
        <v>1346</v>
      </c>
      <c r="E374" s="21" t="s">
        <v>644</v>
      </c>
      <c r="F374" s="22" t="s">
        <v>1269</v>
      </c>
      <c r="G374" s="21" t="s">
        <v>833</v>
      </c>
      <c r="H374" s="21" t="s">
        <v>1350</v>
      </c>
      <c r="I374" s="22" t="s">
        <v>314</v>
      </c>
      <c r="J374" s="22" t="s">
        <v>57</v>
      </c>
      <c r="K374" s="22" t="s">
        <v>1351</v>
      </c>
      <c r="L374" s="22" t="s">
        <v>1352</v>
      </c>
      <c r="M374" s="22" t="s">
        <v>499</v>
      </c>
      <c r="N374" s="22" t="s">
        <v>465</v>
      </c>
      <c r="O374" s="22" t="s">
        <v>63</v>
      </c>
      <c r="P374" s="22" t="s">
        <v>63</v>
      </c>
    </row>
    <row r="375" ht="20" customHeight="1" spans="1:16" s="23" customFormat="1" x14ac:dyDescent="0.25">
      <c r="A375" s="24" t="s">
        <v>1353</v>
      </c>
      <c r="B375" s="24" t="s">
        <v>1345</v>
      </c>
      <c r="C375" s="24" t="s">
        <v>372</v>
      </c>
      <c r="D375" s="24" t="s">
        <v>1345</v>
      </c>
      <c r="E375" s="24" t="s">
        <v>1080</v>
      </c>
      <c r="F375" s="25" t="s">
        <v>53</v>
      </c>
      <c r="G375" s="24" t="s">
        <v>54</v>
      </c>
      <c r="H375" s="24" t="s">
        <v>55</v>
      </c>
      <c r="I375" s="25" t="s">
        <v>140</v>
      </c>
      <c r="J375" s="25" t="s">
        <v>57</v>
      </c>
      <c r="K375" s="25" t="s">
        <v>1354</v>
      </c>
      <c r="L375" s="25" t="s">
        <v>73</v>
      </c>
      <c r="M375" s="25" t="s">
        <v>201</v>
      </c>
      <c r="N375" s="25" t="s">
        <v>974</v>
      </c>
      <c r="O375" s="25" t="s">
        <v>63</v>
      </c>
      <c r="P375" s="25" t="s">
        <v>63</v>
      </c>
    </row>
    <row r="376" ht="20" customHeight="1" spans="1:16" x14ac:dyDescent="0.25">
      <c r="A376" s="21" t="s">
        <v>1355</v>
      </c>
      <c r="B376" s="21" t="s">
        <v>1345</v>
      </c>
      <c r="C376" s="21" t="s">
        <v>1356</v>
      </c>
      <c r="D376" s="21" t="s">
        <v>1345</v>
      </c>
      <c r="E376" s="21" t="s">
        <v>1357</v>
      </c>
      <c r="F376" s="22" t="s">
        <v>1358</v>
      </c>
      <c r="G376" s="21" t="s">
        <v>732</v>
      </c>
      <c r="H376" s="21" t="s">
        <v>87</v>
      </c>
      <c r="I376" s="22" t="s">
        <v>1205</v>
      </c>
      <c r="J376" s="22" t="s">
        <v>57</v>
      </c>
      <c r="K376" s="22" t="s">
        <v>834</v>
      </c>
      <c r="L376" s="22" t="s">
        <v>73</v>
      </c>
      <c r="M376" s="22" t="s">
        <v>201</v>
      </c>
      <c r="N376" s="22" t="s">
        <v>974</v>
      </c>
      <c r="O376" s="22" t="s">
        <v>63</v>
      </c>
      <c r="P376" s="22" t="s">
        <v>63</v>
      </c>
    </row>
    <row r="377" ht="20" customHeight="1" spans="1:16" s="23" customFormat="1" x14ac:dyDescent="0.25">
      <c r="A377" s="24" t="s">
        <v>1359</v>
      </c>
      <c r="B377" s="24" t="s">
        <v>1345</v>
      </c>
      <c r="C377" s="24" t="s">
        <v>1356</v>
      </c>
      <c r="D377" s="24" t="s">
        <v>1345</v>
      </c>
      <c r="E377" s="24" t="s">
        <v>1360</v>
      </c>
      <c r="F377" s="25" t="s">
        <v>85</v>
      </c>
      <c r="G377" s="24" t="s">
        <v>86</v>
      </c>
      <c r="H377" s="24" t="s">
        <v>87</v>
      </c>
      <c r="I377" s="25" t="s">
        <v>763</v>
      </c>
      <c r="J377" s="25" t="s">
        <v>57</v>
      </c>
      <c r="K377" s="25" t="s">
        <v>834</v>
      </c>
      <c r="L377" s="25" t="s">
        <v>73</v>
      </c>
      <c r="M377" s="25" t="s">
        <v>201</v>
      </c>
      <c r="N377" s="25" t="s">
        <v>974</v>
      </c>
      <c r="O377" s="25" t="s">
        <v>63</v>
      </c>
      <c r="P377" s="25" t="s">
        <v>63</v>
      </c>
    </row>
    <row r="378" ht="20" customHeight="1" spans="1:16" x14ac:dyDescent="0.25">
      <c r="A378" s="21" t="s">
        <v>1361</v>
      </c>
      <c r="B378" s="21" t="s">
        <v>1345</v>
      </c>
      <c r="C378" s="21" t="s">
        <v>740</v>
      </c>
      <c r="D378" s="21" t="s">
        <v>1345</v>
      </c>
      <c r="E378" s="21" t="s">
        <v>1362</v>
      </c>
      <c r="F378" s="22" t="s">
        <v>53</v>
      </c>
      <c r="G378" s="21" t="s">
        <v>54</v>
      </c>
      <c r="H378" s="21" t="s">
        <v>55</v>
      </c>
      <c r="I378" s="22" t="s">
        <v>56</v>
      </c>
      <c r="J378" s="22" t="s">
        <v>57</v>
      </c>
      <c r="K378" s="22" t="s">
        <v>928</v>
      </c>
      <c r="L378" s="22" t="s">
        <v>73</v>
      </c>
      <c r="M378" s="22" t="s">
        <v>464</v>
      </c>
      <c r="N378" s="22" t="s">
        <v>465</v>
      </c>
      <c r="O378" s="22" t="s">
        <v>63</v>
      </c>
      <c r="P378" s="22" t="s">
        <v>63</v>
      </c>
    </row>
    <row r="379" ht="20" customHeight="1" spans="1:16" s="23" customFormat="1" x14ac:dyDescent="0.25">
      <c r="A379" s="24" t="s">
        <v>1363</v>
      </c>
      <c r="B379" s="24" t="s">
        <v>1345</v>
      </c>
      <c r="C379" s="24" t="s">
        <v>1364</v>
      </c>
      <c r="D379" s="24" t="s">
        <v>1345</v>
      </c>
      <c r="E379" s="24" t="s">
        <v>1365</v>
      </c>
      <c r="F379" s="25" t="s">
        <v>436</v>
      </c>
      <c r="G379" s="24" t="s">
        <v>437</v>
      </c>
      <c r="H379" s="24" t="s">
        <v>438</v>
      </c>
      <c r="I379" s="25" t="s">
        <v>160</v>
      </c>
      <c r="J379" s="25" t="s">
        <v>57</v>
      </c>
      <c r="K379" s="25" t="s">
        <v>58</v>
      </c>
      <c r="L379" s="25" t="s">
        <v>73</v>
      </c>
      <c r="M379" s="25" t="s">
        <v>160</v>
      </c>
      <c r="N379" s="25" t="s">
        <v>426</v>
      </c>
      <c r="O379" s="25" t="s">
        <v>63</v>
      </c>
      <c r="P379" s="25" t="s">
        <v>63</v>
      </c>
    </row>
    <row r="380" ht="20" customHeight="1" spans="1:16" x14ac:dyDescent="0.25">
      <c r="A380" s="21" t="s">
        <v>1366</v>
      </c>
      <c r="B380" s="21" t="s">
        <v>1346</v>
      </c>
      <c r="C380" s="21" t="s">
        <v>491</v>
      </c>
      <c r="D380" s="21" t="s">
        <v>1346</v>
      </c>
      <c r="E380" s="21" t="s">
        <v>455</v>
      </c>
      <c r="F380" s="22" t="s">
        <v>53</v>
      </c>
      <c r="G380" s="21" t="s">
        <v>54</v>
      </c>
      <c r="H380" s="21" t="s">
        <v>55</v>
      </c>
      <c r="I380" s="22" t="s">
        <v>71</v>
      </c>
      <c r="J380" s="22" t="s">
        <v>57</v>
      </c>
      <c r="K380" s="22" t="s">
        <v>72</v>
      </c>
      <c r="L380" s="22" t="s">
        <v>73</v>
      </c>
      <c r="M380" s="22" t="s">
        <v>420</v>
      </c>
      <c r="N380" s="22" t="s">
        <v>465</v>
      </c>
      <c r="O380" s="22" t="s">
        <v>63</v>
      </c>
      <c r="P380" s="22" t="s">
        <v>63</v>
      </c>
    </row>
    <row r="381" ht="20" customHeight="1" spans="1:16" s="23" customFormat="1" x14ac:dyDescent="0.25">
      <c r="A381" s="24" t="s">
        <v>1367</v>
      </c>
      <c r="B381" s="24" t="s">
        <v>1346</v>
      </c>
      <c r="C381" s="24" t="s">
        <v>1064</v>
      </c>
      <c r="D381" s="24" t="s">
        <v>1346</v>
      </c>
      <c r="E381" s="24" t="s">
        <v>142</v>
      </c>
      <c r="F381" s="25" t="s">
        <v>436</v>
      </c>
      <c r="G381" s="24" t="s">
        <v>437</v>
      </c>
      <c r="H381" s="24" t="s">
        <v>438</v>
      </c>
      <c r="I381" s="25" t="s">
        <v>113</v>
      </c>
      <c r="J381" s="25" t="s">
        <v>57</v>
      </c>
      <c r="K381" s="25" t="s">
        <v>841</v>
      </c>
      <c r="L381" s="25" t="s">
        <v>73</v>
      </c>
      <c r="M381" s="25" t="s">
        <v>420</v>
      </c>
      <c r="N381" s="25" t="s">
        <v>465</v>
      </c>
      <c r="O381" s="25" t="s">
        <v>63</v>
      </c>
      <c r="P381" s="25" t="s">
        <v>63</v>
      </c>
    </row>
    <row r="382" ht="20" customHeight="1" spans="1:16" x14ac:dyDescent="0.25">
      <c r="A382" s="21" t="s">
        <v>1368</v>
      </c>
      <c r="B382" s="21" t="s">
        <v>1346</v>
      </c>
      <c r="C382" s="21" t="s">
        <v>1369</v>
      </c>
      <c r="D382" s="21" t="s">
        <v>1346</v>
      </c>
      <c r="E382" s="21" t="s">
        <v>1370</v>
      </c>
      <c r="F382" s="22" t="s">
        <v>436</v>
      </c>
      <c r="G382" s="21" t="s">
        <v>437</v>
      </c>
      <c r="H382" s="21" t="s">
        <v>438</v>
      </c>
      <c r="I382" s="22" t="s">
        <v>113</v>
      </c>
      <c r="J382" s="22" t="s">
        <v>57</v>
      </c>
      <c r="K382" s="22" t="s">
        <v>841</v>
      </c>
      <c r="L382" s="22" t="s">
        <v>73</v>
      </c>
      <c r="M382" s="22" t="s">
        <v>420</v>
      </c>
      <c r="N382" s="22" t="s">
        <v>465</v>
      </c>
      <c r="O382" s="22" t="s">
        <v>63</v>
      </c>
      <c r="P382" s="22" t="s">
        <v>63</v>
      </c>
    </row>
    <row r="383" ht="20" customHeight="1" spans="1:16" s="23" customFormat="1" x14ac:dyDescent="0.25">
      <c r="A383" s="24" t="s">
        <v>1371</v>
      </c>
      <c r="B383" s="24" t="s">
        <v>1346</v>
      </c>
      <c r="C383" s="24" t="s">
        <v>1007</v>
      </c>
      <c r="D383" s="24" t="s">
        <v>1346</v>
      </c>
      <c r="E383" s="24" t="s">
        <v>1073</v>
      </c>
      <c r="F383" s="25" t="s">
        <v>1246</v>
      </c>
      <c r="G383" s="24" t="s">
        <v>1246</v>
      </c>
      <c r="H383" s="24" t="s">
        <v>139</v>
      </c>
      <c r="I383" s="25" t="s">
        <v>1000</v>
      </c>
      <c r="J383" s="25" t="s">
        <v>57</v>
      </c>
      <c r="K383" s="25" t="s">
        <v>119</v>
      </c>
      <c r="L383" s="25" t="s">
        <v>1372</v>
      </c>
      <c r="M383" s="25" t="s">
        <v>420</v>
      </c>
      <c r="N383" s="25" t="s">
        <v>465</v>
      </c>
      <c r="O383" s="25" t="s">
        <v>63</v>
      </c>
      <c r="P383" s="25" t="s">
        <v>63</v>
      </c>
    </row>
    <row r="384" ht="20" customHeight="1" spans="1:16" x14ac:dyDescent="0.25">
      <c r="A384" s="21" t="s">
        <v>1373</v>
      </c>
      <c r="B384" s="21" t="s">
        <v>1346</v>
      </c>
      <c r="C384" s="21" t="s">
        <v>1302</v>
      </c>
      <c r="D384" s="21" t="s">
        <v>1346</v>
      </c>
      <c r="E384" s="21" t="s">
        <v>1374</v>
      </c>
      <c r="F384" s="22" t="s">
        <v>53</v>
      </c>
      <c r="G384" s="21" t="s">
        <v>105</v>
      </c>
      <c r="H384" s="21" t="s">
        <v>610</v>
      </c>
      <c r="I384" s="22" t="s">
        <v>233</v>
      </c>
      <c r="J384" s="22" t="s">
        <v>57</v>
      </c>
      <c r="K384" s="22" t="s">
        <v>596</v>
      </c>
      <c r="L384" s="22" t="s">
        <v>73</v>
      </c>
      <c r="M384" s="22" t="s">
        <v>235</v>
      </c>
      <c r="N384" s="22" t="s">
        <v>389</v>
      </c>
      <c r="O384" s="22" t="s">
        <v>63</v>
      </c>
      <c r="P384" s="22" t="s">
        <v>63</v>
      </c>
    </row>
    <row r="385" ht="20" customHeight="1" spans="1:16" s="23" customFormat="1" x14ac:dyDescent="0.25">
      <c r="A385" s="24" t="s">
        <v>1375</v>
      </c>
      <c r="B385" s="24" t="s">
        <v>1346</v>
      </c>
      <c r="C385" s="24" t="s">
        <v>1317</v>
      </c>
      <c r="D385" s="24" t="s">
        <v>1376</v>
      </c>
      <c r="E385" s="24" t="s">
        <v>1377</v>
      </c>
      <c r="F385" s="25" t="s">
        <v>53</v>
      </c>
      <c r="G385" s="24" t="s">
        <v>105</v>
      </c>
      <c r="H385" s="24" t="s">
        <v>610</v>
      </c>
      <c r="I385" s="25" t="s">
        <v>56</v>
      </c>
      <c r="J385" s="25" t="s">
        <v>57</v>
      </c>
      <c r="K385" s="25" t="s">
        <v>570</v>
      </c>
      <c r="L385" s="25" t="s">
        <v>73</v>
      </c>
      <c r="M385" s="25" t="s">
        <v>275</v>
      </c>
      <c r="N385" s="25" t="s">
        <v>795</v>
      </c>
      <c r="O385" s="25" t="s">
        <v>63</v>
      </c>
      <c r="P385" s="25" t="s">
        <v>63</v>
      </c>
    </row>
    <row r="386" ht="20" customHeight="1" spans="1:16" x14ac:dyDescent="0.25">
      <c r="A386" s="21" t="s">
        <v>1378</v>
      </c>
      <c r="B386" s="21" t="s">
        <v>1346</v>
      </c>
      <c r="C386" s="21" t="s">
        <v>1379</v>
      </c>
      <c r="D386" s="21" t="s">
        <v>1346</v>
      </c>
      <c r="E386" s="21" t="s">
        <v>1380</v>
      </c>
      <c r="F386" s="22" t="s">
        <v>85</v>
      </c>
      <c r="G386" s="21" t="s">
        <v>86</v>
      </c>
      <c r="H386" s="21" t="s">
        <v>87</v>
      </c>
      <c r="I386" s="22" t="s">
        <v>1205</v>
      </c>
      <c r="J386" s="22" t="s">
        <v>57</v>
      </c>
      <c r="K386" s="22" t="s">
        <v>247</v>
      </c>
      <c r="L386" s="22" t="s">
        <v>73</v>
      </c>
      <c r="M386" s="22" t="s">
        <v>275</v>
      </c>
      <c r="N386" s="22" t="s">
        <v>795</v>
      </c>
      <c r="O386" s="22" t="s">
        <v>1381</v>
      </c>
      <c r="P386" s="22" t="s">
        <v>63</v>
      </c>
    </row>
    <row r="387" ht="20" customHeight="1" spans="1:16" s="23" customFormat="1" x14ac:dyDescent="0.25">
      <c r="A387" s="24" t="s">
        <v>1382</v>
      </c>
      <c r="B387" s="24" t="s">
        <v>1376</v>
      </c>
      <c r="C387" s="24" t="s">
        <v>1383</v>
      </c>
      <c r="D387" s="24" t="s">
        <v>1376</v>
      </c>
      <c r="E387" s="24" t="s">
        <v>1384</v>
      </c>
      <c r="F387" s="25" t="s">
        <v>53</v>
      </c>
      <c r="G387" s="24" t="s">
        <v>54</v>
      </c>
      <c r="H387" s="24" t="s">
        <v>55</v>
      </c>
      <c r="I387" s="25" t="s">
        <v>71</v>
      </c>
      <c r="J387" s="25" t="s">
        <v>57</v>
      </c>
      <c r="K387" s="25" t="s">
        <v>72</v>
      </c>
      <c r="L387" s="25" t="s">
        <v>1385</v>
      </c>
      <c r="M387" s="25" t="s">
        <v>464</v>
      </c>
      <c r="N387" s="25" t="s">
        <v>465</v>
      </c>
      <c r="O387" s="25" t="s">
        <v>63</v>
      </c>
      <c r="P387" s="25" t="s">
        <v>63</v>
      </c>
    </row>
    <row r="388" ht="20" customHeight="1" spans="1:16" x14ac:dyDescent="0.25">
      <c r="A388" s="21" t="s">
        <v>1386</v>
      </c>
      <c r="B388" s="21" t="s">
        <v>1387</v>
      </c>
      <c r="C388" s="21" t="s">
        <v>1388</v>
      </c>
      <c r="D388" s="21" t="s">
        <v>1387</v>
      </c>
      <c r="E388" s="21" t="s">
        <v>1389</v>
      </c>
      <c r="F388" s="22" t="s">
        <v>53</v>
      </c>
      <c r="G388" s="21" t="s">
        <v>54</v>
      </c>
      <c r="H388" s="21" t="s">
        <v>55</v>
      </c>
      <c r="I388" s="22" t="s">
        <v>71</v>
      </c>
      <c r="J388" s="22" t="s">
        <v>57</v>
      </c>
      <c r="K388" s="22" t="s">
        <v>72</v>
      </c>
      <c r="L388" s="22" t="s">
        <v>73</v>
      </c>
      <c r="M388" s="22" t="s">
        <v>420</v>
      </c>
      <c r="N388" s="22" t="s">
        <v>465</v>
      </c>
      <c r="O388" s="22" t="s">
        <v>63</v>
      </c>
      <c r="P388" s="22" t="s">
        <v>63</v>
      </c>
    </row>
    <row r="389" ht="20" customHeight="1" spans="1:16" s="23" customFormat="1" x14ac:dyDescent="0.25">
      <c r="A389" s="24" t="s">
        <v>1390</v>
      </c>
      <c r="B389" s="24" t="s">
        <v>1387</v>
      </c>
      <c r="C389" s="24" t="s">
        <v>169</v>
      </c>
      <c r="D389" s="24" t="s">
        <v>1387</v>
      </c>
      <c r="E389" s="24" t="s">
        <v>1391</v>
      </c>
      <c r="F389" s="25" t="s">
        <v>1245</v>
      </c>
      <c r="G389" s="24" t="s">
        <v>1246</v>
      </c>
      <c r="H389" s="24" t="s">
        <v>139</v>
      </c>
      <c r="I389" s="25" t="s">
        <v>420</v>
      </c>
      <c r="J389" s="25" t="s">
        <v>57</v>
      </c>
      <c r="K389" s="25" t="s">
        <v>1392</v>
      </c>
      <c r="L389" s="25" t="s">
        <v>734</v>
      </c>
      <c r="M389" s="25" t="s">
        <v>420</v>
      </c>
      <c r="N389" s="25" t="s">
        <v>465</v>
      </c>
      <c r="O389" s="25" t="s">
        <v>63</v>
      </c>
      <c r="P389" s="25" t="s">
        <v>63</v>
      </c>
    </row>
    <row r="390" ht="20" customHeight="1" spans="1:16" x14ac:dyDescent="0.25">
      <c r="A390" s="21" t="s">
        <v>1393</v>
      </c>
      <c r="B390" s="21" t="s">
        <v>1387</v>
      </c>
      <c r="C390" s="21" t="s">
        <v>121</v>
      </c>
      <c r="D390" s="21" t="s">
        <v>1387</v>
      </c>
      <c r="E390" s="21" t="s">
        <v>1365</v>
      </c>
      <c r="F390" s="22" t="s">
        <v>85</v>
      </c>
      <c r="G390" s="21" t="s">
        <v>86</v>
      </c>
      <c r="H390" s="21" t="s">
        <v>87</v>
      </c>
      <c r="I390" s="22" t="s">
        <v>223</v>
      </c>
      <c r="J390" s="22" t="s">
        <v>57</v>
      </c>
      <c r="K390" s="22" t="s">
        <v>81</v>
      </c>
      <c r="L390" s="22" t="s">
        <v>73</v>
      </c>
      <c r="M390" s="22" t="s">
        <v>60</v>
      </c>
      <c r="N390" s="22" t="s">
        <v>61</v>
      </c>
      <c r="O390" s="22" t="s">
        <v>63</v>
      </c>
      <c r="P390" s="22" t="s">
        <v>63</v>
      </c>
    </row>
    <row r="391" ht="20" customHeight="1" spans="1:16" s="23" customFormat="1" x14ac:dyDescent="0.25">
      <c r="A391" s="24" t="s">
        <v>1394</v>
      </c>
      <c r="B391" s="24" t="s">
        <v>1387</v>
      </c>
      <c r="C391" s="24" t="s">
        <v>519</v>
      </c>
      <c r="D391" s="24" t="s">
        <v>1387</v>
      </c>
      <c r="E391" s="24" t="s">
        <v>1395</v>
      </c>
      <c r="F391" s="25" t="s">
        <v>436</v>
      </c>
      <c r="G391" s="24" t="s">
        <v>437</v>
      </c>
      <c r="H391" s="24" t="s">
        <v>438</v>
      </c>
      <c r="I391" s="25" t="s">
        <v>80</v>
      </c>
      <c r="J391" s="25" t="s">
        <v>57</v>
      </c>
      <c r="K391" s="25" t="s">
        <v>81</v>
      </c>
      <c r="L391" s="25" t="s">
        <v>73</v>
      </c>
      <c r="M391" s="25" t="s">
        <v>60</v>
      </c>
      <c r="N391" s="25" t="s">
        <v>61</v>
      </c>
      <c r="O391" s="25" t="s">
        <v>63</v>
      </c>
      <c r="P391" s="25" t="s">
        <v>63</v>
      </c>
    </row>
    <row r="392" ht="20" customHeight="1" spans="1:16" x14ac:dyDescent="0.25">
      <c r="A392" s="21" t="s">
        <v>1396</v>
      </c>
      <c r="B392" s="21" t="s">
        <v>1387</v>
      </c>
      <c r="C392" s="21" t="s">
        <v>328</v>
      </c>
      <c r="D392" s="21" t="s">
        <v>1397</v>
      </c>
      <c r="E392" s="21" t="s">
        <v>1398</v>
      </c>
      <c r="F392" s="22" t="s">
        <v>53</v>
      </c>
      <c r="G392" s="21" t="s">
        <v>54</v>
      </c>
      <c r="H392" s="21" t="s">
        <v>55</v>
      </c>
      <c r="I392" s="22" t="s">
        <v>153</v>
      </c>
      <c r="J392" s="22" t="s">
        <v>57</v>
      </c>
      <c r="K392" s="22" t="s">
        <v>1123</v>
      </c>
      <c r="L392" s="22" t="s">
        <v>1399</v>
      </c>
      <c r="M392" s="22" t="s">
        <v>63</v>
      </c>
      <c r="N392" s="22" t="s">
        <v>63</v>
      </c>
      <c r="O392" s="22" t="s">
        <v>63</v>
      </c>
      <c r="P392" s="22" t="s">
        <v>1400</v>
      </c>
    </row>
    <row r="393" ht="20" customHeight="1" spans="1:16" s="23" customFormat="1" x14ac:dyDescent="0.25">
      <c r="A393" s="24" t="s">
        <v>1401</v>
      </c>
      <c r="B393" s="24" t="s">
        <v>1402</v>
      </c>
      <c r="C393" s="24" t="s">
        <v>1383</v>
      </c>
      <c r="D393" s="24" t="s">
        <v>1402</v>
      </c>
      <c r="E393" s="24" t="s">
        <v>1403</v>
      </c>
      <c r="F393" s="25" t="s">
        <v>53</v>
      </c>
      <c r="G393" s="24" t="s">
        <v>105</v>
      </c>
      <c r="H393" s="24" t="s">
        <v>610</v>
      </c>
      <c r="I393" s="25" t="s">
        <v>1404</v>
      </c>
      <c r="J393" s="25" t="s">
        <v>57</v>
      </c>
      <c r="K393" s="25" t="s">
        <v>72</v>
      </c>
      <c r="L393" s="25" t="s">
        <v>73</v>
      </c>
      <c r="M393" s="25" t="s">
        <v>464</v>
      </c>
      <c r="N393" s="25" t="s">
        <v>465</v>
      </c>
      <c r="O393" s="25" t="s">
        <v>63</v>
      </c>
      <c r="P393" s="25" t="s">
        <v>63</v>
      </c>
    </row>
    <row r="394" ht="20" customHeight="1" spans="1:16" x14ac:dyDescent="0.25">
      <c r="A394" s="21" t="s">
        <v>1405</v>
      </c>
      <c r="B394" s="21" t="s">
        <v>1406</v>
      </c>
      <c r="C394" s="21" t="s">
        <v>1407</v>
      </c>
      <c r="D394" s="21" t="s">
        <v>1406</v>
      </c>
      <c r="E394" s="21" t="s">
        <v>1408</v>
      </c>
      <c r="F394" s="22" t="s">
        <v>1245</v>
      </c>
      <c r="G394" s="21" t="s">
        <v>1246</v>
      </c>
      <c r="H394" s="21" t="s">
        <v>1409</v>
      </c>
      <c r="I394" s="22" t="s">
        <v>430</v>
      </c>
      <c r="J394" s="22" t="s">
        <v>57</v>
      </c>
      <c r="K394" s="22" t="s">
        <v>349</v>
      </c>
      <c r="L394" s="22" t="s">
        <v>1410</v>
      </c>
      <c r="M394" s="22" t="s">
        <v>160</v>
      </c>
      <c r="N394" s="22" t="s">
        <v>426</v>
      </c>
      <c r="O394" s="22" t="s">
        <v>1411</v>
      </c>
      <c r="P394" s="22" t="s">
        <v>63</v>
      </c>
    </row>
    <row r="395" ht="20" customHeight="1" spans="1:16" s="23" customFormat="1" x14ac:dyDescent="0.25">
      <c r="A395" s="24" t="s">
        <v>1412</v>
      </c>
      <c r="B395" s="24" t="s">
        <v>1406</v>
      </c>
      <c r="C395" s="24" t="s">
        <v>623</v>
      </c>
      <c r="D395" s="24" t="s">
        <v>1406</v>
      </c>
      <c r="E395" s="24" t="s">
        <v>1413</v>
      </c>
      <c r="F395" s="25" t="s">
        <v>53</v>
      </c>
      <c r="G395" s="24" t="s">
        <v>105</v>
      </c>
      <c r="H395" s="24" t="s">
        <v>610</v>
      </c>
      <c r="I395" s="25" t="s">
        <v>307</v>
      </c>
      <c r="J395" s="25" t="s">
        <v>57</v>
      </c>
      <c r="K395" s="25" t="s">
        <v>72</v>
      </c>
      <c r="L395" s="25" t="s">
        <v>73</v>
      </c>
      <c r="M395" s="25" t="s">
        <v>275</v>
      </c>
      <c r="N395" s="25" t="s">
        <v>795</v>
      </c>
      <c r="O395" s="25" t="s">
        <v>63</v>
      </c>
      <c r="P395" s="25" t="s">
        <v>63</v>
      </c>
    </row>
    <row r="396" ht="20" customHeight="1" spans="1:16" x14ac:dyDescent="0.25">
      <c r="A396" s="21" t="s">
        <v>1414</v>
      </c>
      <c r="B396" s="21" t="s">
        <v>1406</v>
      </c>
      <c r="C396" s="21" t="s">
        <v>891</v>
      </c>
      <c r="D396" s="21" t="s">
        <v>1406</v>
      </c>
      <c r="E396" s="21" t="s">
        <v>135</v>
      </c>
      <c r="F396" s="22" t="s">
        <v>53</v>
      </c>
      <c r="G396" s="21" t="s">
        <v>105</v>
      </c>
      <c r="H396" s="21" t="s">
        <v>610</v>
      </c>
      <c r="I396" s="22" t="s">
        <v>544</v>
      </c>
      <c r="J396" s="22" t="s">
        <v>57</v>
      </c>
      <c r="K396" s="22" t="s">
        <v>752</v>
      </c>
      <c r="L396" s="22" t="s">
        <v>73</v>
      </c>
      <c r="M396" s="22" t="s">
        <v>235</v>
      </c>
      <c r="N396" s="22" t="s">
        <v>389</v>
      </c>
      <c r="O396" s="22" t="s">
        <v>63</v>
      </c>
      <c r="P396" s="22" t="s">
        <v>63</v>
      </c>
    </row>
    <row r="397" ht="20" customHeight="1" spans="1:16" s="23" customFormat="1" x14ac:dyDescent="0.25">
      <c r="A397" s="24" t="s">
        <v>1415</v>
      </c>
      <c r="B397" s="24" t="s">
        <v>1406</v>
      </c>
      <c r="C397" s="24" t="s">
        <v>340</v>
      </c>
      <c r="D397" s="24" t="s">
        <v>1406</v>
      </c>
      <c r="E397" s="24" t="s">
        <v>1416</v>
      </c>
      <c r="F397" s="25" t="s">
        <v>1245</v>
      </c>
      <c r="G397" s="24" t="s">
        <v>1246</v>
      </c>
      <c r="H397" s="24" t="s">
        <v>1409</v>
      </c>
      <c r="I397" s="25" t="s">
        <v>1000</v>
      </c>
      <c r="J397" s="25" t="s">
        <v>57</v>
      </c>
      <c r="K397" s="25" t="s">
        <v>424</v>
      </c>
      <c r="L397" s="25" t="s">
        <v>1417</v>
      </c>
      <c r="M397" s="25" t="s">
        <v>235</v>
      </c>
      <c r="N397" s="25" t="s">
        <v>389</v>
      </c>
      <c r="O397" s="25" t="s">
        <v>63</v>
      </c>
      <c r="P397" s="25" t="s">
        <v>63</v>
      </c>
    </row>
    <row r="398" ht="20" customHeight="1" spans="1:16" x14ac:dyDescent="0.25">
      <c r="A398" s="21" t="s">
        <v>1418</v>
      </c>
      <c r="B398" s="21" t="s">
        <v>1406</v>
      </c>
      <c r="C398" s="21" t="s">
        <v>1419</v>
      </c>
      <c r="D398" s="21" t="s">
        <v>1406</v>
      </c>
      <c r="E398" s="21" t="s">
        <v>972</v>
      </c>
      <c r="F398" s="22" t="s">
        <v>1420</v>
      </c>
      <c r="G398" s="21" t="s">
        <v>54</v>
      </c>
      <c r="H398" s="21" t="s">
        <v>610</v>
      </c>
      <c r="I398" s="22" t="s">
        <v>153</v>
      </c>
      <c r="J398" s="22" t="s">
        <v>57</v>
      </c>
      <c r="K398" s="22" t="s">
        <v>72</v>
      </c>
      <c r="L398" s="22" t="s">
        <v>73</v>
      </c>
      <c r="M398" s="22" t="s">
        <v>275</v>
      </c>
      <c r="N398" s="22" t="s">
        <v>795</v>
      </c>
      <c r="O398" s="22" t="s">
        <v>63</v>
      </c>
      <c r="P398" s="22" t="s">
        <v>63</v>
      </c>
    </row>
    <row r="399" ht="20" customHeight="1" spans="1:16" s="23" customFormat="1" x14ac:dyDescent="0.25">
      <c r="A399" s="24" t="s">
        <v>1421</v>
      </c>
      <c r="B399" s="24" t="s">
        <v>1397</v>
      </c>
      <c r="C399" s="24" t="s">
        <v>648</v>
      </c>
      <c r="D399" s="24" t="s">
        <v>1397</v>
      </c>
      <c r="E399" s="24" t="s">
        <v>1398</v>
      </c>
      <c r="F399" s="25" t="s">
        <v>53</v>
      </c>
      <c r="G399" s="24" t="s">
        <v>105</v>
      </c>
      <c r="H399" s="24" t="s">
        <v>610</v>
      </c>
      <c r="I399" s="25" t="s">
        <v>140</v>
      </c>
      <c r="J399" s="25" t="s">
        <v>57</v>
      </c>
      <c r="K399" s="25" t="s">
        <v>1354</v>
      </c>
      <c r="L399" s="25" t="s">
        <v>73</v>
      </c>
      <c r="M399" s="25" t="s">
        <v>201</v>
      </c>
      <c r="N399" s="25" t="s">
        <v>974</v>
      </c>
      <c r="O399" s="25" t="s">
        <v>63</v>
      </c>
      <c r="P399" s="25" t="s">
        <v>63</v>
      </c>
    </row>
    <row r="400" ht="20" customHeight="1" spans="1:16" x14ac:dyDescent="0.25">
      <c r="A400" s="21" t="s">
        <v>1422</v>
      </c>
      <c r="B400" s="21" t="s">
        <v>1397</v>
      </c>
      <c r="C400" s="21" t="s">
        <v>1388</v>
      </c>
      <c r="D400" s="21" t="s">
        <v>1397</v>
      </c>
      <c r="E400" s="21" t="s">
        <v>1423</v>
      </c>
      <c r="F400" s="22" t="s">
        <v>53</v>
      </c>
      <c r="G400" s="21" t="s">
        <v>54</v>
      </c>
      <c r="H400" s="21" t="s">
        <v>55</v>
      </c>
      <c r="I400" s="22" t="s">
        <v>113</v>
      </c>
      <c r="J400" s="22" t="s">
        <v>57</v>
      </c>
      <c r="K400" s="22" t="s">
        <v>171</v>
      </c>
      <c r="L400" s="22" t="s">
        <v>73</v>
      </c>
      <c r="M400" s="22" t="s">
        <v>201</v>
      </c>
      <c r="N400" s="22" t="s">
        <v>974</v>
      </c>
      <c r="O400" s="22" t="s">
        <v>63</v>
      </c>
      <c r="P400" s="22" t="s">
        <v>1424</v>
      </c>
    </row>
    <row r="401" ht="20" customHeight="1" spans="1:16" s="23" customFormat="1" x14ac:dyDescent="0.25">
      <c r="A401" s="24" t="s">
        <v>1425</v>
      </c>
      <c r="B401" s="24" t="s">
        <v>1397</v>
      </c>
      <c r="C401" s="24" t="s">
        <v>1426</v>
      </c>
      <c r="D401" s="24" t="s">
        <v>1397</v>
      </c>
      <c r="E401" s="24" t="s">
        <v>1426</v>
      </c>
      <c r="F401" s="25" t="s">
        <v>53</v>
      </c>
      <c r="G401" s="24" t="s">
        <v>105</v>
      </c>
      <c r="H401" s="24" t="s">
        <v>610</v>
      </c>
      <c r="I401" s="25" t="s">
        <v>866</v>
      </c>
      <c r="J401" s="25" t="s">
        <v>57</v>
      </c>
      <c r="K401" s="25" t="s">
        <v>387</v>
      </c>
      <c r="L401" s="25" t="s">
        <v>73</v>
      </c>
      <c r="M401" s="25" t="s">
        <v>60</v>
      </c>
      <c r="N401" s="25" t="s">
        <v>61</v>
      </c>
      <c r="O401" s="25" t="s">
        <v>63</v>
      </c>
      <c r="P401" s="25" t="s">
        <v>63</v>
      </c>
    </row>
    <row r="402" ht="20" customHeight="1" spans="1:16" x14ac:dyDescent="0.25">
      <c r="A402" s="21" t="s">
        <v>1427</v>
      </c>
      <c r="B402" s="21" t="s">
        <v>1397</v>
      </c>
      <c r="C402" s="21" t="s">
        <v>1139</v>
      </c>
      <c r="D402" s="21" t="s">
        <v>1397</v>
      </c>
      <c r="E402" s="21" t="s">
        <v>250</v>
      </c>
      <c r="F402" s="22" t="s">
        <v>85</v>
      </c>
      <c r="G402" s="21" t="s">
        <v>86</v>
      </c>
      <c r="H402" s="21" t="s">
        <v>87</v>
      </c>
      <c r="I402" s="22" t="s">
        <v>683</v>
      </c>
      <c r="J402" s="22" t="s">
        <v>57</v>
      </c>
      <c r="K402" s="22" t="s">
        <v>151</v>
      </c>
      <c r="L402" s="22" t="s">
        <v>73</v>
      </c>
      <c r="M402" s="22" t="s">
        <v>60</v>
      </c>
      <c r="N402" s="22" t="s">
        <v>61</v>
      </c>
      <c r="O402" s="22" t="s">
        <v>63</v>
      </c>
      <c r="P402" s="22" t="s">
        <v>63</v>
      </c>
    </row>
    <row r="403" ht="20" customHeight="1" spans="1:16" s="23" customFormat="1" x14ac:dyDescent="0.25">
      <c r="A403" s="24" t="s">
        <v>1428</v>
      </c>
      <c r="B403" s="24" t="s">
        <v>1397</v>
      </c>
      <c r="C403" s="24" t="s">
        <v>1429</v>
      </c>
      <c r="D403" s="24" t="s">
        <v>1397</v>
      </c>
      <c r="E403" s="24" t="s">
        <v>345</v>
      </c>
      <c r="F403" s="25" t="s">
        <v>436</v>
      </c>
      <c r="G403" s="24" t="s">
        <v>437</v>
      </c>
      <c r="H403" s="24" t="s">
        <v>438</v>
      </c>
      <c r="I403" s="25" t="s">
        <v>160</v>
      </c>
      <c r="J403" s="25" t="s">
        <v>57</v>
      </c>
      <c r="K403" s="25" t="s">
        <v>1222</v>
      </c>
      <c r="L403" s="25" t="s">
        <v>726</v>
      </c>
      <c r="M403" s="25" t="s">
        <v>160</v>
      </c>
      <c r="N403" s="25" t="s">
        <v>426</v>
      </c>
      <c r="O403" s="25" t="s">
        <v>63</v>
      </c>
      <c r="P403" s="25" t="s">
        <v>63</v>
      </c>
    </row>
    <row r="404" ht="20" customHeight="1" spans="1:16" x14ac:dyDescent="0.25">
      <c r="A404" s="21" t="s">
        <v>1430</v>
      </c>
      <c r="B404" s="21" t="s">
        <v>1397</v>
      </c>
      <c r="C404" s="21" t="s">
        <v>328</v>
      </c>
      <c r="D404" s="21" t="s">
        <v>1397</v>
      </c>
      <c r="E404" s="21" t="s">
        <v>1431</v>
      </c>
      <c r="F404" s="22" t="s">
        <v>53</v>
      </c>
      <c r="G404" s="21" t="s">
        <v>105</v>
      </c>
      <c r="H404" s="21" t="s">
        <v>55</v>
      </c>
      <c r="I404" s="22" t="s">
        <v>181</v>
      </c>
      <c r="J404" s="22" t="s">
        <v>57</v>
      </c>
      <c r="K404" s="22" t="s">
        <v>294</v>
      </c>
      <c r="L404" s="22" t="s">
        <v>73</v>
      </c>
      <c r="M404" s="22" t="s">
        <v>63</v>
      </c>
      <c r="N404" s="22" t="s">
        <v>63</v>
      </c>
      <c r="O404" s="22" t="s">
        <v>63</v>
      </c>
      <c r="P404" s="22" t="s">
        <v>63</v>
      </c>
    </row>
    <row r="405" ht="20" customHeight="1" spans="1:16" s="23" customFormat="1" x14ac:dyDescent="0.25">
      <c r="A405" s="24" t="s">
        <v>1432</v>
      </c>
      <c r="B405" s="24" t="s">
        <v>1433</v>
      </c>
      <c r="C405" s="24" t="s">
        <v>623</v>
      </c>
      <c r="D405" s="24" t="s">
        <v>1433</v>
      </c>
      <c r="E405" s="24" t="s">
        <v>1434</v>
      </c>
      <c r="F405" s="25" t="s">
        <v>53</v>
      </c>
      <c r="G405" s="24" t="s">
        <v>105</v>
      </c>
      <c r="H405" s="24" t="s">
        <v>55</v>
      </c>
      <c r="I405" s="25" t="s">
        <v>505</v>
      </c>
      <c r="J405" s="25" t="s">
        <v>57</v>
      </c>
      <c r="K405" s="25" t="s">
        <v>72</v>
      </c>
      <c r="L405" s="25" t="s">
        <v>73</v>
      </c>
      <c r="M405" s="25" t="s">
        <v>420</v>
      </c>
      <c r="N405" s="25" t="s">
        <v>465</v>
      </c>
      <c r="O405" s="25" t="s">
        <v>63</v>
      </c>
      <c r="P405" s="25" t="s">
        <v>63</v>
      </c>
    </row>
    <row r="406" ht="20" customHeight="1" spans="1:16" x14ac:dyDescent="0.25">
      <c r="A406" s="21" t="s">
        <v>1435</v>
      </c>
      <c r="B406" s="21" t="s">
        <v>1433</v>
      </c>
      <c r="C406" s="21" t="s">
        <v>435</v>
      </c>
      <c r="D406" s="21" t="s">
        <v>1433</v>
      </c>
      <c r="E406" s="21" t="s">
        <v>1436</v>
      </c>
      <c r="F406" s="22" t="s">
        <v>436</v>
      </c>
      <c r="G406" s="21" t="s">
        <v>437</v>
      </c>
      <c r="H406" s="21" t="s">
        <v>438</v>
      </c>
      <c r="I406" s="22" t="s">
        <v>80</v>
      </c>
      <c r="J406" s="22" t="s">
        <v>57</v>
      </c>
      <c r="K406" s="22" t="s">
        <v>206</v>
      </c>
      <c r="L406" s="22" t="s">
        <v>1437</v>
      </c>
      <c r="M406" s="22" t="s">
        <v>420</v>
      </c>
      <c r="N406" s="22" t="s">
        <v>465</v>
      </c>
      <c r="O406" s="22" t="s">
        <v>63</v>
      </c>
      <c r="P406" s="22" t="s">
        <v>63</v>
      </c>
    </row>
    <row r="407" ht="20" customHeight="1" spans="1:16" s="23" customFormat="1" x14ac:dyDescent="0.25">
      <c r="A407" s="24" t="s">
        <v>1438</v>
      </c>
      <c r="B407" s="24" t="s">
        <v>1433</v>
      </c>
      <c r="C407" s="24" t="s">
        <v>1439</v>
      </c>
      <c r="D407" s="24" t="s">
        <v>1433</v>
      </c>
      <c r="E407" s="24" t="s">
        <v>1298</v>
      </c>
      <c r="F407" s="25" t="s">
        <v>85</v>
      </c>
      <c r="G407" s="24" t="s">
        <v>86</v>
      </c>
      <c r="H407" s="24" t="s">
        <v>87</v>
      </c>
      <c r="I407" s="25" t="s">
        <v>100</v>
      </c>
      <c r="J407" s="25" t="s">
        <v>57</v>
      </c>
      <c r="K407" s="25" t="s">
        <v>570</v>
      </c>
      <c r="L407" s="25" t="s">
        <v>683</v>
      </c>
      <c r="M407" s="25" t="s">
        <v>420</v>
      </c>
      <c r="N407" s="25" t="s">
        <v>465</v>
      </c>
      <c r="O407" s="25" t="s">
        <v>63</v>
      </c>
      <c r="P407" s="25" t="s">
        <v>63</v>
      </c>
    </row>
    <row r="408" ht="20" customHeight="1" spans="1:16" x14ac:dyDescent="0.25">
      <c r="A408" s="21" t="s">
        <v>1440</v>
      </c>
      <c r="B408" s="21" t="s">
        <v>1433</v>
      </c>
      <c r="C408" s="21" t="s">
        <v>1441</v>
      </c>
      <c r="D408" s="21" t="s">
        <v>1433</v>
      </c>
      <c r="E408" s="21" t="s">
        <v>1197</v>
      </c>
      <c r="F408" s="22" t="s">
        <v>53</v>
      </c>
      <c r="G408" s="21" t="s">
        <v>995</v>
      </c>
      <c r="H408" s="21" t="s">
        <v>55</v>
      </c>
      <c r="I408" s="22" t="s">
        <v>420</v>
      </c>
      <c r="J408" s="22" t="s">
        <v>57</v>
      </c>
      <c r="K408" s="22" t="s">
        <v>1442</v>
      </c>
      <c r="L408" s="22" t="s">
        <v>464</v>
      </c>
      <c r="M408" s="22" t="s">
        <v>235</v>
      </c>
      <c r="N408" s="22" t="s">
        <v>389</v>
      </c>
      <c r="O408" s="22" t="s">
        <v>63</v>
      </c>
      <c r="P408" s="22" t="s">
        <v>63</v>
      </c>
    </row>
    <row r="409" ht="20" customHeight="1" spans="1:16" s="23" customFormat="1" x14ac:dyDescent="0.25">
      <c r="A409" s="24" t="s">
        <v>1443</v>
      </c>
      <c r="B409" s="24" t="s">
        <v>1444</v>
      </c>
      <c r="C409" s="24" t="s">
        <v>1445</v>
      </c>
      <c r="D409" s="24" t="s">
        <v>1444</v>
      </c>
      <c r="E409" s="24" t="s">
        <v>475</v>
      </c>
      <c r="F409" s="25" t="s">
        <v>53</v>
      </c>
      <c r="G409" s="24" t="s">
        <v>54</v>
      </c>
      <c r="H409" s="24" t="s">
        <v>55</v>
      </c>
      <c r="I409" s="25" t="s">
        <v>209</v>
      </c>
      <c r="J409" s="25" t="s">
        <v>57</v>
      </c>
      <c r="K409" s="25" t="s">
        <v>81</v>
      </c>
      <c r="L409" s="25" t="s">
        <v>1446</v>
      </c>
      <c r="M409" s="25" t="s">
        <v>464</v>
      </c>
      <c r="N409" s="25" t="s">
        <v>465</v>
      </c>
      <c r="O409" s="25" t="s">
        <v>63</v>
      </c>
      <c r="P409" s="25" t="s">
        <v>63</v>
      </c>
    </row>
    <row r="410" ht="20" customHeight="1" spans="1:16" x14ac:dyDescent="0.25">
      <c r="A410" s="21" t="s">
        <v>1447</v>
      </c>
      <c r="B410" s="21" t="s">
        <v>1444</v>
      </c>
      <c r="C410" s="21" t="s">
        <v>1448</v>
      </c>
      <c r="D410" s="21" t="s">
        <v>1444</v>
      </c>
      <c r="E410" s="21" t="s">
        <v>1449</v>
      </c>
      <c r="F410" s="22" t="s">
        <v>1450</v>
      </c>
      <c r="G410" s="21" t="s">
        <v>69</v>
      </c>
      <c r="H410" s="21" t="s">
        <v>1451</v>
      </c>
      <c r="I410" s="22" t="s">
        <v>314</v>
      </c>
      <c r="J410" s="22" t="s">
        <v>57</v>
      </c>
      <c r="K410" s="22" t="s">
        <v>1452</v>
      </c>
      <c r="L410" s="22" t="s">
        <v>1453</v>
      </c>
      <c r="M410" s="22" t="s">
        <v>464</v>
      </c>
      <c r="N410" s="22" t="s">
        <v>465</v>
      </c>
      <c r="O410" s="22" t="s">
        <v>63</v>
      </c>
      <c r="P410" s="22" t="s">
        <v>63</v>
      </c>
    </row>
    <row r="411" ht="20" customHeight="1" spans="1:16" s="23" customFormat="1" x14ac:dyDescent="0.25">
      <c r="A411" s="24" t="s">
        <v>1454</v>
      </c>
      <c r="B411" s="24" t="s">
        <v>1444</v>
      </c>
      <c r="C411" s="24" t="s">
        <v>1455</v>
      </c>
      <c r="D411" s="24" t="s">
        <v>1444</v>
      </c>
      <c r="E411" s="24" t="s">
        <v>590</v>
      </c>
      <c r="F411" s="25" t="s">
        <v>436</v>
      </c>
      <c r="G411" s="24" t="s">
        <v>437</v>
      </c>
      <c r="H411" s="24" t="s">
        <v>438</v>
      </c>
      <c r="I411" s="25" t="s">
        <v>160</v>
      </c>
      <c r="J411" s="25" t="s">
        <v>57</v>
      </c>
      <c r="K411" s="25" t="s">
        <v>787</v>
      </c>
      <c r="L411" s="25" t="s">
        <v>73</v>
      </c>
      <c r="M411" s="25" t="s">
        <v>160</v>
      </c>
      <c r="N411" s="25" t="s">
        <v>426</v>
      </c>
      <c r="O411" s="25" t="s">
        <v>63</v>
      </c>
      <c r="P411" s="25" t="s">
        <v>63</v>
      </c>
    </row>
    <row r="412" ht="20" customHeight="1" spans="1:16" x14ac:dyDescent="0.25">
      <c r="A412" s="21" t="s">
        <v>1456</v>
      </c>
      <c r="B412" s="21" t="s">
        <v>1444</v>
      </c>
      <c r="C412" s="21" t="s">
        <v>1380</v>
      </c>
      <c r="D412" s="21" t="s">
        <v>1444</v>
      </c>
      <c r="E412" s="21" t="s">
        <v>972</v>
      </c>
      <c r="F412" s="22" t="s">
        <v>1450</v>
      </c>
      <c r="G412" s="21" t="s">
        <v>69</v>
      </c>
      <c r="H412" s="21" t="s">
        <v>1451</v>
      </c>
      <c r="I412" s="22" t="s">
        <v>160</v>
      </c>
      <c r="J412" s="22" t="s">
        <v>57</v>
      </c>
      <c r="K412" s="22" t="s">
        <v>1457</v>
      </c>
      <c r="L412" s="22" t="s">
        <v>140</v>
      </c>
      <c r="M412" s="22" t="s">
        <v>464</v>
      </c>
      <c r="N412" s="22" t="s">
        <v>465</v>
      </c>
      <c r="O412" s="22" t="s">
        <v>63</v>
      </c>
      <c r="P412" s="22" t="s">
        <v>63</v>
      </c>
    </row>
    <row r="413" ht="20" customHeight="1" spans="1:16" s="23" customFormat="1" x14ac:dyDescent="0.25">
      <c r="A413" s="24" t="s">
        <v>1458</v>
      </c>
      <c r="B413" s="24" t="s">
        <v>1459</v>
      </c>
      <c r="C413" s="24" t="s">
        <v>199</v>
      </c>
      <c r="D413" s="24" t="s">
        <v>1459</v>
      </c>
      <c r="E413" s="24" t="s">
        <v>1460</v>
      </c>
      <c r="F413" s="25" t="s">
        <v>53</v>
      </c>
      <c r="G413" s="24" t="s">
        <v>54</v>
      </c>
      <c r="H413" s="24" t="s">
        <v>55</v>
      </c>
      <c r="I413" s="25" t="s">
        <v>505</v>
      </c>
      <c r="J413" s="25" t="s">
        <v>57</v>
      </c>
      <c r="K413" s="25" t="s">
        <v>72</v>
      </c>
      <c r="L413" s="25" t="s">
        <v>73</v>
      </c>
      <c r="M413" s="25" t="s">
        <v>420</v>
      </c>
      <c r="N413" s="25" t="s">
        <v>465</v>
      </c>
      <c r="O413" s="25" t="s">
        <v>63</v>
      </c>
      <c r="P413" s="25" t="s">
        <v>63</v>
      </c>
    </row>
    <row r="414" ht="20" customHeight="1" spans="1:16" x14ac:dyDescent="0.25">
      <c r="A414" s="21" t="s">
        <v>1461</v>
      </c>
      <c r="B414" s="21" t="s">
        <v>1459</v>
      </c>
      <c r="C414" s="21" t="s">
        <v>603</v>
      </c>
      <c r="D414" s="21" t="s">
        <v>1459</v>
      </c>
      <c r="E414" s="21" t="s">
        <v>957</v>
      </c>
      <c r="F414" s="22" t="s">
        <v>53</v>
      </c>
      <c r="G414" s="21" t="s">
        <v>105</v>
      </c>
      <c r="H414" s="21" t="s">
        <v>55</v>
      </c>
      <c r="I414" s="22" t="s">
        <v>1462</v>
      </c>
      <c r="J414" s="22" t="s">
        <v>57</v>
      </c>
      <c r="K414" s="22" t="s">
        <v>96</v>
      </c>
      <c r="L414" s="22" t="s">
        <v>73</v>
      </c>
      <c r="M414" s="22" t="s">
        <v>420</v>
      </c>
      <c r="N414" s="22" t="s">
        <v>465</v>
      </c>
      <c r="O414" s="22" t="s">
        <v>63</v>
      </c>
      <c r="P414" s="22" t="s">
        <v>63</v>
      </c>
    </row>
    <row r="415" ht="20" customHeight="1" spans="1:16" s="23" customFormat="1" x14ac:dyDescent="0.25">
      <c r="A415" s="24" t="s">
        <v>1463</v>
      </c>
      <c r="B415" s="24" t="s">
        <v>1459</v>
      </c>
      <c r="C415" s="24" t="s">
        <v>1369</v>
      </c>
      <c r="D415" s="24" t="s">
        <v>1459</v>
      </c>
      <c r="E415" s="24" t="s">
        <v>108</v>
      </c>
      <c r="F415" s="25" t="s">
        <v>53</v>
      </c>
      <c r="G415" s="24" t="s">
        <v>54</v>
      </c>
      <c r="H415" s="24" t="s">
        <v>55</v>
      </c>
      <c r="I415" s="25" t="s">
        <v>235</v>
      </c>
      <c r="J415" s="25" t="s">
        <v>57</v>
      </c>
      <c r="K415" s="25" t="s">
        <v>1464</v>
      </c>
      <c r="L415" s="25" t="s">
        <v>80</v>
      </c>
      <c r="M415" s="25" t="s">
        <v>235</v>
      </c>
      <c r="N415" s="25" t="s">
        <v>389</v>
      </c>
      <c r="O415" s="25" t="s">
        <v>63</v>
      </c>
      <c r="P415" s="25" t="s">
        <v>63</v>
      </c>
    </row>
    <row r="416" ht="20" customHeight="1" spans="1:16" x14ac:dyDescent="0.25">
      <c r="A416" s="21" t="s">
        <v>1465</v>
      </c>
      <c r="B416" s="21" t="s">
        <v>1459</v>
      </c>
      <c r="C416" s="21" t="s">
        <v>636</v>
      </c>
      <c r="D416" s="21" t="s">
        <v>1459</v>
      </c>
      <c r="E416" s="21" t="s">
        <v>1061</v>
      </c>
      <c r="F416" s="22" t="s">
        <v>53</v>
      </c>
      <c r="G416" s="21" t="s">
        <v>54</v>
      </c>
      <c r="H416" s="21" t="s">
        <v>55</v>
      </c>
      <c r="I416" s="22" t="s">
        <v>1205</v>
      </c>
      <c r="J416" s="22" t="s">
        <v>57</v>
      </c>
      <c r="K416" s="22" t="s">
        <v>752</v>
      </c>
      <c r="L416" s="22" t="s">
        <v>354</v>
      </c>
      <c r="M416" s="22" t="s">
        <v>464</v>
      </c>
      <c r="N416" s="22" t="s">
        <v>465</v>
      </c>
      <c r="O416" s="22" t="s">
        <v>63</v>
      </c>
      <c r="P416" s="22" t="s">
        <v>63</v>
      </c>
    </row>
    <row r="417" ht="20" customHeight="1" spans="1:16" s="23" customFormat="1" x14ac:dyDescent="0.25">
      <c r="A417" s="24" t="s">
        <v>1466</v>
      </c>
      <c r="B417" s="24" t="s">
        <v>1467</v>
      </c>
      <c r="C417" s="24" t="s">
        <v>1468</v>
      </c>
      <c r="D417" s="24" t="s">
        <v>1467</v>
      </c>
      <c r="E417" s="24" t="s">
        <v>1469</v>
      </c>
      <c r="F417" s="25" t="s">
        <v>53</v>
      </c>
      <c r="G417" s="24" t="s">
        <v>105</v>
      </c>
      <c r="H417" s="24" t="s">
        <v>55</v>
      </c>
      <c r="I417" s="25" t="s">
        <v>866</v>
      </c>
      <c r="J417" s="25" t="s">
        <v>57</v>
      </c>
      <c r="K417" s="25" t="s">
        <v>867</v>
      </c>
      <c r="L417" s="25" t="s">
        <v>73</v>
      </c>
      <c r="M417" s="25" t="s">
        <v>464</v>
      </c>
      <c r="N417" s="25" t="s">
        <v>465</v>
      </c>
      <c r="O417" s="25" t="s">
        <v>63</v>
      </c>
      <c r="P417" s="25" t="s">
        <v>63</v>
      </c>
    </row>
    <row r="418" ht="20" customHeight="1" spans="1:16" x14ac:dyDescent="0.25">
      <c r="A418" s="21" t="s">
        <v>1470</v>
      </c>
      <c r="B418" s="21" t="s">
        <v>1467</v>
      </c>
      <c r="C418" s="21" t="s">
        <v>1471</v>
      </c>
      <c r="D418" s="21" t="s">
        <v>1467</v>
      </c>
      <c r="E418" s="21" t="s">
        <v>104</v>
      </c>
      <c r="F418" s="22" t="s">
        <v>53</v>
      </c>
      <c r="G418" s="21" t="s">
        <v>54</v>
      </c>
      <c r="H418" s="21" t="s">
        <v>55</v>
      </c>
      <c r="I418" s="22" t="s">
        <v>80</v>
      </c>
      <c r="J418" s="22" t="s">
        <v>57</v>
      </c>
      <c r="K418" s="22" t="s">
        <v>1472</v>
      </c>
      <c r="L418" s="22" t="s">
        <v>73</v>
      </c>
      <c r="M418" s="22" t="s">
        <v>201</v>
      </c>
      <c r="N418" s="22" t="s">
        <v>974</v>
      </c>
      <c r="O418" s="22" t="s">
        <v>63</v>
      </c>
      <c r="P418" s="22" t="s">
        <v>63</v>
      </c>
    </row>
    <row r="419" ht="20" customHeight="1" spans="1:16" s="23" customFormat="1" x14ac:dyDescent="0.25">
      <c r="A419" s="24" t="s">
        <v>1473</v>
      </c>
      <c r="B419" s="24" t="s">
        <v>1467</v>
      </c>
      <c r="C419" s="24" t="s">
        <v>1474</v>
      </c>
      <c r="D419" s="24" t="s">
        <v>1467</v>
      </c>
      <c r="E419" s="24" t="s">
        <v>1475</v>
      </c>
      <c r="F419" s="25" t="s">
        <v>85</v>
      </c>
      <c r="G419" s="24" t="s">
        <v>86</v>
      </c>
      <c r="H419" s="24" t="s">
        <v>87</v>
      </c>
      <c r="I419" s="25" t="s">
        <v>100</v>
      </c>
      <c r="J419" s="25" t="s">
        <v>57</v>
      </c>
      <c r="K419" s="25" t="s">
        <v>772</v>
      </c>
      <c r="L419" s="25" t="s">
        <v>1023</v>
      </c>
      <c r="M419" s="25" t="s">
        <v>60</v>
      </c>
      <c r="N419" s="25" t="s">
        <v>61</v>
      </c>
      <c r="O419" s="25" t="s">
        <v>63</v>
      </c>
      <c r="P419" s="25" t="s">
        <v>63</v>
      </c>
    </row>
    <row r="420" ht="20" customHeight="1" spans="1:16" x14ac:dyDescent="0.25">
      <c r="A420" s="21" t="s">
        <v>1476</v>
      </c>
      <c r="B420" s="21" t="s">
        <v>1467</v>
      </c>
      <c r="C420" s="21" t="s">
        <v>1477</v>
      </c>
      <c r="D420" s="21" t="s">
        <v>1467</v>
      </c>
      <c r="E420" s="21" t="s">
        <v>977</v>
      </c>
      <c r="F420" s="22" t="s">
        <v>832</v>
      </c>
      <c r="G420" s="21" t="s">
        <v>1478</v>
      </c>
      <c r="H420" s="21" t="s">
        <v>70</v>
      </c>
      <c r="I420" s="22" t="s">
        <v>186</v>
      </c>
      <c r="J420" s="22" t="s">
        <v>57</v>
      </c>
      <c r="K420" s="22" t="s">
        <v>81</v>
      </c>
      <c r="L420" s="22" t="s">
        <v>73</v>
      </c>
      <c r="M420" s="22" t="s">
        <v>464</v>
      </c>
      <c r="N420" s="22" t="s">
        <v>465</v>
      </c>
      <c r="O420" s="22" t="s">
        <v>63</v>
      </c>
      <c r="P420" s="22" t="s">
        <v>63</v>
      </c>
    </row>
    <row r="421" ht="20" customHeight="1" spans="1:16" s="23" customFormat="1" x14ac:dyDescent="0.25">
      <c r="A421" s="24" t="s">
        <v>1479</v>
      </c>
      <c r="B421" s="24" t="s">
        <v>1480</v>
      </c>
      <c r="C421" s="24" t="s">
        <v>1481</v>
      </c>
      <c r="D421" s="24" t="s">
        <v>1480</v>
      </c>
      <c r="E421" s="24" t="s">
        <v>1482</v>
      </c>
      <c r="F421" s="25" t="s">
        <v>53</v>
      </c>
      <c r="G421" s="24" t="s">
        <v>54</v>
      </c>
      <c r="H421" s="24" t="s">
        <v>55</v>
      </c>
      <c r="I421" s="25" t="s">
        <v>307</v>
      </c>
      <c r="J421" s="25" t="s">
        <v>57</v>
      </c>
      <c r="K421" s="25" t="s">
        <v>72</v>
      </c>
      <c r="L421" s="25" t="s">
        <v>73</v>
      </c>
      <c r="M421" s="25" t="s">
        <v>420</v>
      </c>
      <c r="N421" s="25" t="s">
        <v>465</v>
      </c>
      <c r="O421" s="25" t="s">
        <v>63</v>
      </c>
      <c r="P421" s="25" t="s">
        <v>63</v>
      </c>
    </row>
    <row r="422" ht="20" customHeight="1" spans="1:16" x14ac:dyDescent="0.25">
      <c r="A422" s="21" t="s">
        <v>1483</v>
      </c>
      <c r="B422" s="21" t="s">
        <v>1480</v>
      </c>
      <c r="C422" s="21" t="s">
        <v>328</v>
      </c>
      <c r="D422" s="21" t="s">
        <v>1480</v>
      </c>
      <c r="E422" s="21" t="s">
        <v>1484</v>
      </c>
      <c r="F422" s="22" t="s">
        <v>53</v>
      </c>
      <c r="G422" s="21" t="s">
        <v>54</v>
      </c>
      <c r="H422" s="21" t="s">
        <v>55</v>
      </c>
      <c r="I422" s="22" t="s">
        <v>153</v>
      </c>
      <c r="J422" s="22" t="s">
        <v>57</v>
      </c>
      <c r="K422" s="22" t="s">
        <v>1485</v>
      </c>
      <c r="L422" s="22" t="s">
        <v>1486</v>
      </c>
      <c r="M422" s="22" t="s">
        <v>499</v>
      </c>
      <c r="N422" s="22" t="s">
        <v>465</v>
      </c>
      <c r="O422" s="22" t="s">
        <v>63</v>
      </c>
      <c r="P422" s="22" t="s">
        <v>1487</v>
      </c>
    </row>
    <row r="423" ht="20" customHeight="1" spans="1:16" s="23" customFormat="1" x14ac:dyDescent="0.25">
      <c r="A423" s="24" t="s">
        <v>1483</v>
      </c>
      <c r="B423" s="24" t="s">
        <v>1480</v>
      </c>
      <c r="C423" s="24" t="s">
        <v>886</v>
      </c>
      <c r="D423" s="24" t="s">
        <v>1480</v>
      </c>
      <c r="E423" s="24" t="s">
        <v>1484</v>
      </c>
      <c r="F423" s="25" t="s">
        <v>53</v>
      </c>
      <c r="G423" s="24" t="s">
        <v>1488</v>
      </c>
      <c r="H423" s="24" t="s">
        <v>610</v>
      </c>
      <c r="I423" s="25" t="s">
        <v>153</v>
      </c>
      <c r="J423" s="25" t="s">
        <v>57</v>
      </c>
      <c r="K423" s="25" t="s">
        <v>1489</v>
      </c>
      <c r="L423" s="25" t="s">
        <v>1490</v>
      </c>
      <c r="M423" s="25" t="s">
        <v>63</v>
      </c>
      <c r="N423" s="25" t="s">
        <v>63</v>
      </c>
      <c r="O423" s="25" t="s">
        <v>63</v>
      </c>
      <c r="P423" s="25" t="s">
        <v>63</v>
      </c>
    </row>
    <row r="424" ht="20" customHeight="1" spans="1:16" x14ac:dyDescent="0.25">
      <c r="A424" s="21" t="s">
        <v>1491</v>
      </c>
      <c r="B424" s="21" t="s">
        <v>1492</v>
      </c>
      <c r="C424" s="21" t="s">
        <v>378</v>
      </c>
      <c r="D424" s="21" t="s">
        <v>1492</v>
      </c>
      <c r="E424" s="21" t="s">
        <v>1493</v>
      </c>
      <c r="F424" s="22" t="s">
        <v>53</v>
      </c>
      <c r="G424" s="21" t="s">
        <v>54</v>
      </c>
      <c r="H424" s="21" t="s">
        <v>55</v>
      </c>
      <c r="I424" s="22" t="s">
        <v>153</v>
      </c>
      <c r="J424" s="22" t="s">
        <v>57</v>
      </c>
      <c r="K424" s="22" t="s">
        <v>294</v>
      </c>
      <c r="L424" s="22" t="s">
        <v>73</v>
      </c>
      <c r="M424" s="22" t="s">
        <v>499</v>
      </c>
      <c r="N424" s="22" t="s">
        <v>465</v>
      </c>
      <c r="O424" s="22" t="s">
        <v>63</v>
      </c>
      <c r="P424" s="22" t="s">
        <v>63</v>
      </c>
    </row>
    <row r="425" ht="20" customHeight="1" spans="1:16" s="23" customFormat="1" x14ac:dyDescent="0.25">
      <c r="A425" s="24" t="s">
        <v>1494</v>
      </c>
      <c r="B425" s="24" t="s">
        <v>1492</v>
      </c>
      <c r="C425" s="24" t="s">
        <v>1495</v>
      </c>
      <c r="D425" s="24" t="s">
        <v>1492</v>
      </c>
      <c r="E425" s="24" t="s">
        <v>766</v>
      </c>
      <c r="F425" s="25" t="s">
        <v>832</v>
      </c>
      <c r="G425" s="24" t="s">
        <v>1478</v>
      </c>
      <c r="H425" s="24" t="s">
        <v>70</v>
      </c>
      <c r="I425" s="25" t="s">
        <v>140</v>
      </c>
      <c r="J425" s="25" t="s">
        <v>57</v>
      </c>
      <c r="K425" s="25" t="s">
        <v>1496</v>
      </c>
      <c r="L425" s="25" t="s">
        <v>73</v>
      </c>
      <c r="M425" s="25" t="s">
        <v>201</v>
      </c>
      <c r="N425" s="25" t="s">
        <v>974</v>
      </c>
      <c r="O425" s="25" t="s">
        <v>63</v>
      </c>
      <c r="P425" s="25" t="s">
        <v>63</v>
      </c>
    </row>
    <row r="426" ht="20" customHeight="1" spans="1:16" x14ac:dyDescent="0.25">
      <c r="A426" s="21" t="s">
        <v>1497</v>
      </c>
      <c r="B426" s="21" t="s">
        <v>1498</v>
      </c>
      <c r="C426" s="21" t="s">
        <v>1357</v>
      </c>
      <c r="D426" s="21" t="s">
        <v>1498</v>
      </c>
      <c r="E426" s="21" t="s">
        <v>1499</v>
      </c>
      <c r="F426" s="22" t="s">
        <v>53</v>
      </c>
      <c r="G426" s="21" t="s">
        <v>105</v>
      </c>
      <c r="H426" s="21" t="s">
        <v>610</v>
      </c>
      <c r="I426" s="22" t="s">
        <v>246</v>
      </c>
      <c r="J426" s="22" t="s">
        <v>57</v>
      </c>
      <c r="K426" s="22" t="s">
        <v>1500</v>
      </c>
      <c r="L426" s="22" t="s">
        <v>1501</v>
      </c>
      <c r="M426" s="22" t="s">
        <v>235</v>
      </c>
      <c r="N426" s="22" t="s">
        <v>389</v>
      </c>
      <c r="O426" s="22" t="s">
        <v>63</v>
      </c>
      <c r="P426" s="22" t="s">
        <v>63</v>
      </c>
    </row>
    <row r="427" ht="20" customHeight="1" spans="1:16" s="23" customFormat="1" x14ac:dyDescent="0.25">
      <c r="A427" s="24" t="s">
        <v>1502</v>
      </c>
      <c r="B427" s="24" t="s">
        <v>1498</v>
      </c>
      <c r="C427" s="24" t="s">
        <v>1503</v>
      </c>
      <c r="D427" s="24" t="s">
        <v>1498</v>
      </c>
      <c r="E427" s="24" t="s">
        <v>1504</v>
      </c>
      <c r="F427" s="25" t="s">
        <v>85</v>
      </c>
      <c r="G427" s="24" t="s">
        <v>86</v>
      </c>
      <c r="H427" s="24" t="s">
        <v>87</v>
      </c>
      <c r="I427" s="25" t="s">
        <v>80</v>
      </c>
      <c r="J427" s="25" t="s">
        <v>57</v>
      </c>
      <c r="K427" s="25" t="s">
        <v>72</v>
      </c>
      <c r="L427" s="25" t="s">
        <v>73</v>
      </c>
      <c r="M427" s="25" t="s">
        <v>60</v>
      </c>
      <c r="N427" s="25" t="s">
        <v>61</v>
      </c>
      <c r="O427" s="25" t="s">
        <v>63</v>
      </c>
      <c r="P427" s="25" t="s">
        <v>63</v>
      </c>
    </row>
    <row r="428" ht="20" customHeight="1" spans="1:16" x14ac:dyDescent="0.25">
      <c r="A428" s="21" t="s">
        <v>1505</v>
      </c>
      <c r="B428" s="21" t="s">
        <v>1498</v>
      </c>
      <c r="C428" s="21" t="s">
        <v>250</v>
      </c>
      <c r="D428" s="21" t="s">
        <v>1498</v>
      </c>
      <c r="E428" s="21" t="s">
        <v>84</v>
      </c>
      <c r="F428" s="22" t="s">
        <v>53</v>
      </c>
      <c r="G428" s="21" t="s">
        <v>105</v>
      </c>
      <c r="H428" s="21" t="s">
        <v>55</v>
      </c>
      <c r="I428" s="22" t="s">
        <v>80</v>
      </c>
      <c r="J428" s="22" t="s">
        <v>57</v>
      </c>
      <c r="K428" s="22" t="s">
        <v>81</v>
      </c>
      <c r="L428" s="22" t="s">
        <v>242</v>
      </c>
      <c r="M428" s="22" t="s">
        <v>60</v>
      </c>
      <c r="N428" s="22" t="s">
        <v>61</v>
      </c>
      <c r="O428" s="22" t="s">
        <v>63</v>
      </c>
      <c r="P428" s="22" t="s">
        <v>63</v>
      </c>
    </row>
    <row r="429" ht="20" customHeight="1" spans="1:16" s="23" customFormat="1" x14ac:dyDescent="0.25">
      <c r="A429" s="24" t="s">
        <v>1506</v>
      </c>
      <c r="B429" s="24" t="s">
        <v>1498</v>
      </c>
      <c r="C429" s="24" t="s">
        <v>1259</v>
      </c>
      <c r="D429" s="24" t="s">
        <v>1498</v>
      </c>
      <c r="E429" s="24" t="s">
        <v>1145</v>
      </c>
      <c r="F429" s="25" t="s">
        <v>832</v>
      </c>
      <c r="G429" s="24" t="s">
        <v>1478</v>
      </c>
      <c r="H429" s="24" t="s">
        <v>70</v>
      </c>
      <c r="I429" s="25" t="s">
        <v>233</v>
      </c>
      <c r="J429" s="25" t="s">
        <v>57</v>
      </c>
      <c r="K429" s="25" t="s">
        <v>58</v>
      </c>
      <c r="L429" s="25" t="s">
        <v>73</v>
      </c>
      <c r="M429" s="25" t="s">
        <v>420</v>
      </c>
      <c r="N429" s="25" t="s">
        <v>465</v>
      </c>
      <c r="O429" s="25" t="s">
        <v>63</v>
      </c>
      <c r="P429" s="25" t="s">
        <v>63</v>
      </c>
    </row>
    <row r="430" ht="20" customHeight="1" spans="1:16" x14ac:dyDescent="0.25">
      <c r="A430" s="21" t="s">
        <v>1507</v>
      </c>
      <c r="B430" s="21" t="s">
        <v>1498</v>
      </c>
      <c r="C430" s="21" t="s">
        <v>1508</v>
      </c>
      <c r="D430" s="21" t="s">
        <v>1498</v>
      </c>
      <c r="E430" s="21" t="s">
        <v>1029</v>
      </c>
      <c r="F430" s="22" t="s">
        <v>53</v>
      </c>
      <c r="G430" s="21" t="s">
        <v>54</v>
      </c>
      <c r="H430" s="21" t="s">
        <v>55</v>
      </c>
      <c r="I430" s="22" t="s">
        <v>113</v>
      </c>
      <c r="J430" s="22" t="s">
        <v>57</v>
      </c>
      <c r="K430" s="22" t="s">
        <v>1509</v>
      </c>
      <c r="L430" s="22" t="s">
        <v>73</v>
      </c>
      <c r="M430" s="22" t="s">
        <v>420</v>
      </c>
      <c r="N430" s="22" t="s">
        <v>465</v>
      </c>
      <c r="O430" s="22" t="s">
        <v>63</v>
      </c>
      <c r="P430" s="22" t="s">
        <v>63</v>
      </c>
    </row>
    <row r="431" ht="20" customHeight="1" spans="1:16" s="23" customFormat="1" x14ac:dyDescent="0.25">
      <c r="A431" s="24" t="s">
        <v>1510</v>
      </c>
      <c r="B431" s="24" t="s">
        <v>1511</v>
      </c>
      <c r="C431" s="24" t="s">
        <v>1252</v>
      </c>
      <c r="D431" s="24" t="s">
        <v>1511</v>
      </c>
      <c r="E431" s="24" t="s">
        <v>1512</v>
      </c>
      <c r="F431" s="25" t="s">
        <v>53</v>
      </c>
      <c r="G431" s="24" t="s">
        <v>105</v>
      </c>
      <c r="H431" s="24" t="s">
        <v>55</v>
      </c>
      <c r="I431" s="25" t="s">
        <v>80</v>
      </c>
      <c r="J431" s="25" t="s">
        <v>57</v>
      </c>
      <c r="K431" s="25" t="s">
        <v>1513</v>
      </c>
      <c r="L431" s="25" t="s">
        <v>1514</v>
      </c>
      <c r="M431" s="25" t="s">
        <v>499</v>
      </c>
      <c r="N431" s="25" t="s">
        <v>465</v>
      </c>
      <c r="O431" s="25" t="s">
        <v>63</v>
      </c>
      <c r="P431" s="25" t="s">
        <v>63</v>
      </c>
    </row>
    <row r="432" ht="20" customHeight="1" spans="1:16" x14ac:dyDescent="0.25">
      <c r="A432" s="21" t="s">
        <v>1515</v>
      </c>
      <c r="B432" s="21" t="s">
        <v>1511</v>
      </c>
      <c r="C432" s="21" t="s">
        <v>1516</v>
      </c>
      <c r="D432" s="21" t="s">
        <v>1511</v>
      </c>
      <c r="E432" s="21" t="s">
        <v>1073</v>
      </c>
      <c r="F432" s="22" t="s">
        <v>731</v>
      </c>
      <c r="G432" s="21" t="s">
        <v>732</v>
      </c>
      <c r="H432" s="21" t="s">
        <v>733</v>
      </c>
      <c r="I432" s="22" t="s">
        <v>71</v>
      </c>
      <c r="J432" s="22" t="s">
        <v>57</v>
      </c>
      <c r="K432" s="22" t="s">
        <v>96</v>
      </c>
      <c r="L432" s="22" t="s">
        <v>1517</v>
      </c>
      <c r="M432" s="22" t="s">
        <v>464</v>
      </c>
      <c r="N432" s="22" t="s">
        <v>465</v>
      </c>
      <c r="O432" s="22" t="s">
        <v>63</v>
      </c>
      <c r="P432" s="22" t="s">
        <v>63</v>
      </c>
    </row>
    <row r="433" ht="20" customHeight="1" spans="1:16" s="23" customFormat="1" x14ac:dyDescent="0.25">
      <c r="A433" s="24" t="s">
        <v>1518</v>
      </c>
      <c r="B433" s="24" t="s">
        <v>1511</v>
      </c>
      <c r="C433" s="24" t="s">
        <v>520</v>
      </c>
      <c r="D433" s="24" t="s">
        <v>1511</v>
      </c>
      <c r="E433" s="24" t="s">
        <v>1519</v>
      </c>
      <c r="F433" s="25" t="s">
        <v>832</v>
      </c>
      <c r="G433" s="24" t="s">
        <v>1478</v>
      </c>
      <c r="H433" s="24" t="s">
        <v>70</v>
      </c>
      <c r="I433" s="25" t="s">
        <v>233</v>
      </c>
      <c r="J433" s="25" t="s">
        <v>57</v>
      </c>
      <c r="K433" s="25" t="s">
        <v>81</v>
      </c>
      <c r="L433" s="25" t="s">
        <v>1520</v>
      </c>
      <c r="M433" s="25" t="s">
        <v>464</v>
      </c>
      <c r="N433" s="25" t="s">
        <v>465</v>
      </c>
      <c r="O433" s="25" t="s">
        <v>63</v>
      </c>
      <c r="P433" s="25" t="s">
        <v>63</v>
      </c>
    </row>
    <row r="434" ht="20" customHeight="1" spans="1:16" x14ac:dyDescent="0.25">
      <c r="A434" s="21" t="s">
        <v>1521</v>
      </c>
      <c r="B434" s="21" t="s">
        <v>1511</v>
      </c>
      <c r="C434" s="21" t="s">
        <v>574</v>
      </c>
      <c r="D434" s="21" t="s">
        <v>1511</v>
      </c>
      <c r="E434" s="21" t="s">
        <v>1522</v>
      </c>
      <c r="F434" s="22" t="s">
        <v>53</v>
      </c>
      <c r="G434" s="21" t="s">
        <v>54</v>
      </c>
      <c r="H434" s="21" t="s">
        <v>55</v>
      </c>
      <c r="I434" s="22" t="s">
        <v>314</v>
      </c>
      <c r="J434" s="22" t="s">
        <v>57</v>
      </c>
      <c r="K434" s="22" t="s">
        <v>206</v>
      </c>
      <c r="L434" s="22" t="s">
        <v>73</v>
      </c>
      <c r="M434" s="22" t="s">
        <v>464</v>
      </c>
      <c r="N434" s="22" t="s">
        <v>465</v>
      </c>
      <c r="O434" s="22" t="s">
        <v>63</v>
      </c>
      <c r="P434" s="22" t="s">
        <v>63</v>
      </c>
    </row>
    <row r="435" ht="20" customHeight="1" spans="1:16" s="23" customFormat="1" x14ac:dyDescent="0.25">
      <c r="A435" s="24" t="s">
        <v>1523</v>
      </c>
      <c r="B435" s="24" t="s">
        <v>1524</v>
      </c>
      <c r="C435" s="24" t="s">
        <v>204</v>
      </c>
      <c r="D435" s="24" t="s">
        <v>1524</v>
      </c>
      <c r="E435" s="24" t="s">
        <v>1313</v>
      </c>
      <c r="F435" s="25" t="s">
        <v>832</v>
      </c>
      <c r="G435" s="24" t="s">
        <v>1478</v>
      </c>
      <c r="H435" s="24" t="s">
        <v>70</v>
      </c>
      <c r="I435" s="25" t="s">
        <v>233</v>
      </c>
      <c r="J435" s="25" t="s">
        <v>57</v>
      </c>
      <c r="K435" s="25" t="s">
        <v>1485</v>
      </c>
      <c r="L435" s="25" t="s">
        <v>1525</v>
      </c>
      <c r="M435" s="25" t="s">
        <v>235</v>
      </c>
      <c r="N435" s="25" t="s">
        <v>389</v>
      </c>
      <c r="O435" s="25" t="s">
        <v>63</v>
      </c>
      <c r="P435" s="25" t="s">
        <v>63</v>
      </c>
    </row>
    <row r="436" ht="20" customHeight="1" spans="1:16" x14ac:dyDescent="0.25">
      <c r="A436" s="21" t="s">
        <v>1526</v>
      </c>
      <c r="B436" s="21" t="s">
        <v>1524</v>
      </c>
      <c r="C436" s="21" t="s">
        <v>1527</v>
      </c>
      <c r="D436" s="21" t="s">
        <v>1524</v>
      </c>
      <c r="E436" s="21" t="s">
        <v>679</v>
      </c>
      <c r="F436" s="22" t="s">
        <v>53</v>
      </c>
      <c r="G436" s="21" t="s">
        <v>105</v>
      </c>
      <c r="H436" s="21" t="s">
        <v>610</v>
      </c>
      <c r="I436" s="22" t="s">
        <v>937</v>
      </c>
      <c r="J436" s="22" t="s">
        <v>57</v>
      </c>
      <c r="K436" s="22" t="s">
        <v>772</v>
      </c>
      <c r="L436" s="22" t="s">
        <v>1528</v>
      </c>
      <c r="M436" s="22" t="s">
        <v>235</v>
      </c>
      <c r="N436" s="22" t="s">
        <v>389</v>
      </c>
      <c r="O436" s="22" t="s">
        <v>63</v>
      </c>
      <c r="P436" s="22" t="s">
        <v>63</v>
      </c>
    </row>
    <row r="437" ht="20" customHeight="1" spans="1:16" s="23" customFormat="1" x14ac:dyDescent="0.25">
      <c r="A437" s="24" t="s">
        <v>1529</v>
      </c>
      <c r="B437" s="24" t="s">
        <v>1524</v>
      </c>
      <c r="C437" s="24" t="s">
        <v>232</v>
      </c>
      <c r="D437" s="24" t="s">
        <v>1524</v>
      </c>
      <c r="E437" s="24" t="s">
        <v>1305</v>
      </c>
      <c r="F437" s="25" t="s">
        <v>53</v>
      </c>
      <c r="G437" s="24" t="s">
        <v>1488</v>
      </c>
      <c r="H437" s="24" t="s">
        <v>610</v>
      </c>
      <c r="I437" s="25" t="s">
        <v>71</v>
      </c>
      <c r="J437" s="25" t="s">
        <v>57</v>
      </c>
      <c r="K437" s="25" t="s">
        <v>1530</v>
      </c>
      <c r="L437" s="25" t="s">
        <v>73</v>
      </c>
      <c r="M437" s="25" t="s">
        <v>235</v>
      </c>
      <c r="N437" s="25" t="s">
        <v>389</v>
      </c>
      <c r="O437" s="25" t="s">
        <v>63</v>
      </c>
      <c r="P437" s="25" t="s">
        <v>63</v>
      </c>
    </row>
    <row r="438" ht="20" customHeight="1" spans="1:16" x14ac:dyDescent="0.25">
      <c r="A438" s="21" t="s">
        <v>1531</v>
      </c>
      <c r="B438" s="21" t="s">
        <v>1532</v>
      </c>
      <c r="C438" s="21" t="s">
        <v>609</v>
      </c>
      <c r="D438" s="21" t="s">
        <v>1532</v>
      </c>
      <c r="E438" s="21" t="s">
        <v>1533</v>
      </c>
      <c r="F438" s="22" t="s">
        <v>53</v>
      </c>
      <c r="G438" s="21" t="s">
        <v>105</v>
      </c>
      <c r="H438" s="21" t="s">
        <v>610</v>
      </c>
      <c r="I438" s="22" t="s">
        <v>505</v>
      </c>
      <c r="J438" s="22" t="s">
        <v>57</v>
      </c>
      <c r="K438" s="22" t="s">
        <v>1534</v>
      </c>
      <c r="L438" s="22" t="s">
        <v>73</v>
      </c>
      <c r="M438" s="22" t="s">
        <v>235</v>
      </c>
      <c r="N438" s="22" t="s">
        <v>389</v>
      </c>
      <c r="O438" s="22" t="s">
        <v>63</v>
      </c>
      <c r="P438" s="22" t="s">
        <v>63</v>
      </c>
    </row>
    <row r="439" ht="20" customHeight="1" spans="1:16" s="23" customFormat="1" x14ac:dyDescent="0.25">
      <c r="A439" s="24" t="s">
        <v>1535</v>
      </c>
      <c r="B439" s="24" t="s">
        <v>1532</v>
      </c>
      <c r="C439" s="24" t="s">
        <v>1536</v>
      </c>
      <c r="D439" s="24" t="s">
        <v>1532</v>
      </c>
      <c r="E439" s="24" t="s">
        <v>1136</v>
      </c>
      <c r="F439" s="25" t="s">
        <v>1537</v>
      </c>
      <c r="G439" s="24" t="s">
        <v>270</v>
      </c>
      <c r="H439" s="24" t="s">
        <v>55</v>
      </c>
      <c r="I439" s="25" t="s">
        <v>246</v>
      </c>
      <c r="J439" s="25" t="s">
        <v>57</v>
      </c>
      <c r="K439" s="25" t="s">
        <v>101</v>
      </c>
      <c r="L439" s="25" t="s">
        <v>73</v>
      </c>
      <c r="M439" s="25" t="s">
        <v>235</v>
      </c>
      <c r="N439" s="25" t="s">
        <v>389</v>
      </c>
      <c r="O439" s="25" t="s">
        <v>63</v>
      </c>
      <c r="P439" s="25" t="s">
        <v>63</v>
      </c>
    </row>
    <row r="440" ht="20" customHeight="1" spans="1:16" x14ac:dyDescent="0.25">
      <c r="A440" s="21" t="s">
        <v>1535</v>
      </c>
      <c r="B440" s="21" t="s">
        <v>1532</v>
      </c>
      <c r="C440" s="21" t="s">
        <v>109</v>
      </c>
      <c r="D440" s="21" t="s">
        <v>1532</v>
      </c>
      <c r="E440" s="21" t="s">
        <v>927</v>
      </c>
      <c r="F440" s="22" t="s">
        <v>923</v>
      </c>
      <c r="G440" s="21" t="s">
        <v>54</v>
      </c>
      <c r="H440" s="21" t="s">
        <v>55</v>
      </c>
      <c r="I440" s="22" t="s">
        <v>420</v>
      </c>
      <c r="J440" s="22" t="s">
        <v>57</v>
      </c>
      <c r="K440" s="22" t="s">
        <v>260</v>
      </c>
      <c r="L440" s="22" t="s">
        <v>1538</v>
      </c>
      <c r="M440" s="22" t="s">
        <v>420</v>
      </c>
      <c r="N440" s="22" t="s">
        <v>465</v>
      </c>
      <c r="O440" s="22" t="s">
        <v>63</v>
      </c>
      <c r="P440" s="22" t="s">
        <v>63</v>
      </c>
    </row>
    <row r="441" ht="20" customHeight="1" spans="1:16" s="23" customFormat="1" x14ac:dyDescent="0.25">
      <c r="A441" s="24" t="s">
        <v>1539</v>
      </c>
      <c r="B441" s="24" t="s">
        <v>1540</v>
      </c>
      <c r="C441" s="24" t="s">
        <v>1541</v>
      </c>
      <c r="D441" s="24" t="s">
        <v>1540</v>
      </c>
      <c r="E441" s="24" t="s">
        <v>1542</v>
      </c>
      <c r="F441" s="25" t="s">
        <v>1543</v>
      </c>
      <c r="G441" s="24" t="s">
        <v>1488</v>
      </c>
      <c r="H441" s="24" t="s">
        <v>1544</v>
      </c>
      <c r="I441" s="25" t="s">
        <v>80</v>
      </c>
      <c r="J441" s="25" t="s">
        <v>57</v>
      </c>
      <c r="K441" s="25" t="s">
        <v>1545</v>
      </c>
      <c r="L441" s="25" t="s">
        <v>1546</v>
      </c>
      <c r="M441" s="25" t="s">
        <v>60</v>
      </c>
      <c r="N441" s="25" t="s">
        <v>61</v>
      </c>
      <c r="O441" s="25" t="s">
        <v>1547</v>
      </c>
      <c r="P441" s="25" t="s">
        <v>63</v>
      </c>
    </row>
    <row r="442" ht="20" customHeight="1" spans="1:16" x14ac:dyDescent="0.25">
      <c r="A442" s="21" t="s">
        <v>1548</v>
      </c>
      <c r="B442" s="21" t="s">
        <v>1540</v>
      </c>
      <c r="C442" s="21" t="s">
        <v>1276</v>
      </c>
      <c r="D442" s="21" t="s">
        <v>1540</v>
      </c>
      <c r="E442" s="21" t="s">
        <v>609</v>
      </c>
      <c r="F442" s="22" t="s">
        <v>1450</v>
      </c>
      <c r="G442" s="21" t="s">
        <v>69</v>
      </c>
      <c r="H442" s="21" t="s">
        <v>1451</v>
      </c>
      <c r="I442" s="22" t="s">
        <v>71</v>
      </c>
      <c r="J442" s="22" t="s">
        <v>57</v>
      </c>
      <c r="K442" s="22" t="s">
        <v>1549</v>
      </c>
      <c r="L442" s="22" t="s">
        <v>73</v>
      </c>
      <c r="M442" s="22" t="s">
        <v>868</v>
      </c>
      <c r="N442" s="22" t="s">
        <v>465</v>
      </c>
      <c r="O442" s="22" t="s">
        <v>63</v>
      </c>
      <c r="P442" s="22" t="s">
        <v>63</v>
      </c>
    </row>
    <row r="443" ht="20" customHeight="1" spans="1:16" s="23" customFormat="1" x14ac:dyDescent="0.25">
      <c r="A443" s="24" t="s">
        <v>1550</v>
      </c>
      <c r="B443" s="24" t="s">
        <v>1540</v>
      </c>
      <c r="C443" s="24" t="s">
        <v>444</v>
      </c>
      <c r="D443" s="24" t="s">
        <v>1540</v>
      </c>
      <c r="E443" s="24" t="s">
        <v>1281</v>
      </c>
      <c r="F443" s="25" t="s">
        <v>85</v>
      </c>
      <c r="G443" s="24" t="s">
        <v>86</v>
      </c>
      <c r="H443" s="24" t="s">
        <v>87</v>
      </c>
      <c r="I443" s="25" t="s">
        <v>71</v>
      </c>
      <c r="J443" s="25" t="s">
        <v>57</v>
      </c>
      <c r="K443" s="25" t="s">
        <v>217</v>
      </c>
      <c r="L443" s="25" t="s">
        <v>73</v>
      </c>
      <c r="M443" s="25" t="s">
        <v>868</v>
      </c>
      <c r="N443" s="25" t="s">
        <v>465</v>
      </c>
      <c r="O443" s="25" t="s">
        <v>63</v>
      </c>
      <c r="P443" s="25" t="s">
        <v>63</v>
      </c>
    </row>
    <row r="444" ht="20" customHeight="1" spans="1:16" x14ac:dyDescent="0.25">
      <c r="A444" s="21" t="s">
        <v>1551</v>
      </c>
      <c r="B444" s="21" t="s">
        <v>1540</v>
      </c>
      <c r="C444" s="21" t="s">
        <v>785</v>
      </c>
      <c r="D444" s="21" t="s">
        <v>1540</v>
      </c>
      <c r="E444" s="21" t="s">
        <v>1552</v>
      </c>
      <c r="F444" s="22" t="s">
        <v>53</v>
      </c>
      <c r="G444" s="21" t="s">
        <v>105</v>
      </c>
      <c r="H444" s="21" t="s">
        <v>610</v>
      </c>
      <c r="I444" s="22" t="s">
        <v>534</v>
      </c>
      <c r="J444" s="22" t="s">
        <v>57</v>
      </c>
      <c r="K444" s="22" t="s">
        <v>1354</v>
      </c>
      <c r="L444" s="22" t="s">
        <v>73</v>
      </c>
      <c r="M444" s="22" t="s">
        <v>201</v>
      </c>
      <c r="N444" s="22" t="s">
        <v>974</v>
      </c>
      <c r="O444" s="22" t="s">
        <v>1553</v>
      </c>
      <c r="P444" s="22" t="s">
        <v>63</v>
      </c>
    </row>
    <row r="445" ht="20" customHeight="1" spans="1:16" s="23" customFormat="1" x14ac:dyDescent="0.25">
      <c r="A445" s="24" t="s">
        <v>1554</v>
      </c>
      <c r="B445" s="24" t="s">
        <v>1540</v>
      </c>
      <c r="C445" s="24" t="s">
        <v>1555</v>
      </c>
      <c r="D445" s="24" t="s">
        <v>1540</v>
      </c>
      <c r="E445" s="24" t="s">
        <v>567</v>
      </c>
      <c r="F445" s="25" t="s">
        <v>53</v>
      </c>
      <c r="G445" s="24" t="s">
        <v>105</v>
      </c>
      <c r="H445" s="24" t="s">
        <v>610</v>
      </c>
      <c r="I445" s="25" t="s">
        <v>771</v>
      </c>
      <c r="J445" s="25" t="s">
        <v>57</v>
      </c>
      <c r="K445" s="25" t="s">
        <v>96</v>
      </c>
      <c r="L445" s="25" t="s">
        <v>73</v>
      </c>
      <c r="M445" s="25" t="s">
        <v>354</v>
      </c>
      <c r="N445" s="25" t="s">
        <v>355</v>
      </c>
      <c r="O445" s="25" t="s">
        <v>63</v>
      </c>
      <c r="P445" s="25" t="s">
        <v>1556</v>
      </c>
    </row>
    <row r="446" ht="20" customHeight="1" spans="1:16" x14ac:dyDescent="0.25">
      <c r="A446" s="21" t="s">
        <v>1557</v>
      </c>
      <c r="B446" s="21" t="s">
        <v>1540</v>
      </c>
      <c r="C446" s="21" t="s">
        <v>1558</v>
      </c>
      <c r="D446" s="21" t="s">
        <v>1540</v>
      </c>
      <c r="E446" s="21" t="s">
        <v>1364</v>
      </c>
      <c r="F446" s="22" t="s">
        <v>137</v>
      </c>
      <c r="G446" s="21" t="s">
        <v>138</v>
      </c>
      <c r="H446" s="21" t="s">
        <v>139</v>
      </c>
      <c r="I446" s="22" t="s">
        <v>160</v>
      </c>
      <c r="J446" s="22" t="s">
        <v>57</v>
      </c>
      <c r="K446" s="22" t="s">
        <v>247</v>
      </c>
      <c r="L446" s="22" t="s">
        <v>73</v>
      </c>
      <c r="M446" s="22" t="s">
        <v>868</v>
      </c>
      <c r="N446" s="22" t="s">
        <v>465</v>
      </c>
      <c r="O446" s="22" t="s">
        <v>63</v>
      </c>
      <c r="P446" s="22" t="s">
        <v>63</v>
      </c>
    </row>
    <row r="447" ht="20" customHeight="1" spans="1:16" s="23" customFormat="1" x14ac:dyDescent="0.25">
      <c r="A447" s="24" t="s">
        <v>1559</v>
      </c>
      <c r="B447" s="24" t="s">
        <v>1560</v>
      </c>
      <c r="C447" s="24" t="s">
        <v>1561</v>
      </c>
      <c r="D447" s="24" t="s">
        <v>1560</v>
      </c>
      <c r="E447" s="24" t="s">
        <v>644</v>
      </c>
      <c r="F447" s="25" t="s">
        <v>53</v>
      </c>
      <c r="G447" s="24" t="s">
        <v>54</v>
      </c>
      <c r="H447" s="24" t="s">
        <v>55</v>
      </c>
      <c r="I447" s="25" t="s">
        <v>314</v>
      </c>
      <c r="J447" s="25" t="s">
        <v>57</v>
      </c>
      <c r="K447" s="25" t="s">
        <v>570</v>
      </c>
      <c r="L447" s="25" t="s">
        <v>1462</v>
      </c>
      <c r="M447" s="25" t="s">
        <v>616</v>
      </c>
      <c r="N447" s="25" t="s">
        <v>465</v>
      </c>
      <c r="O447" s="25" t="s">
        <v>63</v>
      </c>
      <c r="P447" s="25" t="s">
        <v>63</v>
      </c>
    </row>
    <row r="448" ht="20" customHeight="1" spans="1:16" x14ac:dyDescent="0.25">
      <c r="A448" s="21" t="s">
        <v>1562</v>
      </c>
      <c r="B448" s="21" t="s">
        <v>1560</v>
      </c>
      <c r="C448" s="21" t="s">
        <v>1242</v>
      </c>
      <c r="D448" s="21" t="s">
        <v>1563</v>
      </c>
      <c r="E448" s="21" t="s">
        <v>1522</v>
      </c>
      <c r="F448" s="22" t="s">
        <v>436</v>
      </c>
      <c r="G448" s="21" t="s">
        <v>437</v>
      </c>
      <c r="H448" s="21" t="s">
        <v>438</v>
      </c>
      <c r="I448" s="22" t="s">
        <v>71</v>
      </c>
      <c r="J448" s="22" t="s">
        <v>57</v>
      </c>
      <c r="K448" s="22" t="s">
        <v>1564</v>
      </c>
      <c r="L448" s="22" t="s">
        <v>1565</v>
      </c>
      <c r="M448" s="22" t="s">
        <v>235</v>
      </c>
      <c r="N448" s="22" t="s">
        <v>389</v>
      </c>
      <c r="O448" s="22" t="s">
        <v>63</v>
      </c>
      <c r="P448" s="22" t="s">
        <v>63</v>
      </c>
    </row>
    <row r="449" ht="20" customHeight="1" spans="1:16" s="23" customFormat="1" x14ac:dyDescent="0.25">
      <c r="A449" s="24" t="s">
        <v>1566</v>
      </c>
      <c r="B449" s="24" t="s">
        <v>1560</v>
      </c>
      <c r="C449" s="24" t="s">
        <v>1567</v>
      </c>
      <c r="D449" s="24" t="s">
        <v>1560</v>
      </c>
      <c r="E449" s="24" t="s">
        <v>1395</v>
      </c>
      <c r="F449" s="25" t="s">
        <v>53</v>
      </c>
      <c r="G449" s="24" t="s">
        <v>105</v>
      </c>
      <c r="H449" s="24" t="s">
        <v>610</v>
      </c>
      <c r="I449" s="25" t="s">
        <v>307</v>
      </c>
      <c r="J449" s="25" t="s">
        <v>57</v>
      </c>
      <c r="K449" s="25" t="s">
        <v>81</v>
      </c>
      <c r="L449" s="25" t="s">
        <v>73</v>
      </c>
      <c r="M449" s="25" t="s">
        <v>420</v>
      </c>
      <c r="N449" s="25" t="s">
        <v>465</v>
      </c>
      <c r="O449" s="25" t="s">
        <v>63</v>
      </c>
      <c r="P449" s="25" t="s">
        <v>63</v>
      </c>
    </row>
    <row r="450" ht="20" customHeight="1" spans="1:16" x14ac:dyDescent="0.25">
      <c r="A450" s="21" t="s">
        <v>1568</v>
      </c>
      <c r="B450" s="21" t="s">
        <v>1560</v>
      </c>
      <c r="C450" s="21" t="s">
        <v>1178</v>
      </c>
      <c r="D450" s="21" t="s">
        <v>1560</v>
      </c>
      <c r="E450" s="21" t="s">
        <v>1569</v>
      </c>
      <c r="F450" s="22" t="s">
        <v>53</v>
      </c>
      <c r="G450" s="21" t="s">
        <v>105</v>
      </c>
      <c r="H450" s="21" t="s">
        <v>610</v>
      </c>
      <c r="I450" s="22" t="s">
        <v>88</v>
      </c>
      <c r="J450" s="22" t="s">
        <v>57</v>
      </c>
      <c r="K450" s="22" t="s">
        <v>72</v>
      </c>
      <c r="L450" s="22" t="s">
        <v>73</v>
      </c>
      <c r="M450" s="22" t="s">
        <v>275</v>
      </c>
      <c r="N450" s="22" t="s">
        <v>795</v>
      </c>
      <c r="O450" s="22" t="s">
        <v>63</v>
      </c>
      <c r="P450" s="22" t="s">
        <v>63</v>
      </c>
    </row>
    <row r="451" ht="20" customHeight="1" spans="1:16" s="23" customFormat="1" x14ac:dyDescent="0.25">
      <c r="A451" s="24" t="s">
        <v>1570</v>
      </c>
      <c r="B451" s="24" t="s">
        <v>1560</v>
      </c>
      <c r="C451" s="24" t="s">
        <v>145</v>
      </c>
      <c r="D451" s="24" t="s">
        <v>1560</v>
      </c>
      <c r="E451" s="24" t="s">
        <v>1341</v>
      </c>
      <c r="F451" s="25" t="s">
        <v>1450</v>
      </c>
      <c r="G451" s="24" t="s">
        <v>69</v>
      </c>
      <c r="H451" s="24" t="s">
        <v>1451</v>
      </c>
      <c r="I451" s="25" t="s">
        <v>80</v>
      </c>
      <c r="J451" s="25" t="s">
        <v>57</v>
      </c>
      <c r="K451" s="25" t="s">
        <v>217</v>
      </c>
      <c r="L451" s="25" t="s">
        <v>73</v>
      </c>
      <c r="M451" s="25" t="s">
        <v>60</v>
      </c>
      <c r="N451" s="25" t="s">
        <v>61</v>
      </c>
      <c r="O451" s="25" t="s">
        <v>63</v>
      </c>
      <c r="P451" s="25" t="s">
        <v>63</v>
      </c>
    </row>
    <row r="452" ht="20" customHeight="1" spans="1:16" x14ac:dyDescent="0.25">
      <c r="A452" s="21" t="s">
        <v>1571</v>
      </c>
      <c r="B452" s="21" t="s">
        <v>1563</v>
      </c>
      <c r="C452" s="21" t="s">
        <v>158</v>
      </c>
      <c r="D452" s="21" t="s">
        <v>1563</v>
      </c>
      <c r="E452" s="21" t="s">
        <v>808</v>
      </c>
      <c r="F452" s="22" t="s">
        <v>53</v>
      </c>
      <c r="G452" s="21" t="s">
        <v>105</v>
      </c>
      <c r="H452" s="21" t="s">
        <v>610</v>
      </c>
      <c r="I452" s="22" t="s">
        <v>80</v>
      </c>
      <c r="J452" s="22" t="s">
        <v>57</v>
      </c>
      <c r="K452" s="22" t="s">
        <v>1572</v>
      </c>
      <c r="L452" s="22" t="s">
        <v>1573</v>
      </c>
      <c r="M452" s="22" t="s">
        <v>60</v>
      </c>
      <c r="N452" s="22" t="s">
        <v>61</v>
      </c>
      <c r="O452" s="22" t="s">
        <v>63</v>
      </c>
      <c r="P452" s="22" t="s">
        <v>63</v>
      </c>
    </row>
    <row r="453" ht="20" customHeight="1" spans="1:16" s="23" customFormat="1" x14ac:dyDescent="0.25">
      <c r="A453" s="24" t="s">
        <v>1574</v>
      </c>
      <c r="B453" s="24" t="s">
        <v>1563</v>
      </c>
      <c r="C453" s="24" t="s">
        <v>135</v>
      </c>
      <c r="D453" s="24" t="s">
        <v>1563</v>
      </c>
      <c r="E453" s="24" t="s">
        <v>250</v>
      </c>
      <c r="F453" s="25" t="s">
        <v>1450</v>
      </c>
      <c r="G453" s="24" t="s">
        <v>69</v>
      </c>
      <c r="H453" s="24" t="s">
        <v>1451</v>
      </c>
      <c r="I453" s="25" t="s">
        <v>314</v>
      </c>
      <c r="J453" s="25" t="s">
        <v>57</v>
      </c>
      <c r="K453" s="25" t="s">
        <v>538</v>
      </c>
      <c r="L453" s="25" t="s">
        <v>73</v>
      </c>
      <c r="M453" s="25" t="s">
        <v>201</v>
      </c>
      <c r="N453" s="25" t="s">
        <v>974</v>
      </c>
      <c r="O453" s="25" t="s">
        <v>63</v>
      </c>
      <c r="P453" s="25" t="s">
        <v>63</v>
      </c>
    </row>
    <row r="454" ht="20" customHeight="1" spans="1:16" x14ac:dyDescent="0.25">
      <c r="A454" s="21" t="s">
        <v>1575</v>
      </c>
      <c r="B454" s="21" t="s">
        <v>1563</v>
      </c>
      <c r="C454" s="21" t="s">
        <v>751</v>
      </c>
      <c r="D454" s="21" t="s">
        <v>1563</v>
      </c>
      <c r="E454" s="21" t="s">
        <v>1576</v>
      </c>
      <c r="F454" s="22" t="s">
        <v>137</v>
      </c>
      <c r="G454" s="21" t="s">
        <v>138</v>
      </c>
      <c r="H454" s="21" t="s">
        <v>139</v>
      </c>
      <c r="I454" s="22" t="s">
        <v>691</v>
      </c>
      <c r="J454" s="22" t="s">
        <v>57</v>
      </c>
      <c r="K454" s="22" t="s">
        <v>1457</v>
      </c>
      <c r="L454" s="22" t="s">
        <v>1577</v>
      </c>
      <c r="M454" s="22" t="s">
        <v>201</v>
      </c>
      <c r="N454" s="22" t="s">
        <v>974</v>
      </c>
      <c r="O454" s="22" t="s">
        <v>63</v>
      </c>
      <c r="P454" s="22" t="s">
        <v>1578</v>
      </c>
    </row>
    <row r="455" ht="20" customHeight="1" spans="1:16" s="23" customFormat="1" x14ac:dyDescent="0.25">
      <c r="A455" s="24" t="s">
        <v>1579</v>
      </c>
      <c r="B455" s="24" t="s">
        <v>1563</v>
      </c>
      <c r="C455" s="24" t="s">
        <v>1139</v>
      </c>
      <c r="D455" s="24" t="s">
        <v>1563</v>
      </c>
      <c r="E455" s="24" t="s">
        <v>1580</v>
      </c>
      <c r="F455" s="25" t="s">
        <v>85</v>
      </c>
      <c r="G455" s="24" t="s">
        <v>86</v>
      </c>
      <c r="H455" s="24" t="s">
        <v>87</v>
      </c>
      <c r="I455" s="25" t="s">
        <v>1205</v>
      </c>
      <c r="J455" s="25" t="s">
        <v>57</v>
      </c>
      <c r="K455" s="25" t="s">
        <v>1581</v>
      </c>
      <c r="L455" s="25" t="s">
        <v>73</v>
      </c>
      <c r="M455" s="25" t="s">
        <v>201</v>
      </c>
      <c r="N455" s="25" t="s">
        <v>974</v>
      </c>
      <c r="O455" s="25" t="s">
        <v>63</v>
      </c>
      <c r="P455" s="25" t="s">
        <v>63</v>
      </c>
    </row>
    <row r="456" ht="20" customHeight="1" spans="1:16" x14ac:dyDescent="0.25">
      <c r="A456" s="21" t="s">
        <v>1582</v>
      </c>
      <c r="B456" s="21" t="s">
        <v>1563</v>
      </c>
      <c r="C456" s="21" t="s">
        <v>1504</v>
      </c>
      <c r="D456" s="21" t="s">
        <v>1563</v>
      </c>
      <c r="E456" s="21" t="s">
        <v>685</v>
      </c>
      <c r="F456" s="22" t="s">
        <v>53</v>
      </c>
      <c r="G456" s="21" t="s">
        <v>54</v>
      </c>
      <c r="H456" s="21" t="s">
        <v>55</v>
      </c>
      <c r="I456" s="22" t="s">
        <v>56</v>
      </c>
      <c r="J456" s="22" t="s">
        <v>57</v>
      </c>
      <c r="K456" s="22" t="s">
        <v>871</v>
      </c>
      <c r="L456" s="22" t="s">
        <v>73</v>
      </c>
      <c r="M456" s="22" t="s">
        <v>201</v>
      </c>
      <c r="N456" s="22" t="s">
        <v>974</v>
      </c>
      <c r="O456" s="22" t="s">
        <v>63</v>
      </c>
      <c r="P456" s="22" t="s">
        <v>63</v>
      </c>
    </row>
    <row r="457" ht="20" customHeight="1" spans="1:16" s="23" customFormat="1" x14ac:dyDescent="0.25">
      <c r="A457" s="24" t="s">
        <v>1583</v>
      </c>
      <c r="B457" s="24" t="s">
        <v>1584</v>
      </c>
      <c r="C457" s="24" t="s">
        <v>1181</v>
      </c>
      <c r="D457" s="24" t="s">
        <v>1584</v>
      </c>
      <c r="E457" s="24" t="s">
        <v>402</v>
      </c>
      <c r="F457" s="25" t="s">
        <v>53</v>
      </c>
      <c r="G457" s="24" t="s">
        <v>105</v>
      </c>
      <c r="H457" s="24" t="s">
        <v>55</v>
      </c>
      <c r="I457" s="25" t="s">
        <v>160</v>
      </c>
      <c r="J457" s="25" t="s">
        <v>57</v>
      </c>
      <c r="K457" s="25" t="s">
        <v>1263</v>
      </c>
      <c r="L457" s="25" t="s">
        <v>73</v>
      </c>
      <c r="M457" s="25" t="s">
        <v>160</v>
      </c>
      <c r="N457" s="25" t="s">
        <v>426</v>
      </c>
      <c r="O457" s="25" t="s">
        <v>63</v>
      </c>
      <c r="P457" s="25" t="s">
        <v>63</v>
      </c>
    </row>
    <row r="458" ht="20" customHeight="1" spans="1:16" x14ac:dyDescent="0.25">
      <c r="A458" s="21" t="s">
        <v>1585</v>
      </c>
      <c r="B458" s="21" t="s">
        <v>1584</v>
      </c>
      <c r="C458" s="21" t="s">
        <v>1586</v>
      </c>
      <c r="D458" s="21" t="s">
        <v>1587</v>
      </c>
      <c r="E458" s="21" t="s">
        <v>340</v>
      </c>
      <c r="F458" s="22" t="s">
        <v>1450</v>
      </c>
      <c r="G458" s="21" t="s">
        <v>69</v>
      </c>
      <c r="H458" s="21" t="s">
        <v>1451</v>
      </c>
      <c r="I458" s="22" t="s">
        <v>71</v>
      </c>
      <c r="J458" s="22" t="s">
        <v>57</v>
      </c>
      <c r="K458" s="22" t="s">
        <v>119</v>
      </c>
      <c r="L458" s="22" t="s">
        <v>73</v>
      </c>
      <c r="M458" s="22" t="s">
        <v>420</v>
      </c>
      <c r="N458" s="22" t="s">
        <v>465</v>
      </c>
      <c r="O458" s="22" t="s">
        <v>63</v>
      </c>
      <c r="P458" s="22" t="s">
        <v>63</v>
      </c>
    </row>
    <row r="459" ht="20" customHeight="1" spans="1:16" s="23" customFormat="1" x14ac:dyDescent="0.25">
      <c r="A459" s="24" t="s">
        <v>1588</v>
      </c>
      <c r="B459" s="24" t="s">
        <v>1584</v>
      </c>
      <c r="C459" s="24" t="s">
        <v>1138</v>
      </c>
      <c r="D459" s="24" t="s">
        <v>1584</v>
      </c>
      <c r="E459" s="24" t="s">
        <v>1362</v>
      </c>
      <c r="F459" s="25" t="s">
        <v>85</v>
      </c>
      <c r="G459" s="24" t="s">
        <v>86</v>
      </c>
      <c r="H459" s="24" t="s">
        <v>87</v>
      </c>
      <c r="I459" s="25" t="s">
        <v>71</v>
      </c>
      <c r="J459" s="25" t="s">
        <v>57</v>
      </c>
      <c r="K459" s="25" t="s">
        <v>477</v>
      </c>
      <c r="L459" s="25" t="s">
        <v>73</v>
      </c>
      <c r="M459" s="25" t="s">
        <v>420</v>
      </c>
      <c r="N459" s="25" t="s">
        <v>465</v>
      </c>
      <c r="O459" s="25" t="s">
        <v>63</v>
      </c>
      <c r="P459" s="25" t="s">
        <v>63</v>
      </c>
    </row>
    <row r="460" ht="20" customHeight="1" spans="1:16" x14ac:dyDescent="0.25">
      <c r="A460" s="21" t="s">
        <v>1589</v>
      </c>
      <c r="B460" s="21" t="s">
        <v>1584</v>
      </c>
      <c r="C460" s="21" t="s">
        <v>1048</v>
      </c>
      <c r="D460" s="21" t="s">
        <v>1584</v>
      </c>
      <c r="E460" s="21" t="s">
        <v>1224</v>
      </c>
      <c r="F460" s="22" t="s">
        <v>53</v>
      </c>
      <c r="G460" s="21" t="s">
        <v>54</v>
      </c>
      <c r="H460" s="21" t="s">
        <v>55</v>
      </c>
      <c r="I460" s="22" t="s">
        <v>771</v>
      </c>
      <c r="J460" s="22" t="s">
        <v>57</v>
      </c>
      <c r="K460" s="22" t="s">
        <v>966</v>
      </c>
      <c r="L460" s="22" t="s">
        <v>73</v>
      </c>
      <c r="M460" s="22" t="s">
        <v>420</v>
      </c>
      <c r="N460" s="22" t="s">
        <v>465</v>
      </c>
      <c r="O460" s="22" t="s">
        <v>63</v>
      </c>
      <c r="P460" s="22" t="s">
        <v>63</v>
      </c>
    </row>
    <row r="461" ht="20" customHeight="1" spans="1:16" s="23" customFormat="1" x14ac:dyDescent="0.25">
      <c r="A461" s="24" t="s">
        <v>1590</v>
      </c>
      <c r="B461" s="24" t="s">
        <v>1584</v>
      </c>
      <c r="C461" s="24" t="s">
        <v>1369</v>
      </c>
      <c r="D461" s="24" t="s">
        <v>1584</v>
      </c>
      <c r="E461" s="24" t="s">
        <v>740</v>
      </c>
      <c r="F461" s="25" t="s">
        <v>85</v>
      </c>
      <c r="G461" s="24" t="s">
        <v>732</v>
      </c>
      <c r="H461" s="24" t="s">
        <v>87</v>
      </c>
      <c r="I461" s="25" t="s">
        <v>100</v>
      </c>
      <c r="J461" s="25" t="s">
        <v>57</v>
      </c>
      <c r="K461" s="25" t="s">
        <v>596</v>
      </c>
      <c r="L461" s="25" t="s">
        <v>73</v>
      </c>
      <c r="M461" s="25" t="s">
        <v>235</v>
      </c>
      <c r="N461" s="25" t="s">
        <v>389</v>
      </c>
      <c r="O461" s="25" t="s">
        <v>63</v>
      </c>
      <c r="P461" s="25" t="s">
        <v>63</v>
      </c>
    </row>
    <row r="462" ht="20" customHeight="1" spans="1:16" x14ac:dyDescent="0.25">
      <c r="A462" s="21" t="s">
        <v>1591</v>
      </c>
      <c r="B462" s="21" t="s">
        <v>1584</v>
      </c>
      <c r="C462" s="21" t="s">
        <v>1519</v>
      </c>
      <c r="D462" s="21" t="s">
        <v>1584</v>
      </c>
      <c r="E462" s="21" t="s">
        <v>1592</v>
      </c>
      <c r="F462" s="22" t="s">
        <v>1593</v>
      </c>
      <c r="G462" s="21" t="s">
        <v>1594</v>
      </c>
      <c r="H462" s="21" t="s">
        <v>982</v>
      </c>
      <c r="I462" s="22" t="s">
        <v>246</v>
      </c>
      <c r="J462" s="22" t="s">
        <v>57</v>
      </c>
      <c r="K462" s="22" t="s">
        <v>1595</v>
      </c>
      <c r="L462" s="22" t="s">
        <v>256</v>
      </c>
      <c r="M462" s="22" t="s">
        <v>235</v>
      </c>
      <c r="N462" s="22" t="s">
        <v>389</v>
      </c>
      <c r="O462" s="22" t="s">
        <v>63</v>
      </c>
      <c r="P462" s="22" t="s">
        <v>63</v>
      </c>
    </row>
    <row r="463" ht="20" customHeight="1" spans="1:16" s="23" customFormat="1" x14ac:dyDescent="0.25">
      <c r="A463" s="24" t="s">
        <v>1596</v>
      </c>
      <c r="B463" s="24" t="s">
        <v>1584</v>
      </c>
      <c r="C463" s="24" t="s">
        <v>1475</v>
      </c>
      <c r="D463" s="24" t="s">
        <v>1584</v>
      </c>
      <c r="E463" s="24" t="s">
        <v>1025</v>
      </c>
      <c r="F463" s="25" t="s">
        <v>53</v>
      </c>
      <c r="G463" s="24" t="s">
        <v>54</v>
      </c>
      <c r="H463" s="24" t="s">
        <v>55</v>
      </c>
      <c r="I463" s="25" t="s">
        <v>71</v>
      </c>
      <c r="J463" s="25" t="s">
        <v>57</v>
      </c>
      <c r="K463" s="25" t="s">
        <v>1597</v>
      </c>
      <c r="L463" s="25" t="s">
        <v>73</v>
      </c>
      <c r="M463" s="25" t="s">
        <v>235</v>
      </c>
      <c r="N463" s="25" t="s">
        <v>389</v>
      </c>
      <c r="O463" s="25" t="s">
        <v>63</v>
      </c>
      <c r="P463" s="25" t="s">
        <v>63</v>
      </c>
    </row>
    <row r="464" ht="20" customHeight="1" spans="1:16" x14ac:dyDescent="0.25">
      <c r="A464" s="21" t="s">
        <v>1598</v>
      </c>
      <c r="B464" s="21" t="s">
        <v>1599</v>
      </c>
      <c r="C464" s="21" t="s">
        <v>378</v>
      </c>
      <c r="D464" s="21" t="s">
        <v>1599</v>
      </c>
      <c r="E464" s="21" t="s">
        <v>1600</v>
      </c>
      <c r="F464" s="22" t="s">
        <v>1601</v>
      </c>
      <c r="G464" s="21" t="s">
        <v>978</v>
      </c>
      <c r="H464" s="21" t="s">
        <v>1350</v>
      </c>
      <c r="I464" s="22" t="s">
        <v>71</v>
      </c>
      <c r="J464" s="22" t="s">
        <v>57</v>
      </c>
      <c r="K464" s="22" t="s">
        <v>1602</v>
      </c>
      <c r="L464" s="22" t="s">
        <v>1603</v>
      </c>
      <c r="M464" s="22" t="s">
        <v>499</v>
      </c>
      <c r="N464" s="22" t="s">
        <v>465</v>
      </c>
      <c r="O464" s="22" t="s">
        <v>63</v>
      </c>
      <c r="P464" s="22" t="s">
        <v>63</v>
      </c>
    </row>
    <row r="465" ht="20" customHeight="1" spans="1:16" s="23" customFormat="1" x14ac:dyDescent="0.25">
      <c r="A465" s="24" t="s">
        <v>1604</v>
      </c>
      <c r="B465" s="24" t="s">
        <v>1599</v>
      </c>
      <c r="C465" s="24" t="s">
        <v>1138</v>
      </c>
      <c r="D465" s="24" t="s">
        <v>1599</v>
      </c>
      <c r="E465" s="24" t="s">
        <v>450</v>
      </c>
      <c r="F465" s="25" t="s">
        <v>436</v>
      </c>
      <c r="G465" s="24" t="s">
        <v>437</v>
      </c>
      <c r="H465" s="24" t="s">
        <v>438</v>
      </c>
      <c r="I465" s="25" t="s">
        <v>186</v>
      </c>
      <c r="J465" s="25" t="s">
        <v>57</v>
      </c>
      <c r="K465" s="25" t="s">
        <v>58</v>
      </c>
      <c r="L465" s="25" t="s">
        <v>1605</v>
      </c>
      <c r="M465" s="25" t="s">
        <v>160</v>
      </c>
      <c r="N465" s="25" t="s">
        <v>426</v>
      </c>
      <c r="O465" s="25" t="s">
        <v>63</v>
      </c>
      <c r="P465" s="25" t="s">
        <v>63</v>
      </c>
    </row>
    <row r="466" ht="20" customHeight="1" spans="1:16" x14ac:dyDescent="0.25">
      <c r="A466" s="21" t="s">
        <v>1606</v>
      </c>
      <c r="B466" s="21" t="s">
        <v>1599</v>
      </c>
      <c r="C466" s="21" t="s">
        <v>1607</v>
      </c>
      <c r="D466" s="21" t="s">
        <v>1599</v>
      </c>
      <c r="E466" s="21" t="s">
        <v>1608</v>
      </c>
      <c r="F466" s="22" t="s">
        <v>85</v>
      </c>
      <c r="G466" s="21" t="s">
        <v>86</v>
      </c>
      <c r="H466" s="21" t="s">
        <v>87</v>
      </c>
      <c r="I466" s="22" t="s">
        <v>160</v>
      </c>
      <c r="J466" s="22" t="s">
        <v>57</v>
      </c>
      <c r="K466" s="22" t="s">
        <v>772</v>
      </c>
      <c r="L466" s="22" t="s">
        <v>73</v>
      </c>
      <c r="M466" s="22" t="s">
        <v>160</v>
      </c>
      <c r="N466" s="22" t="s">
        <v>426</v>
      </c>
      <c r="O466" s="22" t="s">
        <v>63</v>
      </c>
      <c r="P466" s="22" t="s">
        <v>63</v>
      </c>
    </row>
    <row r="467" ht="20" customHeight="1" spans="1:16" s="23" customFormat="1" x14ac:dyDescent="0.25">
      <c r="A467" s="24" t="s">
        <v>1609</v>
      </c>
      <c r="B467" s="24" t="s">
        <v>1599</v>
      </c>
      <c r="C467" s="24" t="s">
        <v>1302</v>
      </c>
      <c r="D467" s="24" t="s">
        <v>1599</v>
      </c>
      <c r="E467" s="24" t="s">
        <v>1504</v>
      </c>
      <c r="F467" s="25" t="s">
        <v>53</v>
      </c>
      <c r="G467" s="24" t="s">
        <v>105</v>
      </c>
      <c r="H467" s="24" t="s">
        <v>55</v>
      </c>
      <c r="I467" s="25" t="s">
        <v>80</v>
      </c>
      <c r="J467" s="25" t="s">
        <v>57</v>
      </c>
      <c r="K467" s="25" t="s">
        <v>147</v>
      </c>
      <c r="L467" s="25" t="s">
        <v>73</v>
      </c>
      <c r="M467" s="25" t="s">
        <v>60</v>
      </c>
      <c r="N467" s="25" t="s">
        <v>61</v>
      </c>
      <c r="O467" s="25" t="s">
        <v>63</v>
      </c>
      <c r="P467" s="25" t="s">
        <v>63</v>
      </c>
    </row>
    <row r="468" ht="20" customHeight="1" spans="1:16" x14ac:dyDescent="0.25">
      <c r="A468" s="21" t="s">
        <v>1610</v>
      </c>
      <c r="B468" s="21" t="s">
        <v>1599</v>
      </c>
      <c r="C468" s="21" t="s">
        <v>111</v>
      </c>
      <c r="D468" s="21" t="s">
        <v>1599</v>
      </c>
      <c r="E468" s="21" t="s">
        <v>1611</v>
      </c>
      <c r="F468" s="22" t="s">
        <v>53</v>
      </c>
      <c r="G468" s="21" t="s">
        <v>54</v>
      </c>
      <c r="H468" s="21" t="s">
        <v>55</v>
      </c>
      <c r="I468" s="22" t="s">
        <v>113</v>
      </c>
      <c r="J468" s="22" t="s">
        <v>57</v>
      </c>
      <c r="K468" s="22" t="s">
        <v>227</v>
      </c>
      <c r="L468" s="22" t="s">
        <v>73</v>
      </c>
      <c r="M468" s="22" t="s">
        <v>201</v>
      </c>
      <c r="N468" s="22" t="s">
        <v>974</v>
      </c>
      <c r="O468" s="22" t="s">
        <v>63</v>
      </c>
      <c r="P468" s="22" t="s">
        <v>63</v>
      </c>
    </row>
    <row r="469" ht="20" customHeight="1" spans="1:16" s="23" customFormat="1" x14ac:dyDescent="0.25">
      <c r="A469" s="24" t="s">
        <v>1612</v>
      </c>
      <c r="B469" s="24" t="s">
        <v>1613</v>
      </c>
      <c r="C469" s="24" t="s">
        <v>604</v>
      </c>
      <c r="D469" s="24" t="s">
        <v>1599</v>
      </c>
      <c r="E469" s="24" t="s">
        <v>1614</v>
      </c>
      <c r="F469" s="25" t="s">
        <v>1615</v>
      </c>
      <c r="G469" s="24" t="s">
        <v>1616</v>
      </c>
      <c r="H469" s="24" t="s">
        <v>1617</v>
      </c>
      <c r="I469" s="25" t="s">
        <v>132</v>
      </c>
      <c r="J469" s="25" t="s">
        <v>57</v>
      </c>
      <c r="K469" s="25" t="s">
        <v>1618</v>
      </c>
      <c r="L469" s="25" t="s">
        <v>1619</v>
      </c>
      <c r="M469" s="25" t="s">
        <v>616</v>
      </c>
      <c r="N469" s="25" t="s">
        <v>465</v>
      </c>
      <c r="O469" s="25" t="s">
        <v>63</v>
      </c>
      <c r="P469" s="25" t="s">
        <v>63</v>
      </c>
    </row>
    <row r="470" ht="20" customHeight="1" spans="1:16" x14ac:dyDescent="0.25">
      <c r="A470" s="21" t="s">
        <v>1620</v>
      </c>
      <c r="B470" s="21" t="s">
        <v>1599</v>
      </c>
      <c r="C470" s="21" t="s">
        <v>644</v>
      </c>
      <c r="D470" s="21" t="s">
        <v>1599</v>
      </c>
      <c r="E470" s="21" t="s">
        <v>693</v>
      </c>
      <c r="F470" s="22" t="s">
        <v>53</v>
      </c>
      <c r="G470" s="21" t="s">
        <v>1621</v>
      </c>
      <c r="H470" s="21" t="s">
        <v>55</v>
      </c>
      <c r="I470" s="22" t="s">
        <v>132</v>
      </c>
      <c r="J470" s="22" t="s">
        <v>57</v>
      </c>
      <c r="K470" s="22" t="s">
        <v>1102</v>
      </c>
      <c r="L470" s="22" t="s">
        <v>73</v>
      </c>
      <c r="M470" s="22" t="s">
        <v>63</v>
      </c>
      <c r="N470" s="22" t="s">
        <v>63</v>
      </c>
      <c r="O470" s="22" t="s">
        <v>63</v>
      </c>
      <c r="P470" s="22" t="s">
        <v>63</v>
      </c>
    </row>
    <row r="471" ht="20" customHeight="1" spans="1:16" s="23" customFormat="1" x14ac:dyDescent="0.25">
      <c r="A471" s="24" t="s">
        <v>1612</v>
      </c>
      <c r="B471" s="24" t="s">
        <v>1599</v>
      </c>
      <c r="C471" s="24" t="s">
        <v>604</v>
      </c>
      <c r="D471" s="24" t="s">
        <v>1599</v>
      </c>
      <c r="E471" s="24" t="s">
        <v>1622</v>
      </c>
      <c r="F471" s="25" t="s">
        <v>1615</v>
      </c>
      <c r="G471" s="24" t="s">
        <v>1616</v>
      </c>
      <c r="H471" s="24" t="s">
        <v>1617</v>
      </c>
      <c r="I471" s="25" t="s">
        <v>132</v>
      </c>
      <c r="J471" s="25" t="s">
        <v>57</v>
      </c>
      <c r="K471" s="25" t="s">
        <v>1618</v>
      </c>
      <c r="L471" s="25" t="s">
        <v>1619</v>
      </c>
      <c r="M471" s="25" t="s">
        <v>616</v>
      </c>
      <c r="N471" s="25" t="s">
        <v>465</v>
      </c>
      <c r="O471" s="25" t="s">
        <v>63</v>
      </c>
      <c r="P471" s="25" t="s">
        <v>63</v>
      </c>
    </row>
    <row r="472" ht="20" customHeight="1" spans="1:16" x14ac:dyDescent="0.25">
      <c r="A472" s="21" t="s">
        <v>1623</v>
      </c>
      <c r="B472" s="21" t="s">
        <v>1613</v>
      </c>
      <c r="C472" s="21" t="s">
        <v>707</v>
      </c>
      <c r="D472" s="21" t="s">
        <v>1613</v>
      </c>
      <c r="E472" s="21" t="s">
        <v>1624</v>
      </c>
      <c r="F472" s="22" t="s">
        <v>53</v>
      </c>
      <c r="G472" s="21" t="s">
        <v>1616</v>
      </c>
      <c r="H472" s="21" t="s">
        <v>55</v>
      </c>
      <c r="I472" s="22" t="s">
        <v>223</v>
      </c>
      <c r="J472" s="22" t="s">
        <v>57</v>
      </c>
      <c r="K472" s="22" t="s">
        <v>775</v>
      </c>
      <c r="L472" s="22" t="s">
        <v>73</v>
      </c>
      <c r="M472" s="22" t="s">
        <v>616</v>
      </c>
      <c r="N472" s="22" t="s">
        <v>465</v>
      </c>
      <c r="O472" s="22" t="s">
        <v>63</v>
      </c>
      <c r="P472" s="22" t="s">
        <v>63</v>
      </c>
    </row>
    <row r="473" ht="20" customHeight="1" spans="1:16" s="23" customFormat="1" x14ac:dyDescent="0.25">
      <c r="A473" s="24" t="s">
        <v>1625</v>
      </c>
      <c r="B473" s="24" t="s">
        <v>1613</v>
      </c>
      <c r="C473" s="24" t="s">
        <v>241</v>
      </c>
      <c r="D473" s="24" t="s">
        <v>1613</v>
      </c>
      <c r="E473" s="24" t="s">
        <v>79</v>
      </c>
      <c r="F473" s="25" t="s">
        <v>53</v>
      </c>
      <c r="G473" s="24" t="s">
        <v>54</v>
      </c>
      <c r="H473" s="24" t="s">
        <v>55</v>
      </c>
      <c r="I473" s="25" t="s">
        <v>275</v>
      </c>
      <c r="J473" s="25" t="s">
        <v>57</v>
      </c>
      <c r="K473" s="25" t="s">
        <v>1626</v>
      </c>
      <c r="L473" s="25" t="s">
        <v>73</v>
      </c>
      <c r="M473" s="25" t="s">
        <v>616</v>
      </c>
      <c r="N473" s="25" t="s">
        <v>465</v>
      </c>
      <c r="O473" s="25" t="s">
        <v>63</v>
      </c>
      <c r="P473" s="25" t="s">
        <v>63</v>
      </c>
    </row>
    <row r="474" ht="20" customHeight="1" spans="1:16" x14ac:dyDescent="0.25">
      <c r="A474" s="21" t="s">
        <v>1627</v>
      </c>
      <c r="B474" s="21" t="s">
        <v>1587</v>
      </c>
      <c r="C474" s="21" t="s">
        <v>1628</v>
      </c>
      <c r="D474" s="21" t="s">
        <v>1587</v>
      </c>
      <c r="E474" s="21" t="s">
        <v>1007</v>
      </c>
      <c r="F474" s="22" t="s">
        <v>53</v>
      </c>
      <c r="G474" s="21" t="s">
        <v>54</v>
      </c>
      <c r="H474" s="21" t="s">
        <v>55</v>
      </c>
      <c r="I474" s="22" t="s">
        <v>113</v>
      </c>
      <c r="J474" s="22" t="s">
        <v>57</v>
      </c>
      <c r="K474" s="22" t="s">
        <v>1629</v>
      </c>
      <c r="L474" s="22" t="s">
        <v>1630</v>
      </c>
      <c r="M474" s="22" t="s">
        <v>616</v>
      </c>
      <c r="N474" s="22" t="s">
        <v>465</v>
      </c>
      <c r="O474" s="22" t="s">
        <v>63</v>
      </c>
      <c r="P474" s="22" t="s">
        <v>63</v>
      </c>
    </row>
    <row r="475" ht="20" customHeight="1" spans="1:16" s="23" customFormat="1" x14ac:dyDescent="0.25">
      <c r="A475" s="24" t="s">
        <v>1631</v>
      </c>
      <c r="B475" s="24" t="s">
        <v>1587</v>
      </c>
      <c r="C475" s="24" t="s">
        <v>291</v>
      </c>
      <c r="D475" s="24" t="s">
        <v>1587</v>
      </c>
      <c r="E475" s="24" t="s">
        <v>1632</v>
      </c>
      <c r="F475" s="25" t="s">
        <v>53</v>
      </c>
      <c r="G475" s="24" t="s">
        <v>1616</v>
      </c>
      <c r="H475" s="24" t="s">
        <v>610</v>
      </c>
      <c r="I475" s="25" t="s">
        <v>534</v>
      </c>
      <c r="J475" s="25" t="s">
        <v>57</v>
      </c>
      <c r="K475" s="25" t="s">
        <v>775</v>
      </c>
      <c r="L475" s="25" t="s">
        <v>73</v>
      </c>
      <c r="M475" s="25" t="s">
        <v>616</v>
      </c>
      <c r="N475" s="25" t="s">
        <v>465</v>
      </c>
      <c r="O475" s="25" t="s">
        <v>63</v>
      </c>
      <c r="P475" s="25" t="s">
        <v>63</v>
      </c>
    </row>
    <row r="476" ht="20" customHeight="1" spans="1:16" x14ac:dyDescent="0.25">
      <c r="A476" s="21" t="s">
        <v>1633</v>
      </c>
      <c r="B476" s="21" t="s">
        <v>1587</v>
      </c>
      <c r="C476" s="21" t="s">
        <v>142</v>
      </c>
      <c r="D476" s="21" t="s">
        <v>1587</v>
      </c>
      <c r="E476" s="21" t="s">
        <v>407</v>
      </c>
      <c r="F476" s="22" t="s">
        <v>53</v>
      </c>
      <c r="G476" s="21" t="s">
        <v>1616</v>
      </c>
      <c r="H476" s="21" t="s">
        <v>610</v>
      </c>
      <c r="I476" s="22" t="s">
        <v>80</v>
      </c>
      <c r="J476" s="22" t="s">
        <v>57</v>
      </c>
      <c r="K476" s="22" t="s">
        <v>260</v>
      </c>
      <c r="L476" s="22" t="s">
        <v>1634</v>
      </c>
      <c r="M476" s="22" t="s">
        <v>60</v>
      </c>
      <c r="N476" s="22" t="s">
        <v>61</v>
      </c>
      <c r="O476" s="22" t="s">
        <v>63</v>
      </c>
      <c r="P476" s="22" t="s">
        <v>63</v>
      </c>
    </row>
    <row r="477" ht="20" customHeight="1" spans="1:16" s="23" customFormat="1" x14ac:dyDescent="0.25">
      <c r="A477" s="24" t="s">
        <v>1635</v>
      </c>
      <c r="B477" s="24" t="s">
        <v>1587</v>
      </c>
      <c r="C477" s="24" t="s">
        <v>873</v>
      </c>
      <c r="D477" s="24" t="s">
        <v>1587</v>
      </c>
      <c r="E477" s="24" t="s">
        <v>1337</v>
      </c>
      <c r="F477" s="25" t="s">
        <v>53</v>
      </c>
      <c r="G477" s="24" t="s">
        <v>1616</v>
      </c>
      <c r="H477" s="24" t="s">
        <v>55</v>
      </c>
      <c r="I477" s="25" t="s">
        <v>80</v>
      </c>
      <c r="J477" s="25" t="s">
        <v>57</v>
      </c>
      <c r="K477" s="25" t="s">
        <v>72</v>
      </c>
      <c r="L477" s="25" t="s">
        <v>73</v>
      </c>
      <c r="M477" s="25" t="s">
        <v>60</v>
      </c>
      <c r="N477" s="25" t="s">
        <v>61</v>
      </c>
      <c r="O477" s="25" t="s">
        <v>63</v>
      </c>
      <c r="P477" s="25" t="s">
        <v>63</v>
      </c>
    </row>
    <row r="478" ht="20" customHeight="1" spans="1:16" x14ac:dyDescent="0.25">
      <c r="A478" s="21" t="s">
        <v>1636</v>
      </c>
      <c r="B478" s="21" t="s">
        <v>1637</v>
      </c>
      <c r="C478" s="21" t="s">
        <v>93</v>
      </c>
      <c r="D478" s="21" t="s">
        <v>1637</v>
      </c>
      <c r="E478" s="21" t="s">
        <v>1638</v>
      </c>
      <c r="F478" s="22" t="s">
        <v>53</v>
      </c>
      <c r="G478" s="21" t="s">
        <v>1639</v>
      </c>
      <c r="H478" s="21" t="s">
        <v>55</v>
      </c>
      <c r="I478" s="22" t="s">
        <v>691</v>
      </c>
      <c r="J478" s="22" t="s">
        <v>57</v>
      </c>
      <c r="K478" s="22" t="s">
        <v>1640</v>
      </c>
      <c r="L478" s="22" t="s">
        <v>1603</v>
      </c>
      <c r="M478" s="22" t="s">
        <v>60</v>
      </c>
      <c r="N478" s="22" t="s">
        <v>61</v>
      </c>
      <c r="O478" s="22" t="s">
        <v>1641</v>
      </c>
      <c r="P478" s="22" t="s">
        <v>63</v>
      </c>
    </row>
    <row r="479" ht="20" customHeight="1" spans="1:16" s="23" customFormat="1" x14ac:dyDescent="0.25">
      <c r="A479" s="24" t="s">
        <v>1642</v>
      </c>
      <c r="B479" s="24" t="s">
        <v>1637</v>
      </c>
      <c r="C479" s="24" t="s">
        <v>1010</v>
      </c>
      <c r="D479" s="24" t="s">
        <v>1637</v>
      </c>
      <c r="E479" s="24" t="s">
        <v>1643</v>
      </c>
      <c r="F479" s="25" t="s">
        <v>53</v>
      </c>
      <c r="G479" s="24" t="s">
        <v>1616</v>
      </c>
      <c r="H479" s="24" t="s">
        <v>55</v>
      </c>
      <c r="I479" s="25" t="s">
        <v>80</v>
      </c>
      <c r="J479" s="25" t="s">
        <v>57</v>
      </c>
      <c r="K479" s="25" t="s">
        <v>260</v>
      </c>
      <c r="L479" s="25" t="s">
        <v>256</v>
      </c>
      <c r="M479" s="25" t="s">
        <v>60</v>
      </c>
      <c r="N479" s="25" t="s">
        <v>61</v>
      </c>
      <c r="O479" s="25" t="s">
        <v>63</v>
      </c>
      <c r="P479" s="25" t="s">
        <v>63</v>
      </c>
    </row>
    <row r="480" ht="20" customHeight="1" spans="1:16" x14ac:dyDescent="0.25">
      <c r="A480" s="21" t="s">
        <v>1644</v>
      </c>
      <c r="B480" s="21" t="s">
        <v>1637</v>
      </c>
      <c r="C480" s="21" t="s">
        <v>1645</v>
      </c>
      <c r="D480" s="21" t="s">
        <v>1637</v>
      </c>
      <c r="E480" s="21" t="s">
        <v>1646</v>
      </c>
      <c r="F480" s="22" t="s">
        <v>1450</v>
      </c>
      <c r="G480" s="21" t="s">
        <v>69</v>
      </c>
      <c r="H480" s="21" t="s">
        <v>1451</v>
      </c>
      <c r="I480" s="22" t="s">
        <v>314</v>
      </c>
      <c r="J480" s="22" t="s">
        <v>57</v>
      </c>
      <c r="K480" s="22" t="s">
        <v>1647</v>
      </c>
      <c r="L480" s="22" t="s">
        <v>1648</v>
      </c>
      <c r="M480" s="22" t="s">
        <v>60</v>
      </c>
      <c r="N480" s="22" t="s">
        <v>61</v>
      </c>
      <c r="O480" s="22" t="s">
        <v>63</v>
      </c>
      <c r="P480" s="22" t="s">
        <v>63</v>
      </c>
    </row>
    <row r="481" ht="20" customHeight="1" spans="1:16" s="23" customFormat="1" x14ac:dyDescent="0.25">
      <c r="A481" s="24" t="s">
        <v>1649</v>
      </c>
      <c r="B481" s="24" t="s">
        <v>1637</v>
      </c>
      <c r="C481" s="24" t="s">
        <v>347</v>
      </c>
      <c r="D481" s="24" t="s">
        <v>1637</v>
      </c>
      <c r="E481" s="24" t="s">
        <v>1130</v>
      </c>
      <c r="F481" s="25" t="s">
        <v>53</v>
      </c>
      <c r="G481" s="24" t="s">
        <v>54</v>
      </c>
      <c r="H481" s="24" t="s">
        <v>55</v>
      </c>
      <c r="I481" s="25" t="s">
        <v>331</v>
      </c>
      <c r="J481" s="25" t="s">
        <v>57</v>
      </c>
      <c r="K481" s="25" t="s">
        <v>775</v>
      </c>
      <c r="L481" s="25" t="s">
        <v>73</v>
      </c>
      <c r="M481" s="25" t="s">
        <v>616</v>
      </c>
      <c r="N481" s="25" t="s">
        <v>465</v>
      </c>
      <c r="O481" s="25" t="s">
        <v>63</v>
      </c>
      <c r="P481" s="25" t="s">
        <v>63</v>
      </c>
    </row>
    <row r="482" ht="20" customHeight="1" spans="1:16" x14ac:dyDescent="0.25">
      <c r="A482" s="21" t="s">
        <v>1650</v>
      </c>
      <c r="B482" s="21" t="s">
        <v>1651</v>
      </c>
      <c r="C482" s="21" t="s">
        <v>1481</v>
      </c>
      <c r="D482" s="21" t="s">
        <v>1651</v>
      </c>
      <c r="E482" s="21" t="s">
        <v>1434</v>
      </c>
      <c r="F482" s="22" t="s">
        <v>53</v>
      </c>
      <c r="G482" s="21" t="s">
        <v>54</v>
      </c>
      <c r="H482" s="21" t="s">
        <v>55</v>
      </c>
      <c r="I482" s="22" t="s">
        <v>307</v>
      </c>
      <c r="J482" s="22" t="s">
        <v>57</v>
      </c>
      <c r="K482" s="22" t="s">
        <v>1652</v>
      </c>
      <c r="L482" s="22" t="s">
        <v>73</v>
      </c>
      <c r="M482" s="22" t="s">
        <v>616</v>
      </c>
      <c r="N482" s="22" t="s">
        <v>465</v>
      </c>
      <c r="O482" s="22" t="s">
        <v>63</v>
      </c>
      <c r="P482" s="22" t="s">
        <v>63</v>
      </c>
    </row>
    <row r="483" ht="20" customHeight="1" spans="1:16" s="23" customFormat="1" x14ac:dyDescent="0.25">
      <c r="A483" s="24" t="s">
        <v>1653</v>
      </c>
      <c r="B483" s="24" t="s">
        <v>1651</v>
      </c>
      <c r="C483" s="24" t="s">
        <v>754</v>
      </c>
      <c r="D483" s="24" t="s">
        <v>1651</v>
      </c>
      <c r="E483" s="24" t="s">
        <v>520</v>
      </c>
      <c r="F483" s="25" t="s">
        <v>731</v>
      </c>
      <c r="G483" s="24" t="s">
        <v>732</v>
      </c>
      <c r="H483" s="24" t="s">
        <v>733</v>
      </c>
      <c r="I483" s="25" t="s">
        <v>275</v>
      </c>
      <c r="J483" s="25" t="s">
        <v>57</v>
      </c>
      <c r="K483" s="25" t="s">
        <v>1654</v>
      </c>
      <c r="L483" s="25" t="s">
        <v>186</v>
      </c>
      <c r="M483" s="25" t="s">
        <v>235</v>
      </c>
      <c r="N483" s="25" t="s">
        <v>389</v>
      </c>
      <c r="O483" s="25" t="s">
        <v>63</v>
      </c>
      <c r="P483" s="25" t="s">
        <v>63</v>
      </c>
    </row>
    <row r="484" ht="20" customHeight="1" spans="1:16" x14ac:dyDescent="0.25">
      <c r="A484" s="21" t="s">
        <v>1655</v>
      </c>
      <c r="B484" s="21" t="s">
        <v>1651</v>
      </c>
      <c r="C484" s="21" t="s">
        <v>1656</v>
      </c>
      <c r="D484" s="21" t="s">
        <v>1651</v>
      </c>
      <c r="E484" s="21" t="s">
        <v>1657</v>
      </c>
      <c r="F484" s="22" t="s">
        <v>53</v>
      </c>
      <c r="G484" s="21" t="s">
        <v>54</v>
      </c>
      <c r="H484" s="21" t="s">
        <v>55</v>
      </c>
      <c r="I484" s="22" t="s">
        <v>937</v>
      </c>
      <c r="J484" s="22" t="s">
        <v>57</v>
      </c>
      <c r="K484" s="22" t="s">
        <v>81</v>
      </c>
      <c r="L484" s="22" t="s">
        <v>73</v>
      </c>
      <c r="M484" s="22" t="s">
        <v>60</v>
      </c>
      <c r="N484" s="22" t="s">
        <v>61</v>
      </c>
      <c r="O484" s="22" t="s">
        <v>63</v>
      </c>
      <c r="P484" s="22" t="s">
        <v>63</v>
      </c>
    </row>
    <row r="485" ht="20" customHeight="1" spans="1:16" s="23" customFormat="1" x14ac:dyDescent="0.25">
      <c r="A485" s="24" t="s">
        <v>1658</v>
      </c>
      <c r="B485" s="24" t="s">
        <v>1659</v>
      </c>
      <c r="C485" s="24" t="s">
        <v>1660</v>
      </c>
      <c r="D485" s="24" t="s">
        <v>1659</v>
      </c>
      <c r="E485" s="24" t="s">
        <v>1661</v>
      </c>
      <c r="F485" s="25" t="s">
        <v>53</v>
      </c>
      <c r="G485" s="24" t="s">
        <v>1616</v>
      </c>
      <c r="H485" s="24" t="s">
        <v>55</v>
      </c>
      <c r="I485" s="25" t="s">
        <v>113</v>
      </c>
      <c r="J485" s="25" t="s">
        <v>57</v>
      </c>
      <c r="K485" s="25" t="s">
        <v>787</v>
      </c>
      <c r="L485" s="25" t="s">
        <v>1662</v>
      </c>
      <c r="M485" s="25" t="s">
        <v>60</v>
      </c>
      <c r="N485" s="25" t="s">
        <v>61</v>
      </c>
      <c r="O485" s="25" t="s">
        <v>63</v>
      </c>
      <c r="P485" s="25" t="s">
        <v>63</v>
      </c>
    </row>
    <row r="486" ht="20" customHeight="1" spans="1:16" x14ac:dyDescent="0.25">
      <c r="A486" s="21" t="s">
        <v>1663</v>
      </c>
      <c r="B486" s="21" t="s">
        <v>1659</v>
      </c>
      <c r="C486" s="21" t="s">
        <v>158</v>
      </c>
      <c r="D486" s="21" t="s">
        <v>1659</v>
      </c>
      <c r="E486" s="21" t="s">
        <v>804</v>
      </c>
      <c r="F486" s="22" t="s">
        <v>137</v>
      </c>
      <c r="G486" s="21" t="s">
        <v>138</v>
      </c>
      <c r="H486" s="21" t="s">
        <v>139</v>
      </c>
      <c r="I486" s="22" t="s">
        <v>80</v>
      </c>
      <c r="J486" s="22" t="s">
        <v>57</v>
      </c>
      <c r="K486" s="22" t="s">
        <v>1572</v>
      </c>
      <c r="L486" s="22" t="s">
        <v>353</v>
      </c>
      <c r="M486" s="22" t="s">
        <v>60</v>
      </c>
      <c r="N486" s="22" t="s">
        <v>61</v>
      </c>
      <c r="O486" s="22" t="s">
        <v>63</v>
      </c>
      <c r="P486" s="22" t="s">
        <v>63</v>
      </c>
    </row>
    <row r="487" ht="20" customHeight="1" spans="1:16" s="23" customFormat="1" x14ac:dyDescent="0.25">
      <c r="A487" s="24" t="s">
        <v>1664</v>
      </c>
      <c r="B487" s="24" t="s">
        <v>1659</v>
      </c>
      <c r="C487" s="24" t="s">
        <v>93</v>
      </c>
      <c r="D487" s="24" t="s">
        <v>1659</v>
      </c>
      <c r="E487" s="24" t="s">
        <v>1665</v>
      </c>
      <c r="F487" s="25" t="s">
        <v>53</v>
      </c>
      <c r="G487" s="24" t="s">
        <v>54</v>
      </c>
      <c r="H487" s="24" t="s">
        <v>55</v>
      </c>
      <c r="I487" s="25" t="s">
        <v>314</v>
      </c>
      <c r="J487" s="25" t="s">
        <v>57</v>
      </c>
      <c r="K487" s="25" t="s">
        <v>72</v>
      </c>
      <c r="L487" s="25" t="s">
        <v>1001</v>
      </c>
      <c r="M487" s="25" t="s">
        <v>60</v>
      </c>
      <c r="N487" s="25" t="s">
        <v>61</v>
      </c>
      <c r="O487" s="25" t="s">
        <v>63</v>
      </c>
      <c r="P487" s="25" t="s">
        <v>63</v>
      </c>
    </row>
    <row r="488" ht="20" customHeight="1" spans="1:16" x14ac:dyDescent="0.25">
      <c r="A488" s="21" t="s">
        <v>1666</v>
      </c>
      <c r="B488" s="21" t="s">
        <v>1659</v>
      </c>
      <c r="C488" s="21" t="s">
        <v>614</v>
      </c>
      <c r="D488" s="21" t="s">
        <v>1659</v>
      </c>
      <c r="E488" s="21" t="s">
        <v>1667</v>
      </c>
      <c r="F488" s="22" t="s">
        <v>53</v>
      </c>
      <c r="G488" s="21" t="s">
        <v>54</v>
      </c>
      <c r="H488" s="21" t="s">
        <v>55</v>
      </c>
      <c r="I488" s="22" t="s">
        <v>616</v>
      </c>
      <c r="J488" s="22" t="s">
        <v>57</v>
      </c>
      <c r="K488" s="22" t="s">
        <v>775</v>
      </c>
      <c r="L488" s="22" t="s">
        <v>73</v>
      </c>
      <c r="M488" s="22" t="s">
        <v>616</v>
      </c>
      <c r="N488" s="22" t="s">
        <v>465</v>
      </c>
      <c r="O488" s="22" t="s">
        <v>63</v>
      </c>
      <c r="P488" s="22" t="s">
        <v>63</v>
      </c>
    </row>
    <row r="489" ht="20" customHeight="1" spans="1:16" s="23" customFormat="1" x14ac:dyDescent="0.25">
      <c r="A489" s="24" t="s">
        <v>1668</v>
      </c>
      <c r="B489" s="24" t="s">
        <v>1669</v>
      </c>
      <c r="C489" s="24" t="s">
        <v>400</v>
      </c>
      <c r="D489" s="24" t="s">
        <v>1669</v>
      </c>
      <c r="E489" s="24" t="s">
        <v>1670</v>
      </c>
      <c r="F489" s="25" t="s">
        <v>53</v>
      </c>
      <c r="G489" s="24" t="s">
        <v>54</v>
      </c>
      <c r="H489" s="24" t="s">
        <v>55</v>
      </c>
      <c r="I489" s="25" t="s">
        <v>781</v>
      </c>
      <c r="J489" s="25" t="s">
        <v>57</v>
      </c>
      <c r="K489" s="25" t="s">
        <v>227</v>
      </c>
      <c r="L489" s="25" t="s">
        <v>73</v>
      </c>
      <c r="M489" s="25" t="s">
        <v>616</v>
      </c>
      <c r="N489" s="25" t="s">
        <v>465</v>
      </c>
      <c r="O489" s="25" t="s">
        <v>63</v>
      </c>
      <c r="P489" s="25" t="s">
        <v>63</v>
      </c>
    </row>
    <row r="490" ht="20" customHeight="1" spans="1:16" x14ac:dyDescent="0.25">
      <c r="A490" s="21" t="s">
        <v>1671</v>
      </c>
      <c r="B490" s="21" t="s">
        <v>1669</v>
      </c>
      <c r="C490" s="21" t="s">
        <v>1672</v>
      </c>
      <c r="D490" s="21" t="s">
        <v>1669</v>
      </c>
      <c r="E490" s="21" t="s">
        <v>1673</v>
      </c>
      <c r="F490" s="22" t="s">
        <v>53</v>
      </c>
      <c r="G490" s="21" t="s">
        <v>1674</v>
      </c>
      <c r="H490" s="21" t="s">
        <v>55</v>
      </c>
      <c r="I490" s="22" t="s">
        <v>80</v>
      </c>
      <c r="J490" s="22" t="s">
        <v>57</v>
      </c>
      <c r="K490" s="22" t="s">
        <v>596</v>
      </c>
      <c r="L490" s="22" t="s">
        <v>73</v>
      </c>
      <c r="M490" s="22" t="s">
        <v>235</v>
      </c>
      <c r="N490" s="22" t="s">
        <v>389</v>
      </c>
      <c r="O490" s="22" t="s">
        <v>63</v>
      </c>
      <c r="P490" s="22" t="s">
        <v>63</v>
      </c>
    </row>
    <row r="491" ht="20" customHeight="1" spans="1:16" s="23" customFormat="1" x14ac:dyDescent="0.25">
      <c r="A491" s="24" t="s">
        <v>1675</v>
      </c>
      <c r="B491" s="24" t="s">
        <v>1669</v>
      </c>
      <c r="C491" s="24" t="s">
        <v>1676</v>
      </c>
      <c r="D491" s="24" t="s">
        <v>1669</v>
      </c>
      <c r="E491" s="24" t="s">
        <v>1677</v>
      </c>
      <c r="F491" s="25" t="s">
        <v>53</v>
      </c>
      <c r="G491" s="24" t="s">
        <v>54</v>
      </c>
      <c r="H491" s="24" t="s">
        <v>55</v>
      </c>
      <c r="I491" s="25" t="s">
        <v>160</v>
      </c>
      <c r="J491" s="25" t="s">
        <v>57</v>
      </c>
      <c r="K491" s="25" t="s">
        <v>596</v>
      </c>
      <c r="L491" s="25" t="s">
        <v>73</v>
      </c>
      <c r="M491" s="25" t="s">
        <v>235</v>
      </c>
      <c r="N491" s="25" t="s">
        <v>389</v>
      </c>
      <c r="O491" s="25" t="s">
        <v>63</v>
      </c>
      <c r="P491" s="25" t="s">
        <v>63</v>
      </c>
    </row>
    <row r="492" ht="20" customHeight="1" spans="1:16" x14ac:dyDescent="0.25">
      <c r="A492" s="21" t="s">
        <v>1678</v>
      </c>
      <c r="B492" s="21" t="s">
        <v>1669</v>
      </c>
      <c r="C492" s="21" t="s">
        <v>1221</v>
      </c>
      <c r="D492" s="21" t="s">
        <v>1669</v>
      </c>
      <c r="E492" s="21" t="s">
        <v>1471</v>
      </c>
      <c r="F492" s="22" t="s">
        <v>923</v>
      </c>
      <c r="G492" s="21" t="s">
        <v>1674</v>
      </c>
      <c r="H492" s="21" t="s">
        <v>55</v>
      </c>
      <c r="I492" s="22" t="s">
        <v>246</v>
      </c>
      <c r="J492" s="22" t="s">
        <v>57</v>
      </c>
      <c r="K492" s="22" t="s">
        <v>596</v>
      </c>
      <c r="L492" s="22" t="s">
        <v>73</v>
      </c>
      <c r="M492" s="22" t="s">
        <v>235</v>
      </c>
      <c r="N492" s="22" t="s">
        <v>389</v>
      </c>
      <c r="O492" s="22" t="s">
        <v>63</v>
      </c>
      <c r="P492" s="22" t="s">
        <v>63</v>
      </c>
    </row>
    <row r="493" ht="20" customHeight="1" spans="1:16" s="23" customFormat="1" x14ac:dyDescent="0.25">
      <c r="A493" s="24" t="s">
        <v>1679</v>
      </c>
      <c r="B493" s="24" t="s">
        <v>1669</v>
      </c>
      <c r="C493" s="24" t="s">
        <v>1680</v>
      </c>
      <c r="D493" s="24" t="s">
        <v>1669</v>
      </c>
      <c r="E493" s="24" t="s">
        <v>1681</v>
      </c>
      <c r="F493" s="25" t="s">
        <v>53</v>
      </c>
      <c r="G493" s="24" t="s">
        <v>54</v>
      </c>
      <c r="H493" s="24" t="s">
        <v>55</v>
      </c>
      <c r="I493" s="25" t="s">
        <v>88</v>
      </c>
      <c r="J493" s="25" t="s">
        <v>57</v>
      </c>
      <c r="K493" s="25" t="s">
        <v>247</v>
      </c>
      <c r="L493" s="25" t="s">
        <v>73</v>
      </c>
      <c r="M493" s="25" t="s">
        <v>235</v>
      </c>
      <c r="N493" s="25" t="s">
        <v>389</v>
      </c>
      <c r="O493" s="25" t="s">
        <v>63</v>
      </c>
      <c r="P493" s="25" t="s">
        <v>63</v>
      </c>
    </row>
    <row r="494" ht="20" customHeight="1" spans="1:16" x14ac:dyDescent="0.25">
      <c r="A494" s="21" t="s">
        <v>1682</v>
      </c>
      <c r="B494" s="21" t="s">
        <v>1669</v>
      </c>
      <c r="C494" s="21" t="s">
        <v>1683</v>
      </c>
      <c r="D494" s="21" t="s">
        <v>1669</v>
      </c>
      <c r="E494" s="21" t="s">
        <v>1684</v>
      </c>
      <c r="F494" s="22" t="s">
        <v>1685</v>
      </c>
      <c r="G494" s="21" t="s">
        <v>1594</v>
      </c>
      <c r="H494" s="21" t="s">
        <v>55</v>
      </c>
      <c r="I494" s="22" t="s">
        <v>246</v>
      </c>
      <c r="J494" s="22" t="s">
        <v>57</v>
      </c>
      <c r="K494" s="22" t="s">
        <v>260</v>
      </c>
      <c r="L494" s="22" t="s">
        <v>1501</v>
      </c>
      <c r="M494" s="22" t="s">
        <v>235</v>
      </c>
      <c r="N494" s="22" t="s">
        <v>389</v>
      </c>
      <c r="O494" s="22" t="s">
        <v>63</v>
      </c>
      <c r="P494" s="22" t="s">
        <v>63</v>
      </c>
    </row>
    <row r="495" ht="20" customHeight="1" spans="1:16" s="23" customFormat="1" x14ac:dyDescent="0.25">
      <c r="A495" s="24" t="s">
        <v>1686</v>
      </c>
      <c r="B495" s="24" t="s">
        <v>1669</v>
      </c>
      <c r="C495" s="24" t="s">
        <v>1687</v>
      </c>
      <c r="D495" s="24" t="s">
        <v>1669</v>
      </c>
      <c r="E495" s="24" t="s">
        <v>149</v>
      </c>
      <c r="F495" s="25" t="s">
        <v>436</v>
      </c>
      <c r="G495" s="24" t="s">
        <v>437</v>
      </c>
      <c r="H495" s="24" t="s">
        <v>1688</v>
      </c>
      <c r="I495" s="25" t="s">
        <v>160</v>
      </c>
      <c r="J495" s="25" t="s">
        <v>57</v>
      </c>
      <c r="K495" s="25" t="s">
        <v>58</v>
      </c>
      <c r="L495" s="25" t="s">
        <v>73</v>
      </c>
      <c r="M495" s="25" t="s">
        <v>275</v>
      </c>
      <c r="N495" s="25" t="s">
        <v>795</v>
      </c>
      <c r="O495" s="25" t="s">
        <v>63</v>
      </c>
      <c r="P495" s="25" t="s">
        <v>63</v>
      </c>
    </row>
    <row r="496" ht="20" customHeight="1" spans="1:16" x14ac:dyDescent="0.25">
      <c r="A496" s="21" t="s">
        <v>1689</v>
      </c>
      <c r="B496" s="21" t="s">
        <v>1669</v>
      </c>
      <c r="C496" s="21" t="s">
        <v>66</v>
      </c>
      <c r="D496" s="21" t="s">
        <v>1669</v>
      </c>
      <c r="E496" s="21" t="s">
        <v>1690</v>
      </c>
      <c r="F496" s="22" t="s">
        <v>137</v>
      </c>
      <c r="G496" s="21" t="s">
        <v>138</v>
      </c>
      <c r="H496" s="21" t="s">
        <v>139</v>
      </c>
      <c r="I496" s="22" t="s">
        <v>80</v>
      </c>
      <c r="J496" s="22" t="s">
        <v>57</v>
      </c>
      <c r="K496" s="22" t="s">
        <v>1691</v>
      </c>
      <c r="L496" s="22" t="s">
        <v>73</v>
      </c>
      <c r="M496" s="22" t="s">
        <v>60</v>
      </c>
      <c r="N496" s="22" t="s">
        <v>61</v>
      </c>
      <c r="O496" s="22" t="s">
        <v>1692</v>
      </c>
      <c r="P496" s="22" t="s">
        <v>63</v>
      </c>
    </row>
    <row r="497" ht="20" customHeight="1" spans="1:16" s="23" customFormat="1" x14ac:dyDescent="0.25">
      <c r="A497" s="24" t="s">
        <v>1693</v>
      </c>
      <c r="B497" s="24" t="s">
        <v>1669</v>
      </c>
      <c r="C497" s="24" t="s">
        <v>1118</v>
      </c>
      <c r="D497" s="24" t="s">
        <v>1669</v>
      </c>
      <c r="E497" s="24" t="s">
        <v>1130</v>
      </c>
      <c r="F497" s="25" t="s">
        <v>53</v>
      </c>
      <c r="G497" s="24" t="s">
        <v>54</v>
      </c>
      <c r="H497" s="24" t="s">
        <v>55</v>
      </c>
      <c r="I497" s="25" t="s">
        <v>153</v>
      </c>
      <c r="J497" s="25" t="s">
        <v>57</v>
      </c>
      <c r="K497" s="25" t="s">
        <v>645</v>
      </c>
      <c r="L497" s="25" t="s">
        <v>1694</v>
      </c>
      <c r="M497" s="25" t="s">
        <v>63</v>
      </c>
      <c r="N497" s="25" t="s">
        <v>63</v>
      </c>
      <c r="O497" s="25" t="s">
        <v>63</v>
      </c>
      <c r="P497" s="25" t="s">
        <v>63</v>
      </c>
    </row>
    <row r="498" ht="20" customHeight="1" spans="1:16" x14ac:dyDescent="0.25">
      <c r="A498" s="21" t="s">
        <v>1695</v>
      </c>
      <c r="B498" s="21" t="s">
        <v>1696</v>
      </c>
      <c r="C498" s="21" t="s">
        <v>1697</v>
      </c>
      <c r="D498" s="21" t="s">
        <v>1696</v>
      </c>
      <c r="E498" s="21" t="s">
        <v>551</v>
      </c>
      <c r="F498" s="22" t="s">
        <v>53</v>
      </c>
      <c r="G498" s="21" t="s">
        <v>105</v>
      </c>
      <c r="H498" s="21" t="s">
        <v>610</v>
      </c>
      <c r="I498" s="22" t="s">
        <v>201</v>
      </c>
      <c r="J498" s="22" t="s">
        <v>57</v>
      </c>
      <c r="K498" s="22" t="s">
        <v>247</v>
      </c>
      <c r="L498" s="22" t="s">
        <v>73</v>
      </c>
      <c r="M498" s="22" t="s">
        <v>868</v>
      </c>
      <c r="N498" s="22" t="s">
        <v>465</v>
      </c>
      <c r="O498" s="22" t="s">
        <v>1698</v>
      </c>
      <c r="P498" s="22" t="s">
        <v>63</v>
      </c>
    </row>
    <row r="499" ht="20" customHeight="1" spans="1:16" s="23" customFormat="1" x14ac:dyDescent="0.25">
      <c r="A499" s="24" t="s">
        <v>1699</v>
      </c>
      <c r="B499" s="24" t="s">
        <v>1700</v>
      </c>
      <c r="C499" s="24" t="s">
        <v>1133</v>
      </c>
      <c r="D499" s="24" t="s">
        <v>1700</v>
      </c>
      <c r="E499" s="24" t="s">
        <v>569</v>
      </c>
      <c r="F499" s="25" t="s">
        <v>53</v>
      </c>
      <c r="G499" s="24" t="s">
        <v>54</v>
      </c>
      <c r="H499" s="24" t="s">
        <v>55</v>
      </c>
      <c r="I499" s="25" t="s">
        <v>307</v>
      </c>
      <c r="J499" s="25" t="s">
        <v>57</v>
      </c>
      <c r="K499" s="25" t="s">
        <v>775</v>
      </c>
      <c r="L499" s="25" t="s">
        <v>73</v>
      </c>
      <c r="M499" s="25" t="s">
        <v>616</v>
      </c>
      <c r="N499" s="25" t="s">
        <v>465</v>
      </c>
      <c r="O499" s="25" t="s">
        <v>63</v>
      </c>
      <c r="P499" s="25" t="s">
        <v>63</v>
      </c>
    </row>
    <row r="500" ht="20" customHeight="1" spans="1:16" x14ac:dyDescent="0.25">
      <c r="A500" s="21" t="s">
        <v>1701</v>
      </c>
      <c r="B500" s="21" t="s">
        <v>1700</v>
      </c>
      <c r="C500" s="21" t="s">
        <v>1118</v>
      </c>
      <c r="D500" s="21" t="s">
        <v>1700</v>
      </c>
      <c r="E500" s="21" t="s">
        <v>942</v>
      </c>
      <c r="F500" s="22" t="s">
        <v>53</v>
      </c>
      <c r="G500" s="21" t="s">
        <v>54</v>
      </c>
      <c r="H500" s="21" t="s">
        <v>55</v>
      </c>
      <c r="I500" s="22" t="s">
        <v>1702</v>
      </c>
      <c r="J500" s="22" t="s">
        <v>386</v>
      </c>
      <c r="K500" s="22" t="s">
        <v>1485</v>
      </c>
      <c r="L500" s="22" t="s">
        <v>307</v>
      </c>
      <c r="M500" s="22" t="s">
        <v>60</v>
      </c>
      <c r="N500" s="22" t="s">
        <v>61</v>
      </c>
      <c r="O500" s="22" t="s">
        <v>63</v>
      </c>
      <c r="P500" s="22" t="s">
        <v>63</v>
      </c>
    </row>
    <row r="501" ht="20" customHeight="1" spans="1:16" s="23" customFormat="1" x14ac:dyDescent="0.25">
      <c r="A501" s="24" t="s">
        <v>1703</v>
      </c>
      <c r="B501" s="24" t="s">
        <v>1704</v>
      </c>
      <c r="C501" s="24" t="s">
        <v>378</v>
      </c>
      <c r="D501" s="24" t="s">
        <v>1704</v>
      </c>
      <c r="E501" s="24" t="s">
        <v>1130</v>
      </c>
      <c r="F501" s="25" t="s">
        <v>53</v>
      </c>
      <c r="G501" s="24" t="s">
        <v>1674</v>
      </c>
      <c r="H501" s="24" t="s">
        <v>610</v>
      </c>
      <c r="I501" s="25" t="s">
        <v>186</v>
      </c>
      <c r="J501" s="25" t="s">
        <v>57</v>
      </c>
      <c r="K501" s="25" t="s">
        <v>1705</v>
      </c>
      <c r="L501" s="25" t="s">
        <v>1706</v>
      </c>
      <c r="M501" s="25" t="s">
        <v>60</v>
      </c>
      <c r="N501" s="25" t="s">
        <v>61</v>
      </c>
      <c r="O501" s="25" t="s">
        <v>63</v>
      </c>
      <c r="P501" s="25" t="s">
        <v>63</v>
      </c>
    </row>
    <row r="502" ht="20" customHeight="1" spans="1:16" x14ac:dyDescent="0.25">
      <c r="A502" s="21" t="s">
        <v>1707</v>
      </c>
      <c r="B502" s="21" t="s">
        <v>1704</v>
      </c>
      <c r="C502" s="21" t="s">
        <v>563</v>
      </c>
      <c r="D502" s="21" t="s">
        <v>1708</v>
      </c>
      <c r="E502" s="21" t="s">
        <v>1025</v>
      </c>
      <c r="F502" s="22" t="s">
        <v>85</v>
      </c>
      <c r="G502" s="21" t="s">
        <v>86</v>
      </c>
      <c r="H502" s="21" t="s">
        <v>87</v>
      </c>
      <c r="I502" s="22" t="s">
        <v>80</v>
      </c>
      <c r="J502" s="22" t="s">
        <v>57</v>
      </c>
      <c r="K502" s="22" t="s">
        <v>151</v>
      </c>
      <c r="L502" s="22" t="s">
        <v>73</v>
      </c>
      <c r="M502" s="22" t="s">
        <v>60</v>
      </c>
      <c r="N502" s="22" t="s">
        <v>61</v>
      </c>
      <c r="O502" s="22" t="s">
        <v>1709</v>
      </c>
      <c r="P502" s="22" t="s">
        <v>63</v>
      </c>
    </row>
    <row r="503" ht="20" customHeight="1" spans="1:16" s="23" customFormat="1" x14ac:dyDescent="0.25">
      <c r="A503" s="24" t="s">
        <v>1710</v>
      </c>
      <c r="B503" s="24" t="s">
        <v>1704</v>
      </c>
      <c r="C503" s="24" t="s">
        <v>758</v>
      </c>
      <c r="D503" s="24" t="s">
        <v>1704</v>
      </c>
      <c r="E503" s="24" t="s">
        <v>50</v>
      </c>
      <c r="F503" s="25" t="s">
        <v>436</v>
      </c>
      <c r="G503" s="24" t="s">
        <v>437</v>
      </c>
      <c r="H503" s="24" t="s">
        <v>1688</v>
      </c>
      <c r="I503" s="25" t="s">
        <v>56</v>
      </c>
      <c r="J503" s="25" t="s">
        <v>57</v>
      </c>
      <c r="K503" s="25" t="s">
        <v>81</v>
      </c>
      <c r="L503" s="25" t="s">
        <v>73</v>
      </c>
      <c r="M503" s="25" t="s">
        <v>360</v>
      </c>
      <c r="N503" s="25" t="s">
        <v>1711</v>
      </c>
      <c r="O503" s="25" t="s">
        <v>63</v>
      </c>
      <c r="P503" s="25" t="s">
        <v>63</v>
      </c>
    </row>
    <row r="504" ht="20" customHeight="1" spans="1:16" x14ac:dyDescent="0.25">
      <c r="A504" s="21" t="s">
        <v>1707</v>
      </c>
      <c r="B504" s="21" t="s">
        <v>1704</v>
      </c>
      <c r="C504" s="21" t="s">
        <v>1439</v>
      </c>
      <c r="D504" s="21" t="s">
        <v>1704</v>
      </c>
      <c r="E504" s="21" t="s">
        <v>1475</v>
      </c>
      <c r="F504" s="22" t="s">
        <v>85</v>
      </c>
      <c r="G504" s="21" t="s">
        <v>86</v>
      </c>
      <c r="H504" s="21" t="s">
        <v>87</v>
      </c>
      <c r="I504" s="22" t="s">
        <v>80</v>
      </c>
      <c r="J504" s="22" t="s">
        <v>57</v>
      </c>
      <c r="K504" s="22" t="s">
        <v>1712</v>
      </c>
      <c r="L504" s="22" t="s">
        <v>73</v>
      </c>
      <c r="M504" s="22" t="s">
        <v>60</v>
      </c>
      <c r="N504" s="22" t="s">
        <v>61</v>
      </c>
      <c r="O504" s="22" t="s">
        <v>1713</v>
      </c>
      <c r="P504" s="22" t="s">
        <v>63</v>
      </c>
    </row>
    <row r="505" ht="20" customHeight="1" spans="1:16" s="23" customFormat="1" x14ac:dyDescent="0.25">
      <c r="A505" s="24" t="s">
        <v>1714</v>
      </c>
      <c r="B505" s="24" t="s">
        <v>1704</v>
      </c>
      <c r="C505" s="24" t="s">
        <v>981</v>
      </c>
      <c r="D505" s="24" t="s">
        <v>1704</v>
      </c>
      <c r="E505" s="24" t="s">
        <v>972</v>
      </c>
      <c r="F505" s="25" t="s">
        <v>923</v>
      </c>
      <c r="G505" s="24" t="s">
        <v>1488</v>
      </c>
      <c r="H505" s="24" t="s">
        <v>610</v>
      </c>
      <c r="I505" s="25" t="s">
        <v>331</v>
      </c>
      <c r="J505" s="25" t="s">
        <v>57</v>
      </c>
      <c r="K505" s="25" t="s">
        <v>72</v>
      </c>
      <c r="L505" s="25" t="s">
        <v>73</v>
      </c>
      <c r="M505" s="25" t="s">
        <v>420</v>
      </c>
      <c r="N505" s="25" t="s">
        <v>465</v>
      </c>
      <c r="O505" s="25" t="s">
        <v>63</v>
      </c>
      <c r="P505" s="25" t="s">
        <v>63</v>
      </c>
    </row>
    <row r="506" ht="20" customHeight="1" spans="1:16" x14ac:dyDescent="0.25">
      <c r="A506" s="21" t="s">
        <v>1715</v>
      </c>
      <c r="B506" s="21" t="s">
        <v>1704</v>
      </c>
      <c r="C506" s="21" t="s">
        <v>1716</v>
      </c>
      <c r="D506" s="21" t="s">
        <v>1704</v>
      </c>
      <c r="E506" s="21" t="s">
        <v>1717</v>
      </c>
      <c r="F506" s="22" t="s">
        <v>53</v>
      </c>
      <c r="G506" s="21" t="s">
        <v>54</v>
      </c>
      <c r="H506" s="21" t="s">
        <v>55</v>
      </c>
      <c r="I506" s="22" t="s">
        <v>132</v>
      </c>
      <c r="J506" s="22" t="s">
        <v>57</v>
      </c>
      <c r="K506" s="22" t="s">
        <v>1718</v>
      </c>
      <c r="L506" s="22" t="s">
        <v>73</v>
      </c>
      <c r="M506" s="22" t="s">
        <v>63</v>
      </c>
      <c r="N506" s="22" t="s">
        <v>63</v>
      </c>
      <c r="O506" s="22" t="s">
        <v>63</v>
      </c>
      <c r="P506" s="22" t="s">
        <v>63</v>
      </c>
    </row>
    <row r="507" ht="20" customHeight="1" spans="1:16" s="23" customFormat="1" x14ac:dyDescent="0.25">
      <c r="A507" s="24" t="s">
        <v>1719</v>
      </c>
      <c r="B507" s="24" t="s">
        <v>1720</v>
      </c>
      <c r="C507" s="24" t="s">
        <v>93</v>
      </c>
      <c r="D507" s="24" t="s">
        <v>1720</v>
      </c>
      <c r="E507" s="24" t="s">
        <v>1721</v>
      </c>
      <c r="F507" s="25" t="s">
        <v>137</v>
      </c>
      <c r="G507" s="24" t="s">
        <v>138</v>
      </c>
      <c r="H507" s="24" t="s">
        <v>139</v>
      </c>
      <c r="I507" s="25" t="s">
        <v>113</v>
      </c>
      <c r="J507" s="25" t="s">
        <v>57</v>
      </c>
      <c r="K507" s="25" t="s">
        <v>96</v>
      </c>
      <c r="L507" s="25" t="s">
        <v>73</v>
      </c>
      <c r="M507" s="25" t="s">
        <v>616</v>
      </c>
      <c r="N507" s="25" t="s">
        <v>465</v>
      </c>
      <c r="O507" s="25" t="s">
        <v>63</v>
      </c>
      <c r="P507" s="25" t="s">
        <v>63</v>
      </c>
    </row>
    <row r="508" ht="20" customHeight="1" spans="1:16" x14ac:dyDescent="0.25">
      <c r="A508" s="21" t="s">
        <v>1722</v>
      </c>
      <c r="B508" s="21" t="s">
        <v>1720</v>
      </c>
      <c r="C508" s="21" t="s">
        <v>93</v>
      </c>
      <c r="D508" s="21" t="s">
        <v>1720</v>
      </c>
      <c r="E508" s="21" t="s">
        <v>1638</v>
      </c>
      <c r="F508" s="22" t="s">
        <v>53</v>
      </c>
      <c r="G508" s="21" t="s">
        <v>54</v>
      </c>
      <c r="H508" s="21" t="s">
        <v>55</v>
      </c>
      <c r="I508" s="22" t="s">
        <v>186</v>
      </c>
      <c r="J508" s="22" t="s">
        <v>57</v>
      </c>
      <c r="K508" s="22" t="s">
        <v>775</v>
      </c>
      <c r="L508" s="22" t="s">
        <v>73</v>
      </c>
      <c r="M508" s="22" t="s">
        <v>616</v>
      </c>
      <c r="N508" s="22" t="s">
        <v>465</v>
      </c>
      <c r="O508" s="22" t="s">
        <v>63</v>
      </c>
      <c r="P508" s="22" t="s">
        <v>63</v>
      </c>
    </row>
    <row r="509" ht="20" customHeight="1" spans="1:16" s="23" customFormat="1" x14ac:dyDescent="0.25">
      <c r="A509" s="24" t="s">
        <v>1723</v>
      </c>
      <c r="B509" s="24" t="s">
        <v>1720</v>
      </c>
      <c r="C509" s="24" t="s">
        <v>689</v>
      </c>
      <c r="D509" s="24" t="s">
        <v>1720</v>
      </c>
      <c r="E509" s="24" t="s">
        <v>1724</v>
      </c>
      <c r="F509" s="25" t="s">
        <v>69</v>
      </c>
      <c r="G509" s="24" t="s">
        <v>1725</v>
      </c>
      <c r="H509" s="24" t="s">
        <v>1726</v>
      </c>
      <c r="I509" s="25" t="s">
        <v>71</v>
      </c>
      <c r="J509" s="25" t="s">
        <v>57</v>
      </c>
      <c r="K509" s="25" t="s">
        <v>1727</v>
      </c>
      <c r="L509" s="25" t="s">
        <v>307</v>
      </c>
      <c r="M509" s="25" t="s">
        <v>616</v>
      </c>
      <c r="N509" s="25" t="s">
        <v>465</v>
      </c>
      <c r="O509" s="25" t="s">
        <v>63</v>
      </c>
      <c r="P509" s="25" t="s">
        <v>63</v>
      </c>
    </row>
    <row r="510" ht="20" customHeight="1" spans="1:16" x14ac:dyDescent="0.25">
      <c r="A510" s="21" t="s">
        <v>1722</v>
      </c>
      <c r="B510" s="21" t="s">
        <v>1720</v>
      </c>
      <c r="C510" s="21" t="s">
        <v>93</v>
      </c>
      <c r="D510" s="21" t="s">
        <v>1720</v>
      </c>
      <c r="E510" s="21" t="s">
        <v>351</v>
      </c>
      <c r="F510" s="22" t="s">
        <v>53</v>
      </c>
      <c r="G510" s="21" t="s">
        <v>1616</v>
      </c>
      <c r="H510" s="21" t="s">
        <v>55</v>
      </c>
      <c r="I510" s="22" t="s">
        <v>186</v>
      </c>
      <c r="J510" s="22" t="s">
        <v>57</v>
      </c>
      <c r="K510" s="22" t="s">
        <v>294</v>
      </c>
      <c r="L510" s="22" t="s">
        <v>331</v>
      </c>
      <c r="M510" s="22" t="s">
        <v>60</v>
      </c>
      <c r="N510" s="22" t="s">
        <v>61</v>
      </c>
      <c r="O510" s="22" t="s">
        <v>1728</v>
      </c>
      <c r="P510" s="22" t="s">
        <v>63</v>
      </c>
    </row>
    <row r="511" ht="20" customHeight="1" spans="1:16" s="23" customFormat="1" x14ac:dyDescent="0.25">
      <c r="A511" s="24" t="s">
        <v>1679</v>
      </c>
      <c r="B511" s="24" t="s">
        <v>1720</v>
      </c>
      <c r="C511" s="24" t="s">
        <v>1683</v>
      </c>
      <c r="D511" s="24" t="s">
        <v>1720</v>
      </c>
      <c r="E511" s="24" t="s">
        <v>1729</v>
      </c>
      <c r="F511" s="25" t="s">
        <v>53</v>
      </c>
      <c r="G511" s="24" t="s">
        <v>54</v>
      </c>
      <c r="H511" s="24" t="s">
        <v>55</v>
      </c>
      <c r="I511" s="25" t="s">
        <v>209</v>
      </c>
      <c r="J511" s="25" t="s">
        <v>57</v>
      </c>
      <c r="K511" s="25" t="s">
        <v>72</v>
      </c>
      <c r="L511" s="25" t="s">
        <v>73</v>
      </c>
      <c r="M511" s="25" t="s">
        <v>420</v>
      </c>
      <c r="N511" s="25" t="s">
        <v>465</v>
      </c>
      <c r="O511" s="25" t="s">
        <v>63</v>
      </c>
      <c r="P511" s="25" t="s">
        <v>63</v>
      </c>
    </row>
    <row r="512" ht="20" customHeight="1" spans="1:16" x14ac:dyDescent="0.25">
      <c r="A512" s="21" t="s">
        <v>1730</v>
      </c>
      <c r="B512" s="21" t="s">
        <v>1720</v>
      </c>
      <c r="C512" s="21" t="s">
        <v>1731</v>
      </c>
      <c r="D512" s="21" t="s">
        <v>1720</v>
      </c>
      <c r="E512" s="21" t="s">
        <v>1732</v>
      </c>
      <c r="F512" s="22" t="s">
        <v>1733</v>
      </c>
      <c r="G512" s="21" t="s">
        <v>1725</v>
      </c>
      <c r="H512" s="21" t="s">
        <v>1726</v>
      </c>
      <c r="I512" s="22" t="s">
        <v>80</v>
      </c>
      <c r="J512" s="22" t="s">
        <v>57</v>
      </c>
      <c r="K512" s="22" t="s">
        <v>260</v>
      </c>
      <c r="L512" s="22" t="s">
        <v>1247</v>
      </c>
      <c r="M512" s="22" t="s">
        <v>420</v>
      </c>
      <c r="N512" s="22" t="s">
        <v>465</v>
      </c>
      <c r="O512" s="22" t="s">
        <v>63</v>
      </c>
      <c r="P512" s="22" t="s">
        <v>63</v>
      </c>
    </row>
    <row r="513" ht="20" customHeight="1" spans="1:16" s="23" customFormat="1" x14ac:dyDescent="0.25">
      <c r="A513" s="24" t="s">
        <v>1734</v>
      </c>
      <c r="B513" s="24" t="s">
        <v>1735</v>
      </c>
      <c r="C513" s="24" t="s">
        <v>724</v>
      </c>
      <c r="D513" s="24" t="s">
        <v>1735</v>
      </c>
      <c r="E513" s="24" t="s">
        <v>1403</v>
      </c>
      <c r="F513" s="25" t="s">
        <v>137</v>
      </c>
      <c r="G513" s="24" t="s">
        <v>138</v>
      </c>
      <c r="H513" s="24" t="s">
        <v>139</v>
      </c>
      <c r="I513" s="25" t="s">
        <v>301</v>
      </c>
      <c r="J513" s="25" t="s">
        <v>57</v>
      </c>
      <c r="K513" s="25" t="s">
        <v>1736</v>
      </c>
      <c r="L513" s="25" t="s">
        <v>73</v>
      </c>
      <c r="M513" s="25" t="s">
        <v>201</v>
      </c>
      <c r="N513" s="25" t="s">
        <v>974</v>
      </c>
      <c r="O513" s="25" t="s">
        <v>63</v>
      </c>
      <c r="P513" s="25" t="s">
        <v>63</v>
      </c>
    </row>
    <row r="514" ht="20" customHeight="1" spans="1:16" x14ac:dyDescent="0.25">
      <c r="A514" s="21" t="s">
        <v>1737</v>
      </c>
      <c r="B514" s="21" t="s">
        <v>1735</v>
      </c>
      <c r="C514" s="21" t="s">
        <v>648</v>
      </c>
      <c r="D514" s="21" t="s">
        <v>1735</v>
      </c>
      <c r="E514" s="21" t="s">
        <v>1471</v>
      </c>
      <c r="F514" s="22" t="s">
        <v>53</v>
      </c>
      <c r="G514" s="21" t="s">
        <v>54</v>
      </c>
      <c r="H514" s="21" t="s">
        <v>55</v>
      </c>
      <c r="I514" s="22" t="s">
        <v>88</v>
      </c>
      <c r="J514" s="22" t="s">
        <v>57</v>
      </c>
      <c r="K514" s="22" t="s">
        <v>1738</v>
      </c>
      <c r="L514" s="22" t="s">
        <v>1739</v>
      </c>
      <c r="M514" s="22" t="s">
        <v>63</v>
      </c>
      <c r="N514" s="22" t="s">
        <v>63</v>
      </c>
      <c r="O514" s="22" t="s">
        <v>63</v>
      </c>
      <c r="P514" s="22" t="s">
        <v>63</v>
      </c>
    </row>
    <row r="515" ht="20" customHeight="1" spans="1:16" s="23" customFormat="1" x14ac:dyDescent="0.25">
      <c r="A515" s="24" t="s">
        <v>1740</v>
      </c>
      <c r="B515" s="24" t="s">
        <v>1735</v>
      </c>
      <c r="C515" s="24" t="s">
        <v>336</v>
      </c>
      <c r="D515" s="24" t="s">
        <v>1735</v>
      </c>
      <c r="E515" s="24" t="s">
        <v>444</v>
      </c>
      <c r="F515" s="25" t="s">
        <v>137</v>
      </c>
      <c r="G515" s="24" t="s">
        <v>138</v>
      </c>
      <c r="H515" s="24" t="s">
        <v>139</v>
      </c>
      <c r="I515" s="25" t="s">
        <v>113</v>
      </c>
      <c r="J515" s="25" t="s">
        <v>57</v>
      </c>
      <c r="K515" s="25" t="s">
        <v>1741</v>
      </c>
      <c r="L515" s="25" t="s">
        <v>73</v>
      </c>
      <c r="M515" s="25" t="s">
        <v>63</v>
      </c>
      <c r="N515" s="25" t="s">
        <v>63</v>
      </c>
      <c r="O515" s="25" t="s">
        <v>63</v>
      </c>
      <c r="P515" s="25" t="s">
        <v>63</v>
      </c>
    </row>
    <row r="516" ht="20" customHeight="1" spans="1:16" x14ac:dyDescent="0.25">
      <c r="A516" s="21" t="s">
        <v>1742</v>
      </c>
      <c r="B516" s="21" t="s">
        <v>1735</v>
      </c>
      <c r="C516" s="21" t="s">
        <v>927</v>
      </c>
      <c r="D516" s="21" t="s">
        <v>1735</v>
      </c>
      <c r="E516" s="21" t="s">
        <v>1332</v>
      </c>
      <c r="F516" s="22" t="s">
        <v>436</v>
      </c>
      <c r="G516" s="21" t="s">
        <v>532</v>
      </c>
      <c r="H516" s="21" t="s">
        <v>1688</v>
      </c>
      <c r="I516" s="22" t="s">
        <v>71</v>
      </c>
      <c r="J516" s="22" t="s">
        <v>57</v>
      </c>
      <c r="K516" s="22" t="s">
        <v>81</v>
      </c>
      <c r="L516" s="22" t="s">
        <v>73</v>
      </c>
      <c r="M516" s="22" t="s">
        <v>420</v>
      </c>
      <c r="N516" s="22" t="s">
        <v>465</v>
      </c>
      <c r="O516" s="22" t="s">
        <v>63</v>
      </c>
      <c r="P516" s="22" t="s">
        <v>63</v>
      </c>
    </row>
    <row r="517" ht="20" customHeight="1" spans="1:16" s="23" customFormat="1" x14ac:dyDescent="0.25">
      <c r="A517" s="24" t="s">
        <v>1743</v>
      </c>
      <c r="B517" s="24" t="s">
        <v>1735</v>
      </c>
      <c r="C517" s="24" t="s">
        <v>931</v>
      </c>
      <c r="D517" s="24" t="s">
        <v>1735</v>
      </c>
      <c r="E517" s="24" t="s">
        <v>1130</v>
      </c>
      <c r="F517" s="25" t="s">
        <v>1733</v>
      </c>
      <c r="G517" s="24" t="s">
        <v>1725</v>
      </c>
      <c r="H517" s="24" t="s">
        <v>1726</v>
      </c>
      <c r="I517" s="25" t="s">
        <v>132</v>
      </c>
      <c r="J517" s="25" t="s">
        <v>57</v>
      </c>
      <c r="K517" s="25" t="s">
        <v>775</v>
      </c>
      <c r="L517" s="25" t="s">
        <v>73</v>
      </c>
      <c r="M517" s="25" t="s">
        <v>616</v>
      </c>
      <c r="N517" s="25" t="s">
        <v>465</v>
      </c>
      <c r="O517" s="25" t="s">
        <v>63</v>
      </c>
      <c r="P517" s="25" t="s">
        <v>63</v>
      </c>
    </row>
    <row r="518" ht="20" customHeight="1" spans="1:16" x14ac:dyDescent="0.25">
      <c r="A518" s="21" t="s">
        <v>1744</v>
      </c>
      <c r="B518" s="21" t="s">
        <v>1735</v>
      </c>
      <c r="C518" s="21" t="s">
        <v>1745</v>
      </c>
      <c r="D518" s="21" t="s">
        <v>1746</v>
      </c>
      <c r="E518" s="21" t="s">
        <v>1747</v>
      </c>
      <c r="F518" s="22" t="s">
        <v>53</v>
      </c>
      <c r="G518" s="21" t="s">
        <v>54</v>
      </c>
      <c r="H518" s="21" t="s">
        <v>55</v>
      </c>
      <c r="I518" s="22" t="s">
        <v>223</v>
      </c>
      <c r="J518" s="22" t="s">
        <v>57</v>
      </c>
      <c r="K518" s="22" t="s">
        <v>1748</v>
      </c>
      <c r="L518" s="22" t="s">
        <v>1749</v>
      </c>
      <c r="M518" s="22" t="s">
        <v>616</v>
      </c>
      <c r="N518" s="22" t="s">
        <v>465</v>
      </c>
      <c r="O518" s="22" t="s">
        <v>63</v>
      </c>
      <c r="P518" s="22" t="s">
        <v>63</v>
      </c>
    </row>
    <row r="519" ht="20" customHeight="1" spans="1:16" s="23" customFormat="1" x14ac:dyDescent="0.25">
      <c r="A519" s="24" t="s">
        <v>1750</v>
      </c>
      <c r="B519" s="24" t="s">
        <v>1746</v>
      </c>
      <c r="C519" s="24" t="s">
        <v>623</v>
      </c>
      <c r="D519" s="24" t="s">
        <v>1746</v>
      </c>
      <c r="E519" s="24" t="s">
        <v>1218</v>
      </c>
      <c r="F519" s="25" t="s">
        <v>53</v>
      </c>
      <c r="G519" s="24" t="s">
        <v>54</v>
      </c>
      <c r="H519" s="24" t="s">
        <v>55</v>
      </c>
      <c r="I519" s="25" t="s">
        <v>301</v>
      </c>
      <c r="J519" s="25" t="s">
        <v>57</v>
      </c>
      <c r="K519" s="25" t="s">
        <v>775</v>
      </c>
      <c r="L519" s="25" t="s">
        <v>73</v>
      </c>
      <c r="M519" s="25" t="s">
        <v>616</v>
      </c>
      <c r="N519" s="25" t="s">
        <v>465</v>
      </c>
      <c r="O519" s="25" t="s">
        <v>63</v>
      </c>
      <c r="P519" s="25" t="s">
        <v>63</v>
      </c>
    </row>
    <row r="520" ht="20" customHeight="1" spans="1:16" x14ac:dyDescent="0.25">
      <c r="A520" s="21" t="s">
        <v>1751</v>
      </c>
      <c r="B520" s="21" t="s">
        <v>1746</v>
      </c>
      <c r="C520" s="21" t="s">
        <v>1752</v>
      </c>
      <c r="D520" s="21" t="s">
        <v>1746</v>
      </c>
      <c r="E520" s="21" t="s">
        <v>135</v>
      </c>
      <c r="F520" s="22" t="s">
        <v>53</v>
      </c>
      <c r="G520" s="21" t="s">
        <v>54</v>
      </c>
      <c r="H520" s="21" t="s">
        <v>55</v>
      </c>
      <c r="I520" s="22" t="s">
        <v>88</v>
      </c>
      <c r="J520" s="22" t="s">
        <v>57</v>
      </c>
      <c r="K520" s="22" t="s">
        <v>96</v>
      </c>
      <c r="L520" s="22" t="s">
        <v>1753</v>
      </c>
      <c r="M520" s="22" t="s">
        <v>420</v>
      </c>
      <c r="N520" s="22" t="s">
        <v>465</v>
      </c>
      <c r="O520" s="22" t="s">
        <v>63</v>
      </c>
      <c r="P520" s="22" t="s">
        <v>63</v>
      </c>
    </row>
    <row r="521" ht="20" customHeight="1" spans="1:16" s="23" customFormat="1" x14ac:dyDescent="0.25">
      <c r="A521" s="24" t="s">
        <v>1754</v>
      </c>
      <c r="B521" s="24" t="s">
        <v>1746</v>
      </c>
      <c r="C521" s="24" t="s">
        <v>1755</v>
      </c>
      <c r="D521" s="24" t="s">
        <v>1746</v>
      </c>
      <c r="E521" s="24" t="s">
        <v>1756</v>
      </c>
      <c r="F521" s="25" t="s">
        <v>53</v>
      </c>
      <c r="G521" s="24" t="s">
        <v>54</v>
      </c>
      <c r="H521" s="24" t="s">
        <v>55</v>
      </c>
      <c r="I521" s="25" t="s">
        <v>71</v>
      </c>
      <c r="J521" s="25" t="s">
        <v>57</v>
      </c>
      <c r="K521" s="25" t="s">
        <v>1757</v>
      </c>
      <c r="L521" s="25" t="s">
        <v>73</v>
      </c>
      <c r="M521" s="25" t="s">
        <v>420</v>
      </c>
      <c r="N521" s="25" t="s">
        <v>465</v>
      </c>
      <c r="O521" s="25" t="s">
        <v>63</v>
      </c>
      <c r="P521" s="25" t="s">
        <v>63</v>
      </c>
    </row>
    <row r="522" ht="20" customHeight="1" spans="1:16" x14ac:dyDescent="0.25">
      <c r="A522" s="21" t="s">
        <v>1758</v>
      </c>
      <c r="B522" s="21" t="s">
        <v>1746</v>
      </c>
      <c r="C522" s="21" t="s">
        <v>608</v>
      </c>
      <c r="D522" s="21" t="s">
        <v>1746</v>
      </c>
      <c r="E522" s="21" t="s">
        <v>1064</v>
      </c>
      <c r="F522" s="22" t="s">
        <v>1733</v>
      </c>
      <c r="G522" s="21" t="s">
        <v>1725</v>
      </c>
      <c r="H522" s="21" t="s">
        <v>1726</v>
      </c>
      <c r="I522" s="22" t="s">
        <v>246</v>
      </c>
      <c r="J522" s="22" t="s">
        <v>57</v>
      </c>
      <c r="K522" s="22" t="s">
        <v>260</v>
      </c>
      <c r="L522" s="22" t="s">
        <v>73</v>
      </c>
      <c r="M522" s="22" t="s">
        <v>420</v>
      </c>
      <c r="N522" s="22" t="s">
        <v>465</v>
      </c>
      <c r="O522" s="22" t="s">
        <v>63</v>
      </c>
      <c r="P522" s="22" t="s">
        <v>63</v>
      </c>
    </row>
    <row r="523" ht="20" customHeight="1" spans="1:16" s="23" customFormat="1" x14ac:dyDescent="0.25">
      <c r="A523" s="24" t="s">
        <v>1759</v>
      </c>
      <c r="B523" s="24" t="s">
        <v>1746</v>
      </c>
      <c r="C523" s="24" t="s">
        <v>584</v>
      </c>
      <c r="D523" s="24" t="s">
        <v>1746</v>
      </c>
      <c r="E523" s="24" t="s">
        <v>879</v>
      </c>
      <c r="F523" s="25" t="s">
        <v>1760</v>
      </c>
      <c r="G523" s="24" t="s">
        <v>270</v>
      </c>
      <c r="H523" s="24" t="s">
        <v>55</v>
      </c>
      <c r="I523" s="25" t="s">
        <v>56</v>
      </c>
      <c r="J523" s="25" t="s">
        <v>57</v>
      </c>
      <c r="K523" s="25" t="s">
        <v>772</v>
      </c>
      <c r="L523" s="25" t="s">
        <v>73</v>
      </c>
      <c r="M523" s="25" t="s">
        <v>420</v>
      </c>
      <c r="N523" s="25" t="s">
        <v>465</v>
      </c>
      <c r="O523" s="25" t="s">
        <v>63</v>
      </c>
      <c r="P523" s="25" t="s">
        <v>63</v>
      </c>
    </row>
    <row r="524" ht="20" customHeight="1" spans="1:16" x14ac:dyDescent="0.25">
      <c r="A524" s="21" t="s">
        <v>1761</v>
      </c>
      <c r="B524" s="21" t="s">
        <v>1762</v>
      </c>
      <c r="C524" s="21" t="s">
        <v>351</v>
      </c>
      <c r="D524" s="21" t="s">
        <v>1762</v>
      </c>
      <c r="E524" s="21" t="s">
        <v>359</v>
      </c>
      <c r="F524" s="22" t="s">
        <v>53</v>
      </c>
      <c r="G524" s="21" t="s">
        <v>1674</v>
      </c>
      <c r="H524" s="21" t="s">
        <v>610</v>
      </c>
      <c r="I524" s="22" t="s">
        <v>80</v>
      </c>
      <c r="J524" s="22" t="s">
        <v>57</v>
      </c>
      <c r="K524" s="22" t="s">
        <v>147</v>
      </c>
      <c r="L524" s="22" t="s">
        <v>353</v>
      </c>
      <c r="M524" s="22" t="s">
        <v>60</v>
      </c>
      <c r="N524" s="22" t="s">
        <v>61</v>
      </c>
      <c r="O524" s="22" t="s">
        <v>63</v>
      </c>
      <c r="P524" s="22" t="s">
        <v>63</v>
      </c>
    </row>
    <row r="525" ht="20" customHeight="1" spans="1:16" s="23" customFormat="1" x14ac:dyDescent="0.25">
      <c r="A525" s="24" t="s">
        <v>1763</v>
      </c>
      <c r="B525" s="24" t="s">
        <v>1762</v>
      </c>
      <c r="C525" s="24" t="s">
        <v>491</v>
      </c>
      <c r="D525" s="24" t="s">
        <v>1762</v>
      </c>
      <c r="E525" s="24" t="s">
        <v>347</v>
      </c>
      <c r="F525" s="25" t="s">
        <v>436</v>
      </c>
      <c r="G525" s="24" t="s">
        <v>437</v>
      </c>
      <c r="H525" s="24" t="s">
        <v>1688</v>
      </c>
      <c r="I525" s="25" t="s">
        <v>71</v>
      </c>
      <c r="J525" s="25" t="s">
        <v>57</v>
      </c>
      <c r="K525" s="25" t="s">
        <v>1764</v>
      </c>
      <c r="L525" s="25" t="s">
        <v>301</v>
      </c>
      <c r="M525" s="25" t="s">
        <v>868</v>
      </c>
      <c r="N525" s="25" t="s">
        <v>465</v>
      </c>
      <c r="O525" s="25" t="s">
        <v>63</v>
      </c>
      <c r="P525" s="25" t="s">
        <v>63</v>
      </c>
    </row>
    <row r="526" ht="20" customHeight="1" spans="1:16" x14ac:dyDescent="0.25">
      <c r="A526" s="21" t="s">
        <v>1765</v>
      </c>
      <c r="B526" s="21" t="s">
        <v>1766</v>
      </c>
      <c r="C526" s="21" t="s">
        <v>336</v>
      </c>
      <c r="D526" s="21" t="s">
        <v>1766</v>
      </c>
      <c r="E526" s="21" t="s">
        <v>1767</v>
      </c>
      <c r="F526" s="22" t="s">
        <v>1768</v>
      </c>
      <c r="G526" s="21" t="s">
        <v>1769</v>
      </c>
      <c r="H526" s="21" t="s">
        <v>1726</v>
      </c>
      <c r="I526" s="22" t="s">
        <v>118</v>
      </c>
      <c r="J526" s="22" t="s">
        <v>57</v>
      </c>
      <c r="K526" s="22" t="s">
        <v>787</v>
      </c>
      <c r="L526" s="22" t="s">
        <v>307</v>
      </c>
      <c r="M526" s="22" t="s">
        <v>235</v>
      </c>
      <c r="N526" s="22" t="s">
        <v>389</v>
      </c>
      <c r="O526" s="22" t="s">
        <v>63</v>
      </c>
      <c r="P526" s="22" t="s">
        <v>63</v>
      </c>
    </row>
    <row r="527" ht="20" customHeight="1" spans="1:16" s="23" customFormat="1" x14ac:dyDescent="0.25">
      <c r="A527" s="24" t="s">
        <v>1770</v>
      </c>
      <c r="B527" s="24" t="s">
        <v>1771</v>
      </c>
      <c r="C527" s="24" t="s">
        <v>336</v>
      </c>
      <c r="D527" s="24" t="s">
        <v>1771</v>
      </c>
      <c r="E527" s="24" t="s">
        <v>1772</v>
      </c>
      <c r="F527" s="25" t="s">
        <v>923</v>
      </c>
      <c r="G527" s="24" t="s">
        <v>1773</v>
      </c>
      <c r="H527" s="24" t="s">
        <v>610</v>
      </c>
      <c r="I527" s="25" t="s">
        <v>88</v>
      </c>
      <c r="J527" s="25" t="s">
        <v>57</v>
      </c>
      <c r="K527" s="25" t="s">
        <v>96</v>
      </c>
      <c r="L527" s="25" t="s">
        <v>73</v>
      </c>
      <c r="M527" s="25" t="s">
        <v>420</v>
      </c>
      <c r="N527" s="25" t="s">
        <v>465</v>
      </c>
      <c r="O527" s="25" t="s">
        <v>63</v>
      </c>
      <c r="P527" s="25" t="s">
        <v>63</v>
      </c>
    </row>
    <row r="528" ht="20" customHeight="1" spans="1:16" x14ac:dyDescent="0.25">
      <c r="A528" s="21" t="s">
        <v>1774</v>
      </c>
      <c r="B528" s="21" t="s">
        <v>1771</v>
      </c>
      <c r="C528" s="21" t="s">
        <v>1775</v>
      </c>
      <c r="D528" s="21" t="s">
        <v>1771</v>
      </c>
      <c r="E528" s="21" t="s">
        <v>136</v>
      </c>
      <c r="F528" s="22" t="s">
        <v>85</v>
      </c>
      <c r="G528" s="21" t="s">
        <v>86</v>
      </c>
      <c r="H528" s="21" t="s">
        <v>87</v>
      </c>
      <c r="I528" s="22" t="s">
        <v>275</v>
      </c>
      <c r="J528" s="22" t="s">
        <v>57</v>
      </c>
      <c r="K528" s="22" t="s">
        <v>260</v>
      </c>
      <c r="L528" s="22" t="s">
        <v>73</v>
      </c>
      <c r="M528" s="22" t="s">
        <v>420</v>
      </c>
      <c r="N528" s="22" t="s">
        <v>465</v>
      </c>
      <c r="O528" s="22" t="s">
        <v>63</v>
      </c>
      <c r="P528" s="22" t="s">
        <v>63</v>
      </c>
    </row>
    <row r="529" ht="20" customHeight="1" spans="1:16" s="23" customFormat="1" x14ac:dyDescent="0.25">
      <c r="A529" s="24" t="s">
        <v>1776</v>
      </c>
      <c r="B529" s="24" t="s">
        <v>1771</v>
      </c>
      <c r="C529" s="24" t="s">
        <v>969</v>
      </c>
      <c r="D529" s="24" t="s">
        <v>1771</v>
      </c>
      <c r="E529" s="24" t="s">
        <v>755</v>
      </c>
      <c r="F529" s="25" t="s">
        <v>436</v>
      </c>
      <c r="G529" s="24" t="s">
        <v>437</v>
      </c>
      <c r="H529" s="24" t="s">
        <v>1688</v>
      </c>
      <c r="I529" s="25" t="s">
        <v>275</v>
      </c>
      <c r="J529" s="25" t="s">
        <v>57</v>
      </c>
      <c r="K529" s="25" t="s">
        <v>81</v>
      </c>
      <c r="L529" s="25" t="s">
        <v>73</v>
      </c>
      <c r="M529" s="25" t="s">
        <v>420</v>
      </c>
      <c r="N529" s="25" t="s">
        <v>465</v>
      </c>
      <c r="O529" s="25" t="s">
        <v>63</v>
      </c>
      <c r="P529" s="25" t="s">
        <v>63</v>
      </c>
    </row>
    <row r="530" ht="20" customHeight="1" spans="1:16" x14ac:dyDescent="0.25">
      <c r="A530" s="21" t="s">
        <v>1777</v>
      </c>
      <c r="B530" s="21" t="s">
        <v>1778</v>
      </c>
      <c r="C530" s="21" t="s">
        <v>855</v>
      </c>
      <c r="D530" s="21" t="s">
        <v>1778</v>
      </c>
      <c r="E530" s="21" t="s">
        <v>468</v>
      </c>
      <c r="F530" s="22" t="s">
        <v>53</v>
      </c>
      <c r="G530" s="21" t="s">
        <v>1616</v>
      </c>
      <c r="H530" s="21" t="s">
        <v>55</v>
      </c>
      <c r="I530" s="22" t="s">
        <v>186</v>
      </c>
      <c r="J530" s="22" t="s">
        <v>57</v>
      </c>
      <c r="K530" s="22" t="s">
        <v>867</v>
      </c>
      <c r="L530" s="22" t="s">
        <v>1779</v>
      </c>
      <c r="M530" s="22" t="s">
        <v>63</v>
      </c>
      <c r="N530" s="22" t="s">
        <v>63</v>
      </c>
      <c r="O530" s="22" t="s">
        <v>63</v>
      </c>
      <c r="P530" s="22" t="s">
        <v>63</v>
      </c>
    </row>
    <row r="531" ht="20" customHeight="1" spans="1:16" s="23" customFormat="1" x14ac:dyDescent="0.25">
      <c r="A531" s="24" t="s">
        <v>583</v>
      </c>
      <c r="B531" s="24" t="s">
        <v>1780</v>
      </c>
      <c r="C531" s="24" t="s">
        <v>340</v>
      </c>
      <c r="D531" s="24" t="s">
        <v>1780</v>
      </c>
      <c r="E531" s="24" t="s">
        <v>1360</v>
      </c>
      <c r="F531" s="25" t="s">
        <v>68</v>
      </c>
      <c r="G531" s="24" t="s">
        <v>1725</v>
      </c>
      <c r="H531" s="24" t="s">
        <v>139</v>
      </c>
      <c r="I531" s="25" t="s">
        <v>71</v>
      </c>
      <c r="J531" s="25" t="s">
        <v>57</v>
      </c>
      <c r="K531" s="25" t="s">
        <v>1781</v>
      </c>
      <c r="L531" s="25" t="s">
        <v>1782</v>
      </c>
      <c r="M531" s="25" t="s">
        <v>420</v>
      </c>
      <c r="N531" s="25" t="s">
        <v>465</v>
      </c>
      <c r="O531" s="25" t="s">
        <v>63</v>
      </c>
      <c r="P531" s="25" t="s">
        <v>63</v>
      </c>
    </row>
    <row r="532" ht="20" customHeight="1" spans="1:16" x14ac:dyDescent="0.25">
      <c r="A532" s="21" t="s">
        <v>583</v>
      </c>
      <c r="B532" s="21" t="s">
        <v>1780</v>
      </c>
      <c r="C532" s="21" t="s">
        <v>720</v>
      </c>
      <c r="D532" s="21" t="s">
        <v>1780</v>
      </c>
      <c r="E532" s="21" t="s">
        <v>340</v>
      </c>
      <c r="F532" s="22" t="s">
        <v>85</v>
      </c>
      <c r="G532" s="21" t="s">
        <v>86</v>
      </c>
      <c r="H532" s="21" t="s">
        <v>87</v>
      </c>
      <c r="I532" s="22" t="s">
        <v>1205</v>
      </c>
      <c r="J532" s="22" t="s">
        <v>57</v>
      </c>
      <c r="K532" s="22" t="s">
        <v>247</v>
      </c>
      <c r="L532" s="22" t="s">
        <v>73</v>
      </c>
      <c r="M532" s="22" t="s">
        <v>420</v>
      </c>
      <c r="N532" s="22" t="s">
        <v>465</v>
      </c>
      <c r="O532" s="22" t="s">
        <v>63</v>
      </c>
      <c r="P532" s="22" t="s">
        <v>63</v>
      </c>
    </row>
    <row r="533" ht="20" customHeight="1" spans="1:16" s="23" customFormat="1" x14ac:dyDescent="0.25">
      <c r="A533" s="24" t="s">
        <v>1783</v>
      </c>
      <c r="B533" s="24" t="s">
        <v>1784</v>
      </c>
      <c r="C533" s="24" t="s">
        <v>164</v>
      </c>
      <c r="D533" s="24" t="s">
        <v>1708</v>
      </c>
      <c r="E533" s="24" t="s">
        <v>320</v>
      </c>
      <c r="F533" s="25" t="s">
        <v>436</v>
      </c>
      <c r="G533" s="24" t="s">
        <v>437</v>
      </c>
      <c r="H533" s="24" t="s">
        <v>1688</v>
      </c>
      <c r="I533" s="25" t="s">
        <v>71</v>
      </c>
      <c r="J533" s="25" t="s">
        <v>57</v>
      </c>
      <c r="K533" s="25" t="s">
        <v>1785</v>
      </c>
      <c r="L533" s="25" t="s">
        <v>534</v>
      </c>
      <c r="M533" s="25" t="s">
        <v>160</v>
      </c>
      <c r="N533" s="25" t="s">
        <v>426</v>
      </c>
      <c r="O533" s="25" t="s">
        <v>63</v>
      </c>
      <c r="P533" s="25" t="s">
        <v>63</v>
      </c>
    </row>
    <row r="534" ht="20" customHeight="1" spans="1:16" x14ac:dyDescent="0.25">
      <c r="A534" s="21" t="s">
        <v>583</v>
      </c>
      <c r="B534" s="21" t="s">
        <v>1708</v>
      </c>
      <c r="C534" s="21" t="s">
        <v>199</v>
      </c>
      <c r="D534" s="21" t="s">
        <v>1708</v>
      </c>
      <c r="E534" s="21" t="s">
        <v>1632</v>
      </c>
      <c r="F534" s="22" t="s">
        <v>832</v>
      </c>
      <c r="G534" s="21" t="s">
        <v>1478</v>
      </c>
      <c r="H534" s="21" t="s">
        <v>70</v>
      </c>
      <c r="I534" s="22" t="s">
        <v>307</v>
      </c>
      <c r="J534" s="22" t="s">
        <v>57</v>
      </c>
      <c r="K534" s="22" t="s">
        <v>72</v>
      </c>
      <c r="L534" s="22" t="s">
        <v>73</v>
      </c>
      <c r="M534" s="22" t="s">
        <v>420</v>
      </c>
      <c r="N534" s="22" t="s">
        <v>465</v>
      </c>
      <c r="O534" s="22" t="s">
        <v>63</v>
      </c>
      <c r="P534" s="22" t="s">
        <v>63</v>
      </c>
    </row>
    <row r="535" ht="20" customHeight="1" spans="1:16" s="23" customFormat="1" x14ac:dyDescent="0.25">
      <c r="A535" s="24" t="s">
        <v>583</v>
      </c>
      <c r="B535" s="24" t="s">
        <v>1708</v>
      </c>
      <c r="C535" s="24" t="s">
        <v>142</v>
      </c>
      <c r="D535" s="24" t="s">
        <v>1708</v>
      </c>
      <c r="E535" s="24" t="s">
        <v>1786</v>
      </c>
      <c r="F535" s="25" t="s">
        <v>68</v>
      </c>
      <c r="G535" s="24" t="s">
        <v>1787</v>
      </c>
      <c r="H535" s="24" t="s">
        <v>87</v>
      </c>
      <c r="I535" s="25" t="s">
        <v>246</v>
      </c>
      <c r="J535" s="25" t="s">
        <v>57</v>
      </c>
      <c r="K535" s="25" t="s">
        <v>72</v>
      </c>
      <c r="L535" s="25" t="s">
        <v>73</v>
      </c>
      <c r="M535" s="25" t="s">
        <v>420</v>
      </c>
      <c r="N535" s="25" t="s">
        <v>465</v>
      </c>
      <c r="O535" s="25" t="s">
        <v>63</v>
      </c>
      <c r="P535" s="25" t="s">
        <v>63</v>
      </c>
    </row>
    <row r="536" ht="20" customHeight="1" spans="1:16" x14ac:dyDescent="0.25">
      <c r="A536" s="21" t="s">
        <v>1788</v>
      </c>
      <c r="B536" s="21" t="s">
        <v>1708</v>
      </c>
      <c r="C536" s="21" t="s">
        <v>407</v>
      </c>
      <c r="D536" s="21" t="s">
        <v>1789</v>
      </c>
      <c r="E536" s="21" t="s">
        <v>614</v>
      </c>
      <c r="F536" s="22" t="s">
        <v>53</v>
      </c>
      <c r="G536" s="21" t="s">
        <v>1616</v>
      </c>
      <c r="H536" s="21" t="s">
        <v>55</v>
      </c>
      <c r="I536" s="22" t="s">
        <v>113</v>
      </c>
      <c r="J536" s="22" t="s">
        <v>57</v>
      </c>
      <c r="K536" s="22" t="s">
        <v>387</v>
      </c>
      <c r="L536" s="22" t="s">
        <v>177</v>
      </c>
      <c r="M536" s="22" t="s">
        <v>60</v>
      </c>
      <c r="N536" s="22" t="s">
        <v>61</v>
      </c>
      <c r="O536" s="22" t="s">
        <v>63</v>
      </c>
      <c r="P536" s="22" t="s">
        <v>63</v>
      </c>
    </row>
    <row r="537" ht="20" customHeight="1" spans="1:16" s="23" customFormat="1" x14ac:dyDescent="0.25">
      <c r="A537" s="24" t="s">
        <v>583</v>
      </c>
      <c r="B537" s="24" t="s">
        <v>1708</v>
      </c>
      <c r="C537" s="24" t="s">
        <v>170</v>
      </c>
      <c r="D537" s="24" t="s">
        <v>1708</v>
      </c>
      <c r="E537" s="24" t="s">
        <v>595</v>
      </c>
      <c r="F537" s="25" t="s">
        <v>68</v>
      </c>
      <c r="G537" s="24" t="s">
        <v>1725</v>
      </c>
      <c r="H537" s="24" t="s">
        <v>87</v>
      </c>
      <c r="I537" s="25" t="s">
        <v>653</v>
      </c>
      <c r="J537" s="25" t="s">
        <v>57</v>
      </c>
      <c r="K537" s="25" t="s">
        <v>72</v>
      </c>
      <c r="L537" s="25" t="s">
        <v>73</v>
      </c>
      <c r="M537" s="25" t="s">
        <v>275</v>
      </c>
      <c r="N537" s="25" t="s">
        <v>795</v>
      </c>
      <c r="O537" s="25" t="s">
        <v>63</v>
      </c>
      <c r="P537" s="25" t="s">
        <v>63</v>
      </c>
    </row>
    <row r="538" ht="20" customHeight="1" spans="1:16" x14ac:dyDescent="0.25">
      <c r="A538" s="21" t="s">
        <v>583</v>
      </c>
      <c r="B538" s="21" t="s">
        <v>1708</v>
      </c>
      <c r="C538" s="21" t="s">
        <v>1519</v>
      </c>
      <c r="D538" s="21" t="s">
        <v>1708</v>
      </c>
      <c r="E538" s="21" t="s">
        <v>1025</v>
      </c>
      <c r="F538" s="22" t="s">
        <v>1685</v>
      </c>
      <c r="G538" s="21" t="s">
        <v>1787</v>
      </c>
      <c r="H538" s="21" t="s">
        <v>87</v>
      </c>
      <c r="I538" s="22" t="s">
        <v>653</v>
      </c>
      <c r="J538" s="22" t="s">
        <v>57</v>
      </c>
      <c r="K538" s="22" t="s">
        <v>260</v>
      </c>
      <c r="L538" s="22" t="s">
        <v>1790</v>
      </c>
      <c r="M538" s="22" t="s">
        <v>275</v>
      </c>
      <c r="N538" s="22" t="s">
        <v>795</v>
      </c>
      <c r="O538" s="22" t="s">
        <v>63</v>
      </c>
      <c r="P538" s="22" t="s">
        <v>63</v>
      </c>
    </row>
    <row r="539" ht="20" customHeight="1" spans="1:16" s="23" customFormat="1" x14ac:dyDescent="0.25">
      <c r="A539" s="24" t="s">
        <v>87</v>
      </c>
      <c r="B539" s="24" t="s">
        <v>1791</v>
      </c>
      <c r="C539" s="24" t="s">
        <v>1013</v>
      </c>
      <c r="D539" s="24" t="s">
        <v>1791</v>
      </c>
      <c r="E539" s="24" t="s">
        <v>1792</v>
      </c>
      <c r="F539" s="25" t="s">
        <v>68</v>
      </c>
      <c r="G539" s="24" t="s">
        <v>1725</v>
      </c>
      <c r="H539" s="24" t="s">
        <v>87</v>
      </c>
      <c r="I539" s="25" t="s">
        <v>122</v>
      </c>
      <c r="J539" s="25" t="s">
        <v>57</v>
      </c>
      <c r="K539" s="25" t="s">
        <v>260</v>
      </c>
      <c r="L539" s="25" t="s">
        <v>734</v>
      </c>
      <c r="M539" s="25" t="s">
        <v>275</v>
      </c>
      <c r="N539" s="25" t="s">
        <v>795</v>
      </c>
      <c r="O539" s="25" t="s">
        <v>63</v>
      </c>
      <c r="P539" s="25" t="s">
        <v>63</v>
      </c>
    </row>
    <row r="540" ht="20" customHeight="1" spans="1:16" x14ac:dyDescent="0.25">
      <c r="A540" s="21" t="s">
        <v>1793</v>
      </c>
      <c r="B540" s="21" t="s">
        <v>1789</v>
      </c>
      <c r="C540" s="21" t="s">
        <v>93</v>
      </c>
      <c r="D540" s="21" t="s">
        <v>1789</v>
      </c>
      <c r="E540" s="21" t="s">
        <v>614</v>
      </c>
      <c r="F540" s="22" t="s">
        <v>53</v>
      </c>
      <c r="G540" s="21" t="s">
        <v>1616</v>
      </c>
      <c r="H540" s="21" t="s">
        <v>55</v>
      </c>
      <c r="I540" s="22" t="s">
        <v>80</v>
      </c>
      <c r="J540" s="22" t="s">
        <v>57</v>
      </c>
      <c r="K540" s="22" t="s">
        <v>867</v>
      </c>
      <c r="L540" s="22" t="s">
        <v>353</v>
      </c>
      <c r="M540" s="22" t="s">
        <v>60</v>
      </c>
      <c r="N540" s="22" t="s">
        <v>61</v>
      </c>
      <c r="O540" s="22" t="s">
        <v>63</v>
      </c>
      <c r="P540" s="22" t="s">
        <v>63</v>
      </c>
    </row>
    <row r="541" ht="20" customHeight="1" spans="1:16" s="23" customFormat="1" x14ac:dyDescent="0.25">
      <c r="A541" s="24" t="s">
        <v>988</v>
      </c>
      <c r="B541" s="24" t="s">
        <v>1789</v>
      </c>
      <c r="C541" s="24" t="s">
        <v>1138</v>
      </c>
      <c r="D541" s="24" t="s">
        <v>1789</v>
      </c>
      <c r="E541" s="24" t="s">
        <v>981</v>
      </c>
      <c r="F541" s="25" t="s">
        <v>1794</v>
      </c>
      <c r="G541" s="24" t="s">
        <v>1795</v>
      </c>
      <c r="H541" s="24" t="s">
        <v>988</v>
      </c>
      <c r="I541" s="25" t="s">
        <v>314</v>
      </c>
      <c r="J541" s="25" t="s">
        <v>57</v>
      </c>
      <c r="K541" s="25" t="s">
        <v>1796</v>
      </c>
      <c r="L541" s="25" t="s">
        <v>73</v>
      </c>
      <c r="M541" s="25" t="s">
        <v>201</v>
      </c>
      <c r="N541" s="25" t="s">
        <v>974</v>
      </c>
      <c r="O541" s="25" t="s">
        <v>63</v>
      </c>
      <c r="P541" s="25" t="s">
        <v>63</v>
      </c>
    </row>
    <row r="542" ht="20" customHeight="1" spans="1:16" x14ac:dyDescent="0.25">
      <c r="A542" s="21" t="s">
        <v>583</v>
      </c>
      <c r="B542" s="21" t="s">
        <v>1797</v>
      </c>
      <c r="C542" s="21" t="s">
        <v>1798</v>
      </c>
      <c r="D542" s="21" t="s">
        <v>1797</v>
      </c>
      <c r="E542" s="21" t="s">
        <v>1522</v>
      </c>
      <c r="F542" s="22" t="s">
        <v>53</v>
      </c>
      <c r="G542" s="21" t="s">
        <v>54</v>
      </c>
      <c r="H542" s="21" t="s">
        <v>55</v>
      </c>
      <c r="I542" s="22" t="s">
        <v>937</v>
      </c>
      <c r="J542" s="22" t="s">
        <v>57</v>
      </c>
      <c r="K542" s="22" t="s">
        <v>96</v>
      </c>
      <c r="L542" s="22" t="s">
        <v>73</v>
      </c>
      <c r="M542" s="22" t="s">
        <v>420</v>
      </c>
      <c r="N542" s="22" t="s">
        <v>465</v>
      </c>
      <c r="O542" s="22" t="s">
        <v>63</v>
      </c>
      <c r="P542" s="22" t="s">
        <v>63</v>
      </c>
    </row>
    <row r="543" ht="20" customHeight="1" spans="1:16" s="23" customFormat="1" x14ac:dyDescent="0.25">
      <c r="A543" s="24" t="s">
        <v>988</v>
      </c>
      <c r="B543" s="24" t="s">
        <v>1799</v>
      </c>
      <c r="C543" s="24" t="s">
        <v>1017</v>
      </c>
      <c r="D543" s="24" t="s">
        <v>1799</v>
      </c>
      <c r="E543" s="24" t="s">
        <v>957</v>
      </c>
      <c r="F543" s="25" t="s">
        <v>53</v>
      </c>
      <c r="G543" s="24" t="s">
        <v>1674</v>
      </c>
      <c r="H543" s="24" t="s">
        <v>55</v>
      </c>
      <c r="I543" s="25" t="s">
        <v>186</v>
      </c>
      <c r="J543" s="25" t="s">
        <v>57</v>
      </c>
      <c r="K543" s="25" t="s">
        <v>867</v>
      </c>
      <c r="L543" s="25" t="s">
        <v>73</v>
      </c>
      <c r="M543" s="25" t="s">
        <v>868</v>
      </c>
      <c r="N543" s="25" t="s">
        <v>465</v>
      </c>
      <c r="O543" s="25" t="s">
        <v>63</v>
      </c>
      <c r="P543" s="25" t="s">
        <v>63</v>
      </c>
    </row>
    <row r="544" ht="20" customHeight="1" spans="1:16" x14ac:dyDescent="0.25">
      <c r="A544" s="21" t="s">
        <v>583</v>
      </c>
      <c r="B544" s="21" t="s">
        <v>1799</v>
      </c>
      <c r="C544" s="21" t="s">
        <v>879</v>
      </c>
      <c r="D544" s="21" t="s">
        <v>1799</v>
      </c>
      <c r="E544" s="21" t="s">
        <v>1800</v>
      </c>
      <c r="F544" s="22" t="s">
        <v>1245</v>
      </c>
      <c r="G544" s="21" t="s">
        <v>1246</v>
      </c>
      <c r="H544" s="21" t="s">
        <v>1409</v>
      </c>
      <c r="I544" s="22" t="s">
        <v>160</v>
      </c>
      <c r="J544" s="22" t="s">
        <v>57</v>
      </c>
      <c r="K544" s="22" t="s">
        <v>477</v>
      </c>
      <c r="L544" s="22" t="s">
        <v>1801</v>
      </c>
      <c r="M544" s="22" t="s">
        <v>63</v>
      </c>
      <c r="N544" s="22" t="s">
        <v>63</v>
      </c>
      <c r="O544" s="22" t="s">
        <v>63</v>
      </c>
      <c r="P544" s="22" t="s">
        <v>63</v>
      </c>
    </row>
    <row r="545" ht="20" customHeight="1" spans="1:16" s="23" customFormat="1" x14ac:dyDescent="0.25">
      <c r="A545" s="24" t="s">
        <v>583</v>
      </c>
      <c r="B545" s="24" t="s">
        <v>1802</v>
      </c>
      <c r="C545" s="24" t="s">
        <v>467</v>
      </c>
      <c r="D545" s="24" t="s">
        <v>1802</v>
      </c>
      <c r="E545" s="24" t="s">
        <v>244</v>
      </c>
      <c r="F545" s="25" t="s">
        <v>1803</v>
      </c>
      <c r="G545" s="24" t="s">
        <v>1804</v>
      </c>
      <c r="H545" s="24" t="s">
        <v>70</v>
      </c>
      <c r="I545" s="25" t="s">
        <v>275</v>
      </c>
      <c r="J545" s="25" t="s">
        <v>57</v>
      </c>
      <c r="K545" s="25" t="s">
        <v>260</v>
      </c>
      <c r="L545" s="25" t="s">
        <v>73</v>
      </c>
      <c r="M545" s="25" t="s">
        <v>420</v>
      </c>
      <c r="N545" s="25" t="s">
        <v>465</v>
      </c>
      <c r="O545" s="25" t="s">
        <v>63</v>
      </c>
      <c r="P545" s="25" t="s">
        <v>63</v>
      </c>
    </row>
    <row r="546" ht="20" customHeight="1" spans="1:16" x14ac:dyDescent="0.25">
      <c r="A546" s="21" t="s">
        <v>583</v>
      </c>
      <c r="B546" s="21" t="s">
        <v>1805</v>
      </c>
      <c r="C546" s="21" t="s">
        <v>1357</v>
      </c>
      <c r="D546" s="21" t="s">
        <v>1805</v>
      </c>
      <c r="E546" s="21" t="s">
        <v>1806</v>
      </c>
      <c r="F546" s="22" t="s">
        <v>1807</v>
      </c>
      <c r="G546" s="21" t="s">
        <v>1808</v>
      </c>
      <c r="H546" s="21" t="s">
        <v>70</v>
      </c>
      <c r="I546" s="22" t="s">
        <v>275</v>
      </c>
      <c r="J546" s="22" t="s">
        <v>57</v>
      </c>
      <c r="K546" s="22" t="s">
        <v>151</v>
      </c>
      <c r="L546" s="22" t="s">
        <v>73</v>
      </c>
      <c r="M546" s="22" t="s">
        <v>275</v>
      </c>
      <c r="N546" s="22" t="s">
        <v>795</v>
      </c>
      <c r="O546" s="22" t="s">
        <v>63</v>
      </c>
      <c r="P546" s="22" t="s">
        <v>63</v>
      </c>
    </row>
    <row r="547" ht="20" customHeight="1" spans="1:16" s="23" customFormat="1" x14ac:dyDescent="0.25">
      <c r="A547" s="24" t="s">
        <v>583</v>
      </c>
      <c r="B547" s="24" t="s">
        <v>1809</v>
      </c>
      <c r="C547" s="24" t="s">
        <v>344</v>
      </c>
      <c r="D547" s="24" t="s">
        <v>1809</v>
      </c>
      <c r="E547" s="24" t="s">
        <v>927</v>
      </c>
      <c r="F547" s="25" t="s">
        <v>53</v>
      </c>
      <c r="G547" s="24" t="s">
        <v>1674</v>
      </c>
      <c r="H547" s="24" t="s">
        <v>55</v>
      </c>
      <c r="I547" s="25" t="s">
        <v>1810</v>
      </c>
      <c r="J547" s="25" t="s">
        <v>1811</v>
      </c>
      <c r="K547" s="25" t="s">
        <v>867</v>
      </c>
      <c r="L547" s="25" t="s">
        <v>73</v>
      </c>
      <c r="M547" s="25" t="s">
        <v>420</v>
      </c>
      <c r="N547" s="25" t="s">
        <v>465</v>
      </c>
      <c r="O547" s="25" t="s">
        <v>63</v>
      </c>
      <c r="P547" s="25" t="s">
        <v>63</v>
      </c>
    </row>
    <row r="548" ht="20" customHeight="1" spans="1:16" x14ac:dyDescent="0.25">
      <c r="A548" s="21" t="s">
        <v>583</v>
      </c>
      <c r="B548" s="21" t="s">
        <v>1809</v>
      </c>
      <c r="C548" s="21" t="s">
        <v>78</v>
      </c>
      <c r="D548" s="21" t="s">
        <v>1809</v>
      </c>
      <c r="E548" s="21" t="s">
        <v>1136</v>
      </c>
      <c r="F548" s="22" t="s">
        <v>53</v>
      </c>
      <c r="G548" s="21" t="s">
        <v>54</v>
      </c>
      <c r="H548" s="21" t="s">
        <v>55</v>
      </c>
      <c r="I548" s="22" t="s">
        <v>314</v>
      </c>
      <c r="J548" s="22" t="s">
        <v>57</v>
      </c>
      <c r="K548" s="22" t="s">
        <v>260</v>
      </c>
      <c r="L548" s="22" t="s">
        <v>73</v>
      </c>
      <c r="M548" s="22" t="s">
        <v>420</v>
      </c>
      <c r="N548" s="22" t="s">
        <v>465</v>
      </c>
      <c r="O548" s="22" t="s">
        <v>63</v>
      </c>
      <c r="P548" s="22" t="s">
        <v>63</v>
      </c>
    </row>
    <row r="549" ht="20" customHeight="1" spans="1:16" s="23" customFormat="1" x14ac:dyDescent="0.25">
      <c r="A549" s="24" t="s">
        <v>1812</v>
      </c>
      <c r="B549" s="24" t="s">
        <v>1813</v>
      </c>
      <c r="C549" s="24" t="s">
        <v>93</v>
      </c>
      <c r="D549" s="24" t="s">
        <v>1813</v>
      </c>
      <c r="E549" s="24" t="s">
        <v>1814</v>
      </c>
      <c r="F549" s="25" t="s">
        <v>53</v>
      </c>
      <c r="G549" s="24" t="s">
        <v>54</v>
      </c>
      <c r="H549" s="24" t="s">
        <v>55</v>
      </c>
      <c r="I549" s="25" t="s">
        <v>186</v>
      </c>
      <c r="J549" s="25" t="s">
        <v>57</v>
      </c>
      <c r="K549" s="25" t="s">
        <v>1442</v>
      </c>
      <c r="L549" s="25" t="s">
        <v>1815</v>
      </c>
      <c r="M549" s="25" t="s">
        <v>60</v>
      </c>
      <c r="N549" s="25" t="s">
        <v>61</v>
      </c>
      <c r="O549" s="25" t="s">
        <v>1816</v>
      </c>
      <c r="P549" s="25" t="s">
        <v>63</v>
      </c>
    </row>
    <row r="550" ht="20" customHeight="1" spans="1:16" x14ac:dyDescent="0.25">
      <c r="A550" s="21" t="s">
        <v>583</v>
      </c>
      <c r="B550" s="21" t="s">
        <v>1817</v>
      </c>
      <c r="C550" s="21" t="s">
        <v>1080</v>
      </c>
      <c r="D550" s="21" t="s">
        <v>1817</v>
      </c>
      <c r="E550" s="21" t="s">
        <v>1818</v>
      </c>
      <c r="F550" s="22" t="s">
        <v>1685</v>
      </c>
      <c r="G550" s="21" t="s">
        <v>1787</v>
      </c>
      <c r="H550" s="21" t="s">
        <v>87</v>
      </c>
      <c r="I550" s="22" t="s">
        <v>118</v>
      </c>
      <c r="J550" s="22" t="s">
        <v>57</v>
      </c>
      <c r="K550" s="22" t="s">
        <v>591</v>
      </c>
      <c r="L550" s="22" t="s">
        <v>1819</v>
      </c>
      <c r="M550" s="22" t="s">
        <v>420</v>
      </c>
      <c r="N550" s="22" t="s">
        <v>465</v>
      </c>
      <c r="O550" s="22" t="s">
        <v>63</v>
      </c>
      <c r="P550" s="22" t="s">
        <v>63</v>
      </c>
    </row>
    <row r="551" ht="20" customHeight="1" spans="1:16" s="23" customFormat="1" x14ac:dyDescent="0.25">
      <c r="A551" s="24" t="s">
        <v>583</v>
      </c>
      <c r="B551" s="24" t="s">
        <v>1817</v>
      </c>
      <c r="C551" s="24" t="s">
        <v>1527</v>
      </c>
      <c r="D551" s="24" t="s">
        <v>1817</v>
      </c>
      <c r="E551" s="24" t="s">
        <v>1536</v>
      </c>
      <c r="F551" s="25" t="s">
        <v>1820</v>
      </c>
      <c r="G551" s="24" t="s">
        <v>1804</v>
      </c>
      <c r="H551" s="24" t="s">
        <v>70</v>
      </c>
      <c r="I551" s="25" t="s">
        <v>275</v>
      </c>
      <c r="J551" s="25" t="s">
        <v>57</v>
      </c>
      <c r="K551" s="25" t="s">
        <v>119</v>
      </c>
      <c r="L551" s="25" t="s">
        <v>73</v>
      </c>
      <c r="M551" s="25" t="s">
        <v>420</v>
      </c>
      <c r="N551" s="25" t="s">
        <v>465</v>
      </c>
      <c r="O551" s="25" t="s">
        <v>63</v>
      </c>
      <c r="P551" s="25" t="s">
        <v>63</v>
      </c>
    </row>
    <row r="552" ht="20" customHeight="1" spans="1:16" x14ac:dyDescent="0.25">
      <c r="A552" s="21" t="s">
        <v>593</v>
      </c>
      <c r="B552" s="21" t="s">
        <v>1817</v>
      </c>
      <c r="C552" s="21" t="s">
        <v>567</v>
      </c>
      <c r="D552" s="21" t="s">
        <v>1817</v>
      </c>
      <c r="E552" s="21" t="s">
        <v>957</v>
      </c>
      <c r="F552" s="22" t="s">
        <v>436</v>
      </c>
      <c r="G552" s="21" t="s">
        <v>437</v>
      </c>
      <c r="H552" s="21" t="s">
        <v>1688</v>
      </c>
      <c r="I552" s="22" t="s">
        <v>160</v>
      </c>
      <c r="J552" s="22" t="s">
        <v>57</v>
      </c>
      <c r="K552" s="22" t="s">
        <v>1821</v>
      </c>
      <c r="L552" s="22" t="s">
        <v>73</v>
      </c>
      <c r="M552" s="22" t="s">
        <v>160</v>
      </c>
      <c r="N552" s="22" t="s">
        <v>426</v>
      </c>
      <c r="O552" s="22" t="s">
        <v>1822</v>
      </c>
      <c r="P552" s="22" t="s">
        <v>63</v>
      </c>
    </row>
    <row r="553" ht="20" customHeight="1" spans="1:16" s="23" customFormat="1" x14ac:dyDescent="0.25">
      <c r="A553" s="24" t="s">
        <v>583</v>
      </c>
      <c r="B553" s="24" t="s">
        <v>1823</v>
      </c>
      <c r="C553" s="24" t="s">
        <v>339</v>
      </c>
      <c r="D553" s="24" t="s">
        <v>1823</v>
      </c>
      <c r="E553" s="24" t="s">
        <v>936</v>
      </c>
      <c r="F553" s="25" t="s">
        <v>436</v>
      </c>
      <c r="G553" s="24" t="s">
        <v>437</v>
      </c>
      <c r="H553" s="24" t="s">
        <v>1688</v>
      </c>
      <c r="I553" s="25" t="s">
        <v>160</v>
      </c>
      <c r="J553" s="25" t="s">
        <v>57</v>
      </c>
      <c r="K553" s="25" t="s">
        <v>1272</v>
      </c>
      <c r="L553" s="25" t="s">
        <v>1824</v>
      </c>
      <c r="M553" s="25" t="s">
        <v>63</v>
      </c>
      <c r="N553" s="25" t="s">
        <v>63</v>
      </c>
      <c r="O553" s="25" t="s">
        <v>63</v>
      </c>
      <c r="P553" s="25" t="s">
        <v>63</v>
      </c>
    </row>
    <row r="554" ht="20" customHeight="1" spans="1:16" x14ac:dyDescent="0.25">
      <c r="A554" s="21" t="s">
        <v>583</v>
      </c>
      <c r="B554" s="21" t="s">
        <v>1823</v>
      </c>
      <c r="C554" s="21" t="s">
        <v>865</v>
      </c>
      <c r="D554" s="21" t="s">
        <v>1823</v>
      </c>
      <c r="E554" s="21" t="s">
        <v>1825</v>
      </c>
      <c r="F554" s="22" t="s">
        <v>923</v>
      </c>
      <c r="G554" s="21" t="s">
        <v>1674</v>
      </c>
      <c r="H554" s="21" t="s">
        <v>1826</v>
      </c>
      <c r="I554" s="22" t="s">
        <v>1140</v>
      </c>
      <c r="J554" s="22" t="s">
        <v>57</v>
      </c>
      <c r="K554" s="22" t="s">
        <v>58</v>
      </c>
      <c r="L554" s="22" t="s">
        <v>73</v>
      </c>
      <c r="M554" s="22" t="s">
        <v>60</v>
      </c>
      <c r="N554" s="22" t="s">
        <v>61</v>
      </c>
      <c r="O554" s="22" t="s">
        <v>1827</v>
      </c>
      <c r="P554" s="22" t="s">
        <v>63</v>
      </c>
    </row>
    <row r="555" ht="20" customHeight="1" spans="1:16" s="23" customFormat="1" x14ac:dyDescent="0.25">
      <c r="A555" s="24" t="s">
        <v>583</v>
      </c>
      <c r="B555" s="24" t="s">
        <v>1828</v>
      </c>
      <c r="C555" s="24" t="s">
        <v>1829</v>
      </c>
      <c r="D555" s="24" t="s">
        <v>1828</v>
      </c>
      <c r="E555" s="24" t="s">
        <v>1830</v>
      </c>
      <c r="F555" s="25" t="s">
        <v>53</v>
      </c>
      <c r="G555" s="24" t="s">
        <v>54</v>
      </c>
      <c r="H555" s="24" t="s">
        <v>55</v>
      </c>
      <c r="I555" s="25" t="s">
        <v>235</v>
      </c>
      <c r="J555" s="25" t="s">
        <v>57</v>
      </c>
      <c r="K555" s="25" t="s">
        <v>260</v>
      </c>
      <c r="L555" s="25" t="s">
        <v>73</v>
      </c>
      <c r="M555" s="25" t="s">
        <v>420</v>
      </c>
      <c r="N555" s="25" t="s">
        <v>465</v>
      </c>
      <c r="O555" s="25" t="s">
        <v>63</v>
      </c>
      <c r="P555" s="25" t="s">
        <v>63</v>
      </c>
    </row>
    <row r="556" ht="20" customHeight="1" spans="1:16" x14ac:dyDescent="0.25">
      <c r="A556" s="21" t="s">
        <v>583</v>
      </c>
      <c r="B556" s="21" t="s">
        <v>1828</v>
      </c>
      <c r="C556" s="21" t="s">
        <v>1831</v>
      </c>
      <c r="D556" s="21" t="s">
        <v>1828</v>
      </c>
      <c r="E556" s="21" t="s">
        <v>1832</v>
      </c>
      <c r="F556" s="22" t="s">
        <v>53</v>
      </c>
      <c r="G556" s="21" t="s">
        <v>54</v>
      </c>
      <c r="H556" s="21" t="s">
        <v>55</v>
      </c>
      <c r="I556" s="22" t="s">
        <v>246</v>
      </c>
      <c r="J556" s="22" t="s">
        <v>57</v>
      </c>
      <c r="K556" s="22" t="s">
        <v>81</v>
      </c>
      <c r="L556" s="22" t="s">
        <v>73</v>
      </c>
      <c r="M556" s="22" t="s">
        <v>420</v>
      </c>
      <c r="N556" s="22" t="s">
        <v>465</v>
      </c>
      <c r="O556" s="22" t="s">
        <v>63</v>
      </c>
      <c r="P556" s="22" t="s">
        <v>63</v>
      </c>
    </row>
    <row r="557" ht="20" customHeight="1" spans="1:16" s="23" customFormat="1" x14ac:dyDescent="0.25">
      <c r="A557" s="24" t="s">
        <v>583</v>
      </c>
      <c r="B557" s="24" t="s">
        <v>1828</v>
      </c>
      <c r="C557" s="24" t="s">
        <v>1833</v>
      </c>
      <c r="D557" s="24" t="s">
        <v>1828</v>
      </c>
      <c r="E557" s="24" t="s">
        <v>1657</v>
      </c>
      <c r="F557" s="25" t="s">
        <v>53</v>
      </c>
      <c r="G557" s="24" t="s">
        <v>54</v>
      </c>
      <c r="H557" s="24" t="s">
        <v>55</v>
      </c>
      <c r="I557" s="25" t="s">
        <v>275</v>
      </c>
      <c r="J557" s="25" t="s">
        <v>57</v>
      </c>
      <c r="K557" s="25" t="s">
        <v>151</v>
      </c>
      <c r="L557" s="25" t="s">
        <v>73</v>
      </c>
      <c r="M557" s="25" t="s">
        <v>275</v>
      </c>
      <c r="N557" s="25" t="s">
        <v>795</v>
      </c>
      <c r="O557" s="25" t="s">
        <v>63</v>
      </c>
      <c r="P557" s="25" t="s">
        <v>63</v>
      </c>
    </row>
    <row r="558" ht="20" customHeight="1" spans="1:16" x14ac:dyDescent="0.25">
      <c r="A558" s="21" t="s">
        <v>583</v>
      </c>
      <c r="B558" s="21" t="s">
        <v>1828</v>
      </c>
      <c r="C558" s="21" t="s">
        <v>977</v>
      </c>
      <c r="D558" s="21" t="s">
        <v>1828</v>
      </c>
      <c r="E558" s="21" t="s">
        <v>1834</v>
      </c>
      <c r="F558" s="22" t="s">
        <v>1685</v>
      </c>
      <c r="G558" s="21" t="s">
        <v>1787</v>
      </c>
      <c r="H558" s="21" t="s">
        <v>87</v>
      </c>
      <c r="I558" s="22" t="s">
        <v>1189</v>
      </c>
      <c r="J558" s="22" t="s">
        <v>386</v>
      </c>
      <c r="K558" s="22" t="s">
        <v>72</v>
      </c>
      <c r="L558" s="22" t="s">
        <v>307</v>
      </c>
      <c r="M558" s="22" t="s">
        <v>420</v>
      </c>
      <c r="N558" s="22" t="s">
        <v>465</v>
      </c>
      <c r="O558" s="22" t="s">
        <v>63</v>
      </c>
      <c r="P558" s="22" t="s">
        <v>63</v>
      </c>
    </row>
    <row r="559" ht="20" customHeight="1" spans="1:16" s="23" customFormat="1" x14ac:dyDescent="0.25">
      <c r="A559" s="24" t="s">
        <v>583</v>
      </c>
      <c r="B559" s="24" t="s">
        <v>1828</v>
      </c>
      <c r="C559" s="24" t="s">
        <v>1835</v>
      </c>
      <c r="D559" s="24" t="s">
        <v>1828</v>
      </c>
      <c r="E559" s="24" t="s">
        <v>1836</v>
      </c>
      <c r="F559" s="25" t="s">
        <v>53</v>
      </c>
      <c r="G559" s="24" t="s">
        <v>54</v>
      </c>
      <c r="H559" s="24" t="s">
        <v>55</v>
      </c>
      <c r="I559" s="25" t="s">
        <v>235</v>
      </c>
      <c r="J559" s="25" t="s">
        <v>57</v>
      </c>
      <c r="K559" s="25" t="s">
        <v>72</v>
      </c>
      <c r="L559" s="25" t="s">
        <v>73</v>
      </c>
      <c r="M559" s="25" t="s">
        <v>275</v>
      </c>
      <c r="N559" s="25" t="s">
        <v>795</v>
      </c>
      <c r="O559" s="25" t="s">
        <v>63</v>
      </c>
      <c r="P559" s="25" t="s">
        <v>63</v>
      </c>
    </row>
    <row r="560" ht="20" customHeight="1" spans="1:16" x14ac:dyDescent="0.25">
      <c r="A560" s="21" t="s">
        <v>1837</v>
      </c>
      <c r="B560" s="21" t="s">
        <v>1838</v>
      </c>
      <c r="C560" s="21" t="s">
        <v>1242</v>
      </c>
      <c r="D560" s="21" t="s">
        <v>1839</v>
      </c>
      <c r="E560" s="21" t="s">
        <v>467</v>
      </c>
      <c r="F560" s="22" t="s">
        <v>53</v>
      </c>
      <c r="G560" s="21" t="s">
        <v>1674</v>
      </c>
      <c r="H560" s="21" t="s">
        <v>55</v>
      </c>
      <c r="I560" s="22" t="s">
        <v>482</v>
      </c>
      <c r="J560" s="22" t="s">
        <v>57</v>
      </c>
      <c r="K560" s="22" t="s">
        <v>1840</v>
      </c>
      <c r="L560" s="22" t="s">
        <v>73</v>
      </c>
      <c r="M560" s="22" t="s">
        <v>464</v>
      </c>
      <c r="N560" s="22" t="s">
        <v>465</v>
      </c>
      <c r="O560" s="22" t="s">
        <v>1841</v>
      </c>
      <c r="P560" s="22" t="s">
        <v>63</v>
      </c>
    </row>
    <row r="561" ht="20" customHeight="1" spans="1:16" s="23" customFormat="1" x14ac:dyDescent="0.25">
      <c r="A561" s="24" t="s">
        <v>1842</v>
      </c>
      <c r="B561" s="24" t="s">
        <v>1838</v>
      </c>
      <c r="C561" s="24" t="s">
        <v>241</v>
      </c>
      <c r="D561" s="24" t="s">
        <v>1838</v>
      </c>
      <c r="E561" s="24" t="s">
        <v>1843</v>
      </c>
      <c r="F561" s="25" t="s">
        <v>923</v>
      </c>
      <c r="G561" s="24" t="s">
        <v>270</v>
      </c>
      <c r="H561" s="24" t="s">
        <v>55</v>
      </c>
      <c r="I561" s="25" t="s">
        <v>360</v>
      </c>
      <c r="J561" s="25" t="s">
        <v>57</v>
      </c>
      <c r="K561" s="25" t="s">
        <v>596</v>
      </c>
      <c r="L561" s="25" t="s">
        <v>73</v>
      </c>
      <c r="M561" s="25" t="s">
        <v>464</v>
      </c>
      <c r="N561" s="25" t="s">
        <v>465</v>
      </c>
      <c r="O561" s="25" t="s">
        <v>1844</v>
      </c>
      <c r="P561" s="25" t="s">
        <v>63</v>
      </c>
    </row>
    <row r="562" ht="20" customHeight="1" spans="1:16" x14ac:dyDescent="0.25">
      <c r="A562" s="21" t="s">
        <v>583</v>
      </c>
      <c r="B562" s="21" t="s">
        <v>1838</v>
      </c>
      <c r="C562" s="21" t="s">
        <v>790</v>
      </c>
      <c r="D562" s="21" t="s">
        <v>1838</v>
      </c>
      <c r="E562" s="21" t="s">
        <v>1687</v>
      </c>
      <c r="F562" s="22" t="s">
        <v>68</v>
      </c>
      <c r="G562" s="21" t="s">
        <v>1769</v>
      </c>
      <c r="H562" s="21" t="s">
        <v>1842</v>
      </c>
      <c r="I562" s="22" t="s">
        <v>314</v>
      </c>
      <c r="J562" s="22" t="s">
        <v>57</v>
      </c>
      <c r="K562" s="22" t="s">
        <v>596</v>
      </c>
      <c r="L562" s="22" t="s">
        <v>1845</v>
      </c>
      <c r="M562" s="22" t="s">
        <v>235</v>
      </c>
      <c r="N562" s="22" t="s">
        <v>389</v>
      </c>
      <c r="O562" s="22" t="s">
        <v>1846</v>
      </c>
      <c r="P562" s="22" t="s">
        <v>63</v>
      </c>
    </row>
    <row r="563" ht="20" customHeight="1" spans="1:16" s="23" customFormat="1" x14ac:dyDescent="0.25">
      <c r="A563" s="24" t="s">
        <v>583</v>
      </c>
      <c r="B563" s="24" t="s">
        <v>1838</v>
      </c>
      <c r="C563" s="24" t="s">
        <v>1495</v>
      </c>
      <c r="D563" s="24" t="s">
        <v>1838</v>
      </c>
      <c r="E563" s="24" t="s">
        <v>508</v>
      </c>
      <c r="F563" s="25" t="s">
        <v>1847</v>
      </c>
      <c r="G563" s="24" t="s">
        <v>270</v>
      </c>
      <c r="H563" s="24" t="s">
        <v>1842</v>
      </c>
      <c r="I563" s="25" t="s">
        <v>1848</v>
      </c>
      <c r="J563" s="25" t="s">
        <v>57</v>
      </c>
      <c r="K563" s="25" t="s">
        <v>1549</v>
      </c>
      <c r="L563" s="25" t="s">
        <v>73</v>
      </c>
      <c r="M563" s="25" t="s">
        <v>235</v>
      </c>
      <c r="N563" s="25" t="s">
        <v>389</v>
      </c>
      <c r="O563" s="25" t="s">
        <v>1849</v>
      </c>
      <c r="P563" s="25" t="s">
        <v>63</v>
      </c>
    </row>
    <row r="564" ht="20" customHeight="1" spans="1:16" x14ac:dyDescent="0.25">
      <c r="A564" s="21" t="s">
        <v>583</v>
      </c>
      <c r="B564" s="21" t="s">
        <v>1839</v>
      </c>
      <c r="C564" s="21" t="s">
        <v>1850</v>
      </c>
      <c r="D564" s="21" t="s">
        <v>1839</v>
      </c>
      <c r="E564" s="21" t="s">
        <v>340</v>
      </c>
      <c r="F564" s="22" t="s">
        <v>68</v>
      </c>
      <c r="G564" s="21" t="s">
        <v>1725</v>
      </c>
      <c r="H564" s="21" t="s">
        <v>87</v>
      </c>
      <c r="I564" s="22" t="s">
        <v>118</v>
      </c>
      <c r="J564" s="22" t="s">
        <v>57</v>
      </c>
      <c r="K564" s="22" t="s">
        <v>260</v>
      </c>
      <c r="L564" s="22" t="s">
        <v>73</v>
      </c>
      <c r="M564" s="22" t="s">
        <v>275</v>
      </c>
      <c r="N564" s="22" t="s">
        <v>795</v>
      </c>
      <c r="O564" s="22" t="s">
        <v>1851</v>
      </c>
      <c r="P564" s="22" t="s">
        <v>63</v>
      </c>
    </row>
    <row r="565" ht="20" customHeight="1" spans="1:16" s="23" customFormat="1" x14ac:dyDescent="0.25">
      <c r="A565" s="24" t="s">
        <v>1783</v>
      </c>
      <c r="B565" s="24" t="s">
        <v>1839</v>
      </c>
      <c r="C565" s="24" t="s">
        <v>1832</v>
      </c>
      <c r="D565" s="24" t="s">
        <v>1839</v>
      </c>
      <c r="E565" s="24" t="s">
        <v>631</v>
      </c>
      <c r="F565" s="25" t="s">
        <v>436</v>
      </c>
      <c r="G565" s="24" t="s">
        <v>437</v>
      </c>
      <c r="H565" s="24" t="s">
        <v>1688</v>
      </c>
      <c r="I565" s="25" t="s">
        <v>683</v>
      </c>
      <c r="J565" s="25" t="s">
        <v>57</v>
      </c>
      <c r="K565" s="25" t="s">
        <v>477</v>
      </c>
      <c r="L565" s="25" t="s">
        <v>73</v>
      </c>
      <c r="M565" s="25" t="s">
        <v>354</v>
      </c>
      <c r="N565" s="25" t="s">
        <v>355</v>
      </c>
      <c r="O565" s="25" t="s">
        <v>1852</v>
      </c>
      <c r="P565" s="25" t="s">
        <v>63</v>
      </c>
    </row>
    <row r="566" ht="20" customHeight="1" spans="1:16" x14ac:dyDescent="0.25">
      <c r="A566" s="21" t="s">
        <v>1853</v>
      </c>
      <c r="B566" s="21" t="s">
        <v>1839</v>
      </c>
      <c r="C566" s="21" t="s">
        <v>1854</v>
      </c>
      <c r="D566" s="21" t="s">
        <v>1839</v>
      </c>
      <c r="E566" s="21" t="s">
        <v>455</v>
      </c>
      <c r="F566" s="22" t="s">
        <v>436</v>
      </c>
      <c r="G566" s="21" t="s">
        <v>437</v>
      </c>
      <c r="H566" s="21" t="s">
        <v>1688</v>
      </c>
      <c r="I566" s="22" t="s">
        <v>71</v>
      </c>
      <c r="J566" s="22" t="s">
        <v>57</v>
      </c>
      <c r="K566" s="22" t="s">
        <v>206</v>
      </c>
      <c r="L566" s="22" t="s">
        <v>73</v>
      </c>
      <c r="M566" s="22" t="s">
        <v>275</v>
      </c>
      <c r="N566" s="22" t="s">
        <v>795</v>
      </c>
      <c r="O566" s="22" t="s">
        <v>1855</v>
      </c>
      <c r="P566" s="22" t="s">
        <v>63</v>
      </c>
    </row>
    <row r="567" ht="20" customHeight="1" spans="1:16" s="23" customFormat="1" x14ac:dyDescent="0.25">
      <c r="A567" s="24" t="s">
        <v>1856</v>
      </c>
      <c r="B567" s="24" t="s">
        <v>1839</v>
      </c>
      <c r="C567" s="24" t="s">
        <v>1053</v>
      </c>
      <c r="D567" s="24" t="s">
        <v>1839</v>
      </c>
      <c r="E567" s="24" t="s">
        <v>1645</v>
      </c>
      <c r="F567" s="25" t="s">
        <v>53</v>
      </c>
      <c r="G567" s="24" t="s">
        <v>1674</v>
      </c>
      <c r="H567" s="24" t="s">
        <v>55</v>
      </c>
      <c r="I567" s="25" t="s">
        <v>100</v>
      </c>
      <c r="J567" s="25" t="s">
        <v>57</v>
      </c>
      <c r="K567" s="25" t="s">
        <v>477</v>
      </c>
      <c r="L567" s="25" t="s">
        <v>73</v>
      </c>
      <c r="M567" s="25" t="s">
        <v>354</v>
      </c>
      <c r="N567" s="25" t="s">
        <v>355</v>
      </c>
      <c r="O567" s="25" t="s">
        <v>1857</v>
      </c>
      <c r="P567" s="25" t="s">
        <v>63</v>
      </c>
    </row>
    <row r="568" ht="20" customHeight="1" spans="1:16" x14ac:dyDescent="0.25">
      <c r="A568" s="21" t="s">
        <v>1858</v>
      </c>
      <c r="B568" s="21" t="s">
        <v>1859</v>
      </c>
      <c r="C568" s="21" t="s">
        <v>336</v>
      </c>
      <c r="D568" s="21" t="s">
        <v>1860</v>
      </c>
      <c r="E568" s="21" t="s">
        <v>742</v>
      </c>
      <c r="F568" s="22" t="s">
        <v>436</v>
      </c>
      <c r="G568" s="21" t="s">
        <v>437</v>
      </c>
      <c r="H568" s="21" t="s">
        <v>1688</v>
      </c>
      <c r="I568" s="22" t="s">
        <v>71</v>
      </c>
      <c r="J568" s="22" t="s">
        <v>57</v>
      </c>
      <c r="K568" s="22" t="s">
        <v>1861</v>
      </c>
      <c r="L568" s="22" t="s">
        <v>1068</v>
      </c>
      <c r="M568" s="22" t="s">
        <v>420</v>
      </c>
      <c r="N568" s="22" t="s">
        <v>465</v>
      </c>
      <c r="O568" s="22" t="s">
        <v>1862</v>
      </c>
      <c r="P568" s="22" t="s">
        <v>63</v>
      </c>
    </row>
    <row r="569" ht="20" customHeight="1" spans="1:16" s="23" customFormat="1" x14ac:dyDescent="0.25">
      <c r="A569" s="24" t="s">
        <v>583</v>
      </c>
      <c r="B569" s="24" t="s">
        <v>1859</v>
      </c>
      <c r="C569" s="24" t="s">
        <v>1047</v>
      </c>
      <c r="D569" s="24" t="s">
        <v>1859</v>
      </c>
      <c r="E569" s="24" t="s">
        <v>754</v>
      </c>
      <c r="F569" s="25" t="s">
        <v>68</v>
      </c>
      <c r="G569" s="24" t="s">
        <v>1725</v>
      </c>
      <c r="H569" s="24" t="s">
        <v>87</v>
      </c>
      <c r="I569" s="25" t="s">
        <v>235</v>
      </c>
      <c r="J569" s="25" t="s">
        <v>57</v>
      </c>
      <c r="K569" s="25" t="s">
        <v>81</v>
      </c>
      <c r="L569" s="25" t="s">
        <v>73</v>
      </c>
      <c r="M569" s="25" t="s">
        <v>464</v>
      </c>
      <c r="N569" s="25" t="s">
        <v>465</v>
      </c>
      <c r="O569" s="25" t="s">
        <v>1863</v>
      </c>
      <c r="P569" s="25" t="s">
        <v>63</v>
      </c>
    </row>
    <row r="570" ht="20" customHeight="1" spans="1:16" x14ac:dyDescent="0.25">
      <c r="A570" s="21" t="s">
        <v>583</v>
      </c>
      <c r="B570" s="21" t="s">
        <v>1860</v>
      </c>
      <c r="C570" s="21" t="s">
        <v>454</v>
      </c>
      <c r="D570" s="21" t="s">
        <v>1860</v>
      </c>
      <c r="E570" s="21" t="s">
        <v>1864</v>
      </c>
      <c r="F570" s="22" t="s">
        <v>1847</v>
      </c>
      <c r="G570" s="21" t="s">
        <v>54</v>
      </c>
      <c r="H570" s="21" t="s">
        <v>55</v>
      </c>
      <c r="I570" s="22" t="s">
        <v>307</v>
      </c>
      <c r="J570" s="22" t="s">
        <v>57</v>
      </c>
      <c r="K570" s="22" t="s">
        <v>1865</v>
      </c>
      <c r="L570" s="22" t="s">
        <v>73</v>
      </c>
      <c r="M570" s="22" t="s">
        <v>275</v>
      </c>
      <c r="N570" s="22" t="s">
        <v>795</v>
      </c>
      <c r="O570" s="22" t="s">
        <v>1866</v>
      </c>
      <c r="P570" s="22" t="s">
        <v>63</v>
      </c>
    </row>
    <row r="571" ht="20" customHeight="1" spans="1:16" s="23" customFormat="1" x14ac:dyDescent="0.25">
      <c r="A571" s="24" t="s">
        <v>583</v>
      </c>
      <c r="B571" s="24" t="s">
        <v>1860</v>
      </c>
      <c r="C571" s="24" t="s">
        <v>917</v>
      </c>
      <c r="D571" s="24" t="s">
        <v>1860</v>
      </c>
      <c r="E571" s="24" t="s">
        <v>1337</v>
      </c>
      <c r="F571" s="25" t="s">
        <v>53</v>
      </c>
      <c r="G571" s="24" t="s">
        <v>1674</v>
      </c>
      <c r="H571" s="24" t="s">
        <v>55</v>
      </c>
      <c r="I571" s="25" t="s">
        <v>100</v>
      </c>
      <c r="J571" s="25" t="s">
        <v>57</v>
      </c>
      <c r="K571" s="25" t="s">
        <v>72</v>
      </c>
      <c r="L571" s="25" t="s">
        <v>73</v>
      </c>
      <c r="M571" s="25" t="s">
        <v>275</v>
      </c>
      <c r="N571" s="25" t="s">
        <v>795</v>
      </c>
      <c r="O571" s="25" t="s">
        <v>1867</v>
      </c>
      <c r="P571" s="25" t="s">
        <v>63</v>
      </c>
    </row>
    <row r="572" ht="20" customHeight="1" spans="1:16" x14ac:dyDescent="0.25">
      <c r="A572" s="21" t="s">
        <v>583</v>
      </c>
      <c r="B572" s="21" t="s">
        <v>1868</v>
      </c>
      <c r="C572" s="21" t="s">
        <v>1048</v>
      </c>
      <c r="D572" s="21" t="s">
        <v>1868</v>
      </c>
      <c r="E572" s="21" t="s">
        <v>1869</v>
      </c>
      <c r="F572" s="22" t="s">
        <v>1870</v>
      </c>
      <c r="G572" s="21" t="s">
        <v>1808</v>
      </c>
      <c r="H572" s="21" t="s">
        <v>87</v>
      </c>
      <c r="I572" s="22" t="s">
        <v>113</v>
      </c>
      <c r="J572" s="22" t="s">
        <v>57</v>
      </c>
      <c r="K572" s="22" t="s">
        <v>1027</v>
      </c>
      <c r="L572" s="22" t="s">
        <v>73</v>
      </c>
      <c r="M572" s="22" t="s">
        <v>464</v>
      </c>
      <c r="N572" s="22" t="s">
        <v>465</v>
      </c>
      <c r="O572" s="22" t="s">
        <v>1871</v>
      </c>
      <c r="P572" s="22" t="s">
        <v>63</v>
      </c>
    </row>
    <row r="573" ht="20" customHeight="1" spans="1:16" s="23" customFormat="1" x14ac:dyDescent="0.25">
      <c r="A573" s="24" t="s">
        <v>583</v>
      </c>
      <c r="B573" s="24" t="s">
        <v>1868</v>
      </c>
      <c r="C573" s="24" t="s">
        <v>998</v>
      </c>
      <c r="D573" s="24" t="s">
        <v>1868</v>
      </c>
      <c r="E573" s="24" t="s">
        <v>1872</v>
      </c>
      <c r="F573" s="25" t="s">
        <v>68</v>
      </c>
      <c r="G573" s="24" t="s">
        <v>1725</v>
      </c>
      <c r="H573" s="24" t="s">
        <v>87</v>
      </c>
      <c r="I573" s="25" t="s">
        <v>140</v>
      </c>
      <c r="J573" s="25" t="s">
        <v>57</v>
      </c>
      <c r="K573" s="25" t="s">
        <v>81</v>
      </c>
      <c r="L573" s="25" t="s">
        <v>1873</v>
      </c>
      <c r="M573" s="25" t="s">
        <v>464</v>
      </c>
      <c r="N573" s="25" t="s">
        <v>465</v>
      </c>
      <c r="O573" s="25" t="s">
        <v>1874</v>
      </c>
      <c r="P573" s="25" t="s">
        <v>63</v>
      </c>
    </row>
    <row r="574" ht="20" customHeight="1" spans="1:16" x14ac:dyDescent="0.25">
      <c r="A574" s="21" t="s">
        <v>583</v>
      </c>
      <c r="B574" s="21" t="s">
        <v>1868</v>
      </c>
      <c r="C574" s="21" t="s">
        <v>1036</v>
      </c>
      <c r="D574" s="21" t="s">
        <v>1868</v>
      </c>
      <c r="E574" s="21" t="s">
        <v>1875</v>
      </c>
      <c r="F574" s="22" t="s">
        <v>53</v>
      </c>
      <c r="G574" s="21" t="s">
        <v>1674</v>
      </c>
      <c r="H574" s="21" t="s">
        <v>55</v>
      </c>
      <c r="I574" s="22" t="s">
        <v>71</v>
      </c>
      <c r="J574" s="22" t="s">
        <v>57</v>
      </c>
      <c r="K574" s="22" t="s">
        <v>596</v>
      </c>
      <c r="L574" s="22" t="s">
        <v>73</v>
      </c>
      <c r="M574" s="22" t="s">
        <v>235</v>
      </c>
      <c r="N574" s="22" t="s">
        <v>389</v>
      </c>
      <c r="O574" s="22" t="s">
        <v>1876</v>
      </c>
      <c r="P574" s="22" t="s">
        <v>63</v>
      </c>
    </row>
    <row r="575" ht="20" customHeight="1" spans="1:16" s="23" customFormat="1" x14ac:dyDescent="0.25">
      <c r="A575" s="24" t="s">
        <v>583</v>
      </c>
      <c r="B575" s="24" t="s">
        <v>1877</v>
      </c>
      <c r="C575" s="24" t="s">
        <v>762</v>
      </c>
      <c r="D575" s="24" t="s">
        <v>1877</v>
      </c>
      <c r="E575" s="24" t="s">
        <v>918</v>
      </c>
      <c r="F575" s="25" t="s">
        <v>1685</v>
      </c>
      <c r="G575" s="24" t="s">
        <v>1725</v>
      </c>
      <c r="H575" s="24" t="s">
        <v>87</v>
      </c>
      <c r="I575" s="25" t="s">
        <v>233</v>
      </c>
      <c r="J575" s="25" t="s">
        <v>57</v>
      </c>
      <c r="K575" s="25" t="s">
        <v>260</v>
      </c>
      <c r="L575" s="25" t="s">
        <v>1878</v>
      </c>
      <c r="M575" s="25" t="s">
        <v>420</v>
      </c>
      <c r="N575" s="25" t="s">
        <v>465</v>
      </c>
      <c r="O575" s="25" t="s">
        <v>1879</v>
      </c>
      <c r="P575" s="25" t="s">
        <v>63</v>
      </c>
    </row>
    <row r="576" ht="20" customHeight="1" spans="1:16" x14ac:dyDescent="0.25">
      <c r="A576" s="21" t="s">
        <v>583</v>
      </c>
      <c r="B576" s="21" t="s">
        <v>1880</v>
      </c>
      <c r="C576" s="21" t="s">
        <v>1881</v>
      </c>
      <c r="D576" s="21" t="s">
        <v>1880</v>
      </c>
      <c r="E576" s="21" t="s">
        <v>689</v>
      </c>
      <c r="F576" s="22" t="s">
        <v>1882</v>
      </c>
      <c r="G576" s="21" t="s">
        <v>1769</v>
      </c>
      <c r="H576" s="21" t="s">
        <v>1826</v>
      </c>
      <c r="I576" s="22" t="s">
        <v>331</v>
      </c>
      <c r="J576" s="22" t="s">
        <v>57</v>
      </c>
      <c r="K576" s="22" t="s">
        <v>1883</v>
      </c>
      <c r="L576" s="22" t="s">
        <v>228</v>
      </c>
      <c r="M576" s="22" t="s">
        <v>420</v>
      </c>
      <c r="N576" s="22" t="s">
        <v>465</v>
      </c>
      <c r="O576" s="22" t="s">
        <v>1884</v>
      </c>
      <c r="P576" s="22" t="s">
        <v>1885</v>
      </c>
    </row>
    <row r="577" ht="20" customHeight="1" spans="1:16" s="23" customFormat="1" x14ac:dyDescent="0.25">
      <c r="A577" s="24" t="s">
        <v>583</v>
      </c>
      <c r="B577" s="24" t="s">
        <v>1880</v>
      </c>
      <c r="C577" s="24" t="s">
        <v>374</v>
      </c>
      <c r="D577" s="24" t="s">
        <v>1880</v>
      </c>
      <c r="E577" s="24" t="s">
        <v>1167</v>
      </c>
      <c r="F577" s="25" t="s">
        <v>1886</v>
      </c>
      <c r="G577" s="24" t="s">
        <v>1725</v>
      </c>
      <c r="H577" s="24" t="s">
        <v>87</v>
      </c>
      <c r="I577" s="25" t="s">
        <v>71</v>
      </c>
      <c r="J577" s="25" t="s">
        <v>57</v>
      </c>
      <c r="K577" s="25" t="s">
        <v>1887</v>
      </c>
      <c r="L577" s="25" t="s">
        <v>73</v>
      </c>
      <c r="M577" s="25" t="s">
        <v>420</v>
      </c>
      <c r="N577" s="25" t="s">
        <v>465</v>
      </c>
      <c r="O577" s="25" t="s">
        <v>1888</v>
      </c>
      <c r="P577" s="25" t="s">
        <v>63</v>
      </c>
    </row>
    <row r="578" ht="20" customHeight="1" spans="1:16" x14ac:dyDescent="0.25">
      <c r="A578" s="21" t="s">
        <v>583</v>
      </c>
      <c r="B578" s="21" t="s">
        <v>1880</v>
      </c>
      <c r="C578" s="21" t="s">
        <v>98</v>
      </c>
      <c r="D578" s="21" t="s">
        <v>1880</v>
      </c>
      <c r="E578" s="21" t="s">
        <v>1360</v>
      </c>
      <c r="F578" s="22" t="s">
        <v>923</v>
      </c>
      <c r="G578" s="21" t="s">
        <v>54</v>
      </c>
      <c r="H578" s="21" t="s">
        <v>610</v>
      </c>
      <c r="I578" s="22" t="s">
        <v>122</v>
      </c>
      <c r="J578" s="22" t="s">
        <v>57</v>
      </c>
      <c r="K578" s="22" t="s">
        <v>260</v>
      </c>
      <c r="L578" s="22" t="s">
        <v>73</v>
      </c>
      <c r="M578" s="22" t="s">
        <v>420</v>
      </c>
      <c r="N578" s="22" t="s">
        <v>465</v>
      </c>
      <c r="O578" s="22" t="s">
        <v>63</v>
      </c>
      <c r="P578" s="22" t="s">
        <v>63</v>
      </c>
    </row>
    <row r="579" ht="20" customHeight="1" spans="1:16" s="23" customFormat="1" x14ac:dyDescent="0.25">
      <c r="A579" s="24" t="s">
        <v>583</v>
      </c>
      <c r="B579" s="24" t="s">
        <v>1880</v>
      </c>
      <c r="C579" s="24" t="s">
        <v>1889</v>
      </c>
      <c r="D579" s="24" t="s">
        <v>1880</v>
      </c>
      <c r="E579" s="24" t="s">
        <v>1341</v>
      </c>
      <c r="F579" s="25" t="s">
        <v>1847</v>
      </c>
      <c r="G579" s="24" t="s">
        <v>270</v>
      </c>
      <c r="H579" s="24" t="s">
        <v>55</v>
      </c>
      <c r="I579" s="25" t="s">
        <v>88</v>
      </c>
      <c r="J579" s="25" t="s">
        <v>57</v>
      </c>
      <c r="K579" s="25" t="s">
        <v>260</v>
      </c>
      <c r="L579" s="25" t="s">
        <v>73</v>
      </c>
      <c r="M579" s="25" t="s">
        <v>420</v>
      </c>
      <c r="N579" s="25" t="s">
        <v>465</v>
      </c>
      <c r="O579" s="25" t="s">
        <v>1890</v>
      </c>
      <c r="P579" s="25" t="s">
        <v>63</v>
      </c>
    </row>
    <row r="580" ht="20" customHeight="1" spans="1:16" x14ac:dyDescent="0.25">
      <c r="A580" s="21" t="s">
        <v>583</v>
      </c>
      <c r="B580" s="21" t="s">
        <v>1880</v>
      </c>
      <c r="C580" s="21" t="s">
        <v>1891</v>
      </c>
      <c r="D580" s="21" t="s">
        <v>1880</v>
      </c>
      <c r="E580" s="21" t="s">
        <v>1892</v>
      </c>
      <c r="F580" s="22" t="s">
        <v>137</v>
      </c>
      <c r="G580" s="21" t="s">
        <v>138</v>
      </c>
      <c r="H580" s="21" t="s">
        <v>139</v>
      </c>
      <c r="I580" s="22" t="s">
        <v>275</v>
      </c>
      <c r="J580" s="22" t="s">
        <v>57</v>
      </c>
      <c r="K580" s="22" t="s">
        <v>1893</v>
      </c>
      <c r="L580" s="22" t="s">
        <v>73</v>
      </c>
      <c r="M580" s="22" t="s">
        <v>420</v>
      </c>
      <c r="N580" s="22" t="s">
        <v>465</v>
      </c>
      <c r="O580" s="22" t="s">
        <v>63</v>
      </c>
      <c r="P580" s="22" t="s">
        <v>63</v>
      </c>
    </row>
    <row r="581" ht="20" customHeight="1" spans="1:16" s="23" customFormat="1" x14ac:dyDescent="0.25">
      <c r="A581" s="24" t="s">
        <v>583</v>
      </c>
      <c r="B581" s="24" t="s">
        <v>1894</v>
      </c>
      <c r="C581" s="24" t="s">
        <v>1756</v>
      </c>
      <c r="D581" s="24" t="s">
        <v>1894</v>
      </c>
      <c r="E581" s="24" t="s">
        <v>1895</v>
      </c>
      <c r="F581" s="25" t="s">
        <v>1896</v>
      </c>
      <c r="G581" s="24" t="s">
        <v>1769</v>
      </c>
      <c r="H581" s="24" t="s">
        <v>1897</v>
      </c>
      <c r="I581" s="25" t="s">
        <v>71</v>
      </c>
      <c r="J581" s="25" t="s">
        <v>57</v>
      </c>
      <c r="K581" s="25" t="s">
        <v>72</v>
      </c>
      <c r="L581" s="25" t="s">
        <v>388</v>
      </c>
      <c r="M581" s="25" t="s">
        <v>464</v>
      </c>
      <c r="N581" s="25" t="s">
        <v>465</v>
      </c>
      <c r="O581" s="25" t="s">
        <v>1898</v>
      </c>
      <c r="P581" s="25" t="s">
        <v>63</v>
      </c>
    </row>
    <row r="582" ht="20" customHeight="1" spans="1:16" x14ac:dyDescent="0.25">
      <c r="A582" s="21" t="s">
        <v>583</v>
      </c>
      <c r="B582" s="21" t="s">
        <v>1899</v>
      </c>
      <c r="C582" s="21" t="s">
        <v>1242</v>
      </c>
      <c r="D582" s="21" t="s">
        <v>1900</v>
      </c>
      <c r="E582" s="21" t="s">
        <v>1901</v>
      </c>
      <c r="F582" s="22" t="s">
        <v>436</v>
      </c>
      <c r="G582" s="21" t="s">
        <v>437</v>
      </c>
      <c r="H582" s="21" t="s">
        <v>1688</v>
      </c>
      <c r="I582" s="22" t="s">
        <v>71</v>
      </c>
      <c r="J582" s="22" t="s">
        <v>57</v>
      </c>
      <c r="K582" s="22" t="s">
        <v>1902</v>
      </c>
      <c r="L582" s="22" t="s">
        <v>73</v>
      </c>
      <c r="M582" s="22" t="s">
        <v>464</v>
      </c>
      <c r="N582" s="22" t="s">
        <v>465</v>
      </c>
      <c r="O582" s="22" t="s">
        <v>1903</v>
      </c>
      <c r="P582" s="22" t="s">
        <v>63</v>
      </c>
    </row>
    <row r="583" ht="20" customHeight="1" spans="1:16" s="23" customFormat="1" x14ac:dyDescent="0.25">
      <c r="A583" s="24" t="s">
        <v>583</v>
      </c>
      <c r="B583" s="24" t="s">
        <v>1899</v>
      </c>
      <c r="C583" s="24" t="s">
        <v>1904</v>
      </c>
      <c r="D583" s="24" t="s">
        <v>1899</v>
      </c>
      <c r="E583" s="24" t="s">
        <v>1905</v>
      </c>
      <c r="F583" s="25" t="s">
        <v>1685</v>
      </c>
      <c r="G583" s="24" t="s">
        <v>1725</v>
      </c>
      <c r="H583" s="24" t="s">
        <v>87</v>
      </c>
      <c r="I583" s="25" t="s">
        <v>233</v>
      </c>
      <c r="J583" s="25" t="s">
        <v>57</v>
      </c>
      <c r="K583" s="25" t="s">
        <v>260</v>
      </c>
      <c r="L583" s="25" t="s">
        <v>73</v>
      </c>
      <c r="M583" s="25" t="s">
        <v>420</v>
      </c>
      <c r="N583" s="25" t="s">
        <v>465</v>
      </c>
      <c r="O583" s="25" t="s">
        <v>1906</v>
      </c>
      <c r="P583" s="25" t="s">
        <v>63</v>
      </c>
    </row>
    <row r="584" ht="20" customHeight="1" spans="1:16" x14ac:dyDescent="0.25">
      <c r="A584" s="21" t="s">
        <v>583</v>
      </c>
      <c r="B584" s="21" t="s">
        <v>1899</v>
      </c>
      <c r="C584" s="21" t="s">
        <v>1907</v>
      </c>
      <c r="D584" s="21" t="s">
        <v>1899</v>
      </c>
      <c r="E584" s="21" t="s">
        <v>1908</v>
      </c>
      <c r="F584" s="22" t="s">
        <v>53</v>
      </c>
      <c r="G584" s="21" t="s">
        <v>1674</v>
      </c>
      <c r="H584" s="21" t="s">
        <v>55</v>
      </c>
      <c r="I584" s="22" t="s">
        <v>1205</v>
      </c>
      <c r="J584" s="22" t="s">
        <v>57</v>
      </c>
      <c r="K584" s="22" t="s">
        <v>151</v>
      </c>
      <c r="L584" s="22" t="s">
        <v>73</v>
      </c>
      <c r="M584" s="22" t="s">
        <v>275</v>
      </c>
      <c r="N584" s="22" t="s">
        <v>795</v>
      </c>
      <c r="O584" s="22" t="s">
        <v>1909</v>
      </c>
      <c r="P584" s="22" t="s">
        <v>63</v>
      </c>
    </row>
    <row r="585" ht="20" customHeight="1" spans="1:16" s="23" customFormat="1" x14ac:dyDescent="0.25">
      <c r="A585" s="24" t="s">
        <v>1557</v>
      </c>
      <c r="B585" s="24" t="s">
        <v>1899</v>
      </c>
      <c r="C585" s="24" t="s">
        <v>1910</v>
      </c>
      <c r="D585" s="24" t="s">
        <v>1899</v>
      </c>
      <c r="E585" s="24" t="s">
        <v>1112</v>
      </c>
      <c r="F585" s="25" t="s">
        <v>53</v>
      </c>
      <c r="G585" s="24" t="s">
        <v>1674</v>
      </c>
      <c r="H585" s="24" t="s">
        <v>55</v>
      </c>
      <c r="I585" s="25" t="s">
        <v>100</v>
      </c>
      <c r="J585" s="25" t="s">
        <v>57</v>
      </c>
      <c r="K585" s="25" t="s">
        <v>151</v>
      </c>
      <c r="L585" s="25" t="s">
        <v>73</v>
      </c>
      <c r="M585" s="25" t="s">
        <v>60</v>
      </c>
      <c r="N585" s="25" t="s">
        <v>61</v>
      </c>
      <c r="O585" s="25" t="s">
        <v>1911</v>
      </c>
      <c r="P585" s="25" t="s">
        <v>63</v>
      </c>
    </row>
    <row r="586" ht="20" customHeight="1" spans="1:16" x14ac:dyDescent="0.25">
      <c r="A586" s="21" t="s">
        <v>1557</v>
      </c>
      <c r="B586" s="21" t="s">
        <v>1899</v>
      </c>
      <c r="C586" s="21" t="s">
        <v>1608</v>
      </c>
      <c r="D586" s="21" t="s">
        <v>1899</v>
      </c>
      <c r="E586" s="21" t="s">
        <v>159</v>
      </c>
      <c r="F586" s="22" t="s">
        <v>53</v>
      </c>
      <c r="G586" s="21" t="s">
        <v>270</v>
      </c>
      <c r="H586" s="21" t="s">
        <v>55</v>
      </c>
      <c r="I586" s="22" t="s">
        <v>360</v>
      </c>
      <c r="J586" s="22" t="s">
        <v>57</v>
      </c>
      <c r="K586" s="22" t="s">
        <v>114</v>
      </c>
      <c r="L586" s="22" t="s">
        <v>73</v>
      </c>
      <c r="M586" s="22" t="s">
        <v>60</v>
      </c>
      <c r="N586" s="22" t="s">
        <v>61</v>
      </c>
      <c r="O586" s="22" t="s">
        <v>63</v>
      </c>
      <c r="P586" s="22" t="s">
        <v>63</v>
      </c>
    </row>
    <row r="587" ht="20" customHeight="1" spans="1:16" s="23" customFormat="1" x14ac:dyDescent="0.25">
      <c r="A587" s="24" t="s">
        <v>583</v>
      </c>
      <c r="B587" s="24" t="s">
        <v>1899</v>
      </c>
      <c r="C587" s="24" t="s">
        <v>1912</v>
      </c>
      <c r="D587" s="24" t="s">
        <v>1900</v>
      </c>
      <c r="E587" s="24" t="s">
        <v>1913</v>
      </c>
      <c r="F587" s="25" t="s">
        <v>1914</v>
      </c>
      <c r="G587" s="24" t="s">
        <v>1787</v>
      </c>
      <c r="H587" s="24" t="s">
        <v>1350</v>
      </c>
      <c r="I587" s="25" t="s">
        <v>153</v>
      </c>
      <c r="J587" s="25" t="s">
        <v>57</v>
      </c>
      <c r="K587" s="25" t="s">
        <v>349</v>
      </c>
      <c r="L587" s="25" t="s">
        <v>1915</v>
      </c>
      <c r="M587" s="25" t="s">
        <v>499</v>
      </c>
      <c r="N587" s="25" t="s">
        <v>465</v>
      </c>
      <c r="O587" s="25" t="s">
        <v>1916</v>
      </c>
      <c r="P587" s="25" t="s">
        <v>63</v>
      </c>
    </row>
    <row r="588" ht="20" customHeight="1" spans="1:16" x14ac:dyDescent="0.25">
      <c r="A588" s="21" t="s">
        <v>583</v>
      </c>
      <c r="B588" s="21" t="s">
        <v>1900</v>
      </c>
      <c r="C588" s="21" t="s">
        <v>1917</v>
      </c>
      <c r="D588" s="21" t="s">
        <v>1900</v>
      </c>
      <c r="E588" s="21" t="s">
        <v>1918</v>
      </c>
      <c r="F588" s="22" t="s">
        <v>1914</v>
      </c>
      <c r="G588" s="21" t="s">
        <v>1769</v>
      </c>
      <c r="H588" s="21" t="s">
        <v>1350</v>
      </c>
      <c r="I588" s="22" t="s">
        <v>1086</v>
      </c>
      <c r="J588" s="22" t="s">
        <v>57</v>
      </c>
      <c r="K588" s="22" t="s">
        <v>1919</v>
      </c>
      <c r="L588" s="22" t="s">
        <v>1920</v>
      </c>
      <c r="M588" s="22" t="s">
        <v>499</v>
      </c>
      <c r="N588" s="22" t="s">
        <v>465</v>
      </c>
      <c r="O588" s="22" t="s">
        <v>1921</v>
      </c>
      <c r="P588" s="22" t="s">
        <v>63</v>
      </c>
    </row>
    <row r="589" ht="20" customHeight="1" spans="1:16" s="23" customFormat="1" x14ac:dyDescent="0.25">
      <c r="A589" s="24" t="s">
        <v>583</v>
      </c>
      <c r="B589" s="24" t="s">
        <v>1900</v>
      </c>
      <c r="C589" s="24" t="s">
        <v>648</v>
      </c>
      <c r="D589" s="24" t="s">
        <v>1900</v>
      </c>
      <c r="E589" s="24" t="s">
        <v>1922</v>
      </c>
      <c r="F589" s="25" t="s">
        <v>1896</v>
      </c>
      <c r="G589" s="24" t="s">
        <v>69</v>
      </c>
      <c r="H589" s="24" t="s">
        <v>1923</v>
      </c>
      <c r="I589" s="25" t="s">
        <v>1924</v>
      </c>
      <c r="J589" s="25" t="s">
        <v>57</v>
      </c>
      <c r="K589" s="25" t="s">
        <v>591</v>
      </c>
      <c r="L589" s="25" t="s">
        <v>1925</v>
      </c>
      <c r="M589" s="25" t="s">
        <v>464</v>
      </c>
      <c r="N589" s="25" t="s">
        <v>465</v>
      </c>
      <c r="O589" s="25" t="s">
        <v>1926</v>
      </c>
      <c r="P589" s="25" t="s">
        <v>63</v>
      </c>
    </row>
    <row r="590" ht="20" customHeight="1" spans="1:16" x14ac:dyDescent="0.25">
      <c r="A590" s="21" t="s">
        <v>583</v>
      </c>
      <c r="B590" s="21" t="s">
        <v>1900</v>
      </c>
      <c r="C590" s="21" t="s">
        <v>1133</v>
      </c>
      <c r="D590" s="21" t="s">
        <v>1900</v>
      </c>
      <c r="E590" s="21" t="s">
        <v>569</v>
      </c>
      <c r="F590" s="22" t="s">
        <v>53</v>
      </c>
      <c r="G590" s="21" t="s">
        <v>54</v>
      </c>
      <c r="H590" s="21" t="s">
        <v>55</v>
      </c>
      <c r="I590" s="22" t="s">
        <v>683</v>
      </c>
      <c r="J590" s="22" t="s">
        <v>57</v>
      </c>
      <c r="K590" s="22" t="s">
        <v>1927</v>
      </c>
      <c r="L590" s="22" t="s">
        <v>73</v>
      </c>
      <c r="M590" s="22" t="s">
        <v>60</v>
      </c>
      <c r="N590" s="22" t="s">
        <v>61</v>
      </c>
      <c r="O590" s="22" t="s">
        <v>1928</v>
      </c>
      <c r="P590" s="22" t="s">
        <v>63</v>
      </c>
    </row>
    <row r="591" ht="20" customHeight="1" spans="1:16" s="23" customFormat="1" x14ac:dyDescent="0.25">
      <c r="A591" s="24" t="s">
        <v>1929</v>
      </c>
      <c r="B591" s="24" t="s">
        <v>1900</v>
      </c>
      <c r="C591" s="24" t="s">
        <v>1047</v>
      </c>
      <c r="D591" s="24" t="s">
        <v>1900</v>
      </c>
      <c r="E591" s="24" t="s">
        <v>1836</v>
      </c>
      <c r="F591" s="25" t="s">
        <v>53</v>
      </c>
      <c r="G591" s="24" t="s">
        <v>1674</v>
      </c>
      <c r="H591" s="24" t="s">
        <v>55</v>
      </c>
      <c r="I591" s="25" t="s">
        <v>866</v>
      </c>
      <c r="J591" s="25" t="s">
        <v>57</v>
      </c>
      <c r="K591" s="25" t="s">
        <v>133</v>
      </c>
      <c r="L591" s="25" t="s">
        <v>73</v>
      </c>
      <c r="M591" s="25" t="s">
        <v>464</v>
      </c>
      <c r="N591" s="25" t="s">
        <v>465</v>
      </c>
      <c r="O591" s="25" t="s">
        <v>1930</v>
      </c>
      <c r="P591" s="25" t="s">
        <v>63</v>
      </c>
    </row>
    <row r="592" ht="20" customHeight="1" spans="1:16" x14ac:dyDescent="0.25">
      <c r="A592" s="21" t="s">
        <v>1557</v>
      </c>
      <c r="B592" s="21" t="s">
        <v>1900</v>
      </c>
      <c r="C592" s="21" t="s">
        <v>1931</v>
      </c>
      <c r="D592" s="21" t="s">
        <v>1900</v>
      </c>
      <c r="E592" s="21" t="s">
        <v>1729</v>
      </c>
      <c r="F592" s="22" t="s">
        <v>53</v>
      </c>
      <c r="G592" s="21" t="s">
        <v>54</v>
      </c>
      <c r="H592" s="21" t="s">
        <v>55</v>
      </c>
      <c r="I592" s="22" t="s">
        <v>80</v>
      </c>
      <c r="J592" s="22" t="s">
        <v>57</v>
      </c>
      <c r="K592" s="22" t="s">
        <v>72</v>
      </c>
      <c r="L592" s="22" t="s">
        <v>73</v>
      </c>
      <c r="M592" s="22" t="s">
        <v>60</v>
      </c>
      <c r="N592" s="22" t="s">
        <v>61</v>
      </c>
      <c r="O592" s="22" t="s">
        <v>63</v>
      </c>
      <c r="P592" s="22" t="s">
        <v>63</v>
      </c>
    </row>
    <row r="593" ht="20" customHeight="1" spans="1:16" s="23" customFormat="1" x14ac:dyDescent="0.25">
      <c r="A593" s="24" t="s">
        <v>583</v>
      </c>
      <c r="B593" s="24" t="s">
        <v>1900</v>
      </c>
      <c r="C593" s="24" t="s">
        <v>149</v>
      </c>
      <c r="D593" s="24" t="s">
        <v>1932</v>
      </c>
      <c r="E593" s="24" t="s">
        <v>886</v>
      </c>
      <c r="F593" s="25" t="s">
        <v>1933</v>
      </c>
      <c r="G593" s="24" t="s">
        <v>86</v>
      </c>
      <c r="H593" s="24" t="s">
        <v>87</v>
      </c>
      <c r="I593" s="25" t="s">
        <v>100</v>
      </c>
      <c r="J593" s="25" t="s">
        <v>57</v>
      </c>
      <c r="K593" s="25" t="s">
        <v>1934</v>
      </c>
      <c r="L593" s="25" t="s">
        <v>73</v>
      </c>
      <c r="M593" s="25" t="s">
        <v>464</v>
      </c>
      <c r="N593" s="25" t="s">
        <v>465</v>
      </c>
      <c r="O593" s="25" t="s">
        <v>1935</v>
      </c>
      <c r="P593" s="25" t="s">
        <v>63</v>
      </c>
    </row>
    <row r="594" ht="20" customHeight="1" spans="1:16" x14ac:dyDescent="0.25">
      <c r="A594" s="21" t="s">
        <v>1936</v>
      </c>
      <c r="B594" s="21" t="s">
        <v>1900</v>
      </c>
      <c r="C594" s="21" t="s">
        <v>1305</v>
      </c>
      <c r="D594" s="21" t="s">
        <v>1900</v>
      </c>
      <c r="E594" s="21" t="s">
        <v>1937</v>
      </c>
      <c r="F594" s="22" t="s">
        <v>53</v>
      </c>
      <c r="G594" s="21" t="s">
        <v>54</v>
      </c>
      <c r="H594" s="21" t="s">
        <v>1938</v>
      </c>
      <c r="I594" s="22" t="s">
        <v>937</v>
      </c>
      <c r="J594" s="22" t="s">
        <v>57</v>
      </c>
      <c r="K594" s="22" t="s">
        <v>279</v>
      </c>
      <c r="L594" s="22" t="s">
        <v>1939</v>
      </c>
      <c r="M594" s="22" t="s">
        <v>354</v>
      </c>
      <c r="N594" s="22" t="s">
        <v>355</v>
      </c>
      <c r="O594" s="22" t="s">
        <v>1940</v>
      </c>
      <c r="P594" s="22" t="s">
        <v>63</v>
      </c>
    </row>
    <row r="595" ht="20" customHeight="1" spans="1:16" s="23" customFormat="1" x14ac:dyDescent="0.25">
      <c r="A595" s="24" t="s">
        <v>583</v>
      </c>
      <c r="B595" s="24" t="s">
        <v>1900</v>
      </c>
      <c r="C595" s="24" t="s">
        <v>656</v>
      </c>
      <c r="D595" s="24" t="s">
        <v>1900</v>
      </c>
      <c r="E595" s="24" t="s">
        <v>1941</v>
      </c>
      <c r="F595" s="25" t="s">
        <v>53</v>
      </c>
      <c r="G595" s="24" t="s">
        <v>1674</v>
      </c>
      <c r="H595" s="24" t="s">
        <v>55</v>
      </c>
      <c r="I595" s="25" t="s">
        <v>181</v>
      </c>
      <c r="J595" s="25" t="s">
        <v>57</v>
      </c>
      <c r="K595" s="25" t="s">
        <v>1942</v>
      </c>
      <c r="L595" s="25" t="s">
        <v>1943</v>
      </c>
      <c r="M595" s="25" t="s">
        <v>616</v>
      </c>
      <c r="N595" s="25" t="s">
        <v>465</v>
      </c>
      <c r="O595" s="25" t="s">
        <v>1944</v>
      </c>
      <c r="P595" s="25" t="s">
        <v>63</v>
      </c>
    </row>
    <row r="596" ht="20" customHeight="1" spans="1:16" x14ac:dyDescent="0.25">
      <c r="A596" s="21" t="s">
        <v>583</v>
      </c>
      <c r="B596" s="21" t="s">
        <v>1932</v>
      </c>
      <c r="C596" s="21" t="s">
        <v>981</v>
      </c>
      <c r="D596" s="21" t="s">
        <v>1900</v>
      </c>
      <c r="E596" s="21" t="s">
        <v>972</v>
      </c>
      <c r="F596" s="22" t="s">
        <v>1945</v>
      </c>
      <c r="G596" s="21" t="s">
        <v>69</v>
      </c>
      <c r="H596" s="21" t="s">
        <v>1946</v>
      </c>
      <c r="I596" s="22" t="s">
        <v>140</v>
      </c>
      <c r="J596" s="22" t="s">
        <v>57</v>
      </c>
      <c r="K596" s="22" t="s">
        <v>227</v>
      </c>
      <c r="L596" s="22" t="s">
        <v>1947</v>
      </c>
      <c r="M596" s="22" t="s">
        <v>616</v>
      </c>
      <c r="N596" s="22" t="s">
        <v>465</v>
      </c>
      <c r="O596" s="22" t="s">
        <v>1948</v>
      </c>
      <c r="P596" s="22" t="s">
        <v>63</v>
      </c>
    </row>
    <row r="597" ht="20" customHeight="1" spans="1:16" s="23" customFormat="1" x14ac:dyDescent="0.25">
      <c r="A597" s="24" t="s">
        <v>583</v>
      </c>
      <c r="B597" s="24" t="s">
        <v>1900</v>
      </c>
      <c r="C597" s="24" t="s">
        <v>1949</v>
      </c>
      <c r="D597" s="24" t="s">
        <v>1900</v>
      </c>
      <c r="E597" s="24" t="s">
        <v>1950</v>
      </c>
      <c r="F597" s="25" t="s">
        <v>1951</v>
      </c>
      <c r="G597" s="24" t="s">
        <v>69</v>
      </c>
      <c r="H597" s="24" t="s">
        <v>1952</v>
      </c>
      <c r="I597" s="25" t="s">
        <v>132</v>
      </c>
      <c r="J597" s="25" t="s">
        <v>57</v>
      </c>
      <c r="K597" s="25" t="s">
        <v>227</v>
      </c>
      <c r="L597" s="25" t="s">
        <v>73</v>
      </c>
      <c r="M597" s="25" t="s">
        <v>63</v>
      </c>
      <c r="N597" s="25" t="s">
        <v>63</v>
      </c>
      <c r="O597" s="25" t="s">
        <v>63</v>
      </c>
      <c r="P597" s="25" t="s">
        <v>63</v>
      </c>
    </row>
    <row r="598" ht="20" customHeight="1" spans="1:16" x14ac:dyDescent="0.25">
      <c r="A598" s="21" t="s">
        <v>583</v>
      </c>
      <c r="B598" s="21" t="s">
        <v>1932</v>
      </c>
      <c r="C598" s="21" t="s">
        <v>707</v>
      </c>
      <c r="D598" s="21" t="s">
        <v>1932</v>
      </c>
      <c r="E598" s="21" t="s">
        <v>1953</v>
      </c>
      <c r="F598" s="22" t="s">
        <v>53</v>
      </c>
      <c r="G598" s="21" t="s">
        <v>1674</v>
      </c>
      <c r="H598" s="21" t="s">
        <v>610</v>
      </c>
      <c r="I598" s="22" t="s">
        <v>118</v>
      </c>
      <c r="J598" s="22" t="s">
        <v>57</v>
      </c>
      <c r="K598" s="22" t="s">
        <v>591</v>
      </c>
      <c r="L598" s="22" t="s">
        <v>1954</v>
      </c>
      <c r="M598" s="22" t="s">
        <v>420</v>
      </c>
      <c r="N598" s="22" t="s">
        <v>465</v>
      </c>
      <c r="O598" s="22" t="s">
        <v>1955</v>
      </c>
      <c r="P598" s="22" t="s">
        <v>63</v>
      </c>
    </row>
    <row r="599" ht="20" customHeight="1" spans="1:16" s="23" customFormat="1" x14ac:dyDescent="0.25">
      <c r="A599" s="24" t="s">
        <v>583</v>
      </c>
      <c r="B599" s="24" t="s">
        <v>1932</v>
      </c>
      <c r="C599" s="24" t="s">
        <v>1624</v>
      </c>
      <c r="D599" s="24" t="s">
        <v>1932</v>
      </c>
      <c r="E599" s="24" t="s">
        <v>1310</v>
      </c>
      <c r="F599" s="25" t="s">
        <v>436</v>
      </c>
      <c r="G599" s="24" t="s">
        <v>437</v>
      </c>
      <c r="H599" s="24" t="s">
        <v>1688</v>
      </c>
      <c r="I599" s="25" t="s">
        <v>71</v>
      </c>
      <c r="J599" s="25" t="s">
        <v>57</v>
      </c>
      <c r="K599" s="25" t="s">
        <v>1956</v>
      </c>
      <c r="L599" s="25" t="s">
        <v>734</v>
      </c>
      <c r="M599" s="25" t="s">
        <v>275</v>
      </c>
      <c r="N599" s="25" t="s">
        <v>795</v>
      </c>
      <c r="O599" s="25" t="s">
        <v>1957</v>
      </c>
      <c r="P599" s="25" t="s">
        <v>63</v>
      </c>
    </row>
    <row r="600" ht="20" customHeight="1" spans="1:16" x14ac:dyDescent="0.25">
      <c r="A600" s="21" t="s">
        <v>583</v>
      </c>
      <c r="B600" s="21" t="s">
        <v>1932</v>
      </c>
      <c r="C600" s="21" t="s">
        <v>870</v>
      </c>
      <c r="D600" s="21" t="s">
        <v>1932</v>
      </c>
      <c r="E600" s="21" t="s">
        <v>789</v>
      </c>
      <c r="F600" s="22" t="s">
        <v>53</v>
      </c>
      <c r="G600" s="21" t="s">
        <v>54</v>
      </c>
      <c r="H600" s="21" t="s">
        <v>1938</v>
      </c>
      <c r="I600" s="22" t="s">
        <v>118</v>
      </c>
      <c r="J600" s="22" t="s">
        <v>57</v>
      </c>
      <c r="K600" s="22" t="s">
        <v>260</v>
      </c>
      <c r="L600" s="22" t="s">
        <v>73</v>
      </c>
      <c r="M600" s="22" t="s">
        <v>420</v>
      </c>
      <c r="N600" s="22" t="s">
        <v>465</v>
      </c>
      <c r="O600" s="22" t="s">
        <v>1958</v>
      </c>
      <c r="P600" s="22" t="s">
        <v>63</v>
      </c>
    </row>
    <row r="601" ht="20" customHeight="1" spans="1:16" s="23" customFormat="1" x14ac:dyDescent="0.25">
      <c r="A601" s="24" t="s">
        <v>583</v>
      </c>
      <c r="B601" s="24" t="s">
        <v>1932</v>
      </c>
      <c r="C601" s="24" t="s">
        <v>1959</v>
      </c>
      <c r="D601" s="24" t="s">
        <v>1932</v>
      </c>
      <c r="E601" s="24" t="s">
        <v>145</v>
      </c>
      <c r="F601" s="25" t="s">
        <v>53</v>
      </c>
      <c r="G601" s="24" t="s">
        <v>1674</v>
      </c>
      <c r="H601" s="24" t="s">
        <v>610</v>
      </c>
      <c r="I601" s="25" t="s">
        <v>866</v>
      </c>
      <c r="J601" s="25" t="s">
        <v>57</v>
      </c>
      <c r="K601" s="25" t="s">
        <v>96</v>
      </c>
      <c r="L601" s="25" t="s">
        <v>73</v>
      </c>
      <c r="M601" s="25" t="s">
        <v>420</v>
      </c>
      <c r="N601" s="25" t="s">
        <v>465</v>
      </c>
      <c r="O601" s="25" t="s">
        <v>1960</v>
      </c>
      <c r="P601" s="25" t="s">
        <v>63</v>
      </c>
    </row>
    <row r="602" ht="20" customHeight="1" spans="1:16" x14ac:dyDescent="0.25">
      <c r="A602" s="21" t="s">
        <v>583</v>
      </c>
      <c r="B602" s="21" t="s">
        <v>1932</v>
      </c>
      <c r="C602" s="21" t="s">
        <v>1959</v>
      </c>
      <c r="D602" s="21" t="s">
        <v>1961</v>
      </c>
      <c r="E602" s="21" t="s">
        <v>956</v>
      </c>
      <c r="F602" s="22" t="s">
        <v>137</v>
      </c>
      <c r="G602" s="21" t="s">
        <v>138</v>
      </c>
      <c r="H602" s="21" t="s">
        <v>139</v>
      </c>
      <c r="I602" s="22" t="s">
        <v>80</v>
      </c>
      <c r="J602" s="22" t="s">
        <v>57</v>
      </c>
      <c r="K602" s="22" t="s">
        <v>1691</v>
      </c>
      <c r="L602" s="22" t="s">
        <v>73</v>
      </c>
      <c r="M602" s="22" t="s">
        <v>420</v>
      </c>
      <c r="N602" s="22" t="s">
        <v>465</v>
      </c>
      <c r="O602" s="22" t="s">
        <v>1962</v>
      </c>
      <c r="P602" s="22" t="s">
        <v>63</v>
      </c>
    </row>
    <row r="603" ht="20" customHeight="1" spans="1:16" s="23" customFormat="1" x14ac:dyDescent="0.25">
      <c r="A603" s="24" t="s">
        <v>583</v>
      </c>
      <c r="B603" s="24" t="s">
        <v>1932</v>
      </c>
      <c r="C603" s="24" t="s">
        <v>238</v>
      </c>
      <c r="D603" s="24" t="s">
        <v>1932</v>
      </c>
      <c r="E603" s="24" t="s">
        <v>1963</v>
      </c>
      <c r="F603" s="25" t="s">
        <v>53</v>
      </c>
      <c r="G603" s="24" t="s">
        <v>1674</v>
      </c>
      <c r="H603" s="24" t="s">
        <v>55</v>
      </c>
      <c r="I603" s="25" t="s">
        <v>118</v>
      </c>
      <c r="J603" s="25" t="s">
        <v>57</v>
      </c>
      <c r="K603" s="25" t="s">
        <v>591</v>
      </c>
      <c r="L603" s="25" t="s">
        <v>1964</v>
      </c>
      <c r="M603" s="25" t="s">
        <v>420</v>
      </c>
      <c r="N603" s="25" t="s">
        <v>465</v>
      </c>
      <c r="O603" s="25" t="s">
        <v>1965</v>
      </c>
      <c r="P603" s="25" t="s">
        <v>63</v>
      </c>
    </row>
    <row r="604" ht="20" customHeight="1" spans="1:16" x14ac:dyDescent="0.25">
      <c r="A604" s="21" t="s">
        <v>583</v>
      </c>
      <c r="B604" s="21" t="s">
        <v>1932</v>
      </c>
      <c r="C604" s="21" t="s">
        <v>551</v>
      </c>
      <c r="D604" s="21" t="s">
        <v>1932</v>
      </c>
      <c r="E604" s="21" t="s">
        <v>1966</v>
      </c>
      <c r="F604" s="22" t="s">
        <v>53</v>
      </c>
      <c r="G604" s="21" t="s">
        <v>54</v>
      </c>
      <c r="H604" s="21" t="s">
        <v>1938</v>
      </c>
      <c r="I604" s="22" t="s">
        <v>529</v>
      </c>
      <c r="J604" s="22" t="s">
        <v>57</v>
      </c>
      <c r="K604" s="22" t="s">
        <v>1212</v>
      </c>
      <c r="L604" s="22" t="s">
        <v>1967</v>
      </c>
      <c r="M604" s="22" t="s">
        <v>499</v>
      </c>
      <c r="N604" s="22" t="s">
        <v>465</v>
      </c>
      <c r="O604" s="22" t="s">
        <v>1968</v>
      </c>
      <c r="P604" s="22" t="s">
        <v>63</v>
      </c>
    </row>
    <row r="605" ht="20" customHeight="1" spans="1:16" s="23" customFormat="1" x14ac:dyDescent="0.25">
      <c r="A605" s="24" t="s">
        <v>1969</v>
      </c>
      <c r="B605" s="24" t="s">
        <v>1970</v>
      </c>
      <c r="C605" s="24" t="s">
        <v>790</v>
      </c>
      <c r="D605" s="24" t="s">
        <v>1970</v>
      </c>
      <c r="E605" s="24" t="s">
        <v>1971</v>
      </c>
      <c r="F605" s="25" t="s">
        <v>1450</v>
      </c>
      <c r="G605" s="24" t="s">
        <v>69</v>
      </c>
      <c r="H605" s="24" t="s">
        <v>1451</v>
      </c>
      <c r="I605" s="25" t="s">
        <v>505</v>
      </c>
      <c r="J605" s="25" t="s">
        <v>57</v>
      </c>
      <c r="K605" s="25" t="s">
        <v>81</v>
      </c>
      <c r="L605" s="25" t="s">
        <v>1824</v>
      </c>
      <c r="M605" s="25" t="s">
        <v>868</v>
      </c>
      <c r="N605" s="25" t="s">
        <v>465</v>
      </c>
      <c r="O605" s="25" t="s">
        <v>1972</v>
      </c>
      <c r="P605" s="25" t="s">
        <v>63</v>
      </c>
    </row>
    <row r="606" ht="20" customHeight="1" spans="1:16" x14ac:dyDescent="0.25">
      <c r="A606" s="21" t="s">
        <v>583</v>
      </c>
      <c r="B606" s="21" t="s">
        <v>1970</v>
      </c>
      <c r="C606" s="21" t="s">
        <v>981</v>
      </c>
      <c r="D606" s="21" t="s">
        <v>1970</v>
      </c>
      <c r="E606" s="21" t="s">
        <v>779</v>
      </c>
      <c r="F606" s="22" t="s">
        <v>53</v>
      </c>
      <c r="G606" s="21" t="s">
        <v>54</v>
      </c>
      <c r="H606" s="21" t="s">
        <v>1938</v>
      </c>
      <c r="I606" s="22" t="s">
        <v>331</v>
      </c>
      <c r="J606" s="22" t="s">
        <v>57</v>
      </c>
      <c r="K606" s="22" t="s">
        <v>591</v>
      </c>
      <c r="L606" s="22" t="s">
        <v>73</v>
      </c>
      <c r="M606" s="22" t="s">
        <v>464</v>
      </c>
      <c r="N606" s="22" t="s">
        <v>465</v>
      </c>
      <c r="O606" s="22" t="s">
        <v>1973</v>
      </c>
      <c r="P606" s="22" t="s">
        <v>63</v>
      </c>
    </row>
    <row r="607" ht="20" customHeight="1" spans="1:16" s="23" customFormat="1" x14ac:dyDescent="0.25">
      <c r="A607" s="24" t="s">
        <v>583</v>
      </c>
      <c r="B607" s="24" t="s">
        <v>1974</v>
      </c>
      <c r="C607" s="24" t="s">
        <v>1975</v>
      </c>
      <c r="D607" s="24" t="s">
        <v>1974</v>
      </c>
      <c r="E607" s="24" t="s">
        <v>1267</v>
      </c>
      <c r="F607" s="25" t="s">
        <v>53</v>
      </c>
      <c r="G607" s="24" t="s">
        <v>1674</v>
      </c>
      <c r="H607" s="24" t="s">
        <v>55</v>
      </c>
      <c r="I607" s="25" t="s">
        <v>118</v>
      </c>
      <c r="J607" s="25" t="s">
        <v>57</v>
      </c>
      <c r="K607" s="25" t="s">
        <v>1976</v>
      </c>
      <c r="L607" s="25" t="s">
        <v>73</v>
      </c>
      <c r="M607" s="25" t="s">
        <v>616</v>
      </c>
      <c r="N607" s="25" t="s">
        <v>465</v>
      </c>
      <c r="O607" s="25" t="s">
        <v>1977</v>
      </c>
      <c r="P607" s="25" t="s">
        <v>63</v>
      </c>
    </row>
    <row r="608" ht="20" customHeight="1" spans="1:16" x14ac:dyDescent="0.25">
      <c r="A608" s="21" t="s">
        <v>583</v>
      </c>
      <c r="B608" s="21" t="s">
        <v>1974</v>
      </c>
      <c r="C608" s="21" t="s">
        <v>927</v>
      </c>
      <c r="D608" s="21" t="s">
        <v>1974</v>
      </c>
      <c r="E608" s="21" t="s">
        <v>632</v>
      </c>
      <c r="F608" s="22" t="s">
        <v>1978</v>
      </c>
      <c r="G608" s="21" t="s">
        <v>1787</v>
      </c>
      <c r="H608" s="21" t="s">
        <v>87</v>
      </c>
      <c r="I608" s="22" t="s">
        <v>307</v>
      </c>
      <c r="J608" s="22" t="s">
        <v>57</v>
      </c>
      <c r="K608" s="22" t="s">
        <v>260</v>
      </c>
      <c r="L608" s="22" t="s">
        <v>1979</v>
      </c>
      <c r="M608" s="22" t="s">
        <v>420</v>
      </c>
      <c r="N608" s="22" t="s">
        <v>465</v>
      </c>
      <c r="O608" s="22" t="s">
        <v>1980</v>
      </c>
      <c r="P608" s="22" t="s">
        <v>63</v>
      </c>
    </row>
    <row r="609" ht="20" customHeight="1" spans="1:16" s="23" customFormat="1" x14ac:dyDescent="0.25">
      <c r="A609" s="24" t="s">
        <v>583</v>
      </c>
      <c r="B609" s="24" t="s">
        <v>1974</v>
      </c>
      <c r="C609" s="24" t="s">
        <v>849</v>
      </c>
      <c r="D609" s="24" t="s">
        <v>1974</v>
      </c>
      <c r="E609" s="24" t="s">
        <v>1981</v>
      </c>
      <c r="F609" s="25" t="s">
        <v>53</v>
      </c>
      <c r="G609" s="24" t="s">
        <v>54</v>
      </c>
      <c r="H609" s="24" t="s">
        <v>1938</v>
      </c>
      <c r="I609" s="25" t="s">
        <v>529</v>
      </c>
      <c r="J609" s="25" t="s">
        <v>57</v>
      </c>
      <c r="K609" s="25" t="s">
        <v>1976</v>
      </c>
      <c r="L609" s="25" t="s">
        <v>1982</v>
      </c>
      <c r="M609" s="25" t="s">
        <v>63</v>
      </c>
      <c r="N609" s="25" t="s">
        <v>63</v>
      </c>
      <c r="O609" s="25" t="s">
        <v>63</v>
      </c>
      <c r="P609" s="25" t="s">
        <v>63</v>
      </c>
    </row>
    <row r="610" ht="20" customHeight="1" spans="1:16" x14ac:dyDescent="0.25">
      <c r="A610" s="21" t="s">
        <v>583</v>
      </c>
      <c r="B610" s="21" t="s">
        <v>1974</v>
      </c>
      <c r="C610" s="21" t="s">
        <v>614</v>
      </c>
      <c r="D610" s="21" t="s">
        <v>1974</v>
      </c>
      <c r="E610" s="21" t="s">
        <v>1983</v>
      </c>
      <c r="F610" s="22" t="s">
        <v>1794</v>
      </c>
      <c r="G610" s="21" t="s">
        <v>978</v>
      </c>
      <c r="H610" s="21" t="s">
        <v>1350</v>
      </c>
      <c r="I610" s="22" t="s">
        <v>529</v>
      </c>
      <c r="J610" s="22" t="s">
        <v>57</v>
      </c>
      <c r="K610" s="22" t="s">
        <v>1984</v>
      </c>
      <c r="L610" s="22" t="s">
        <v>1985</v>
      </c>
      <c r="M610" s="22" t="s">
        <v>499</v>
      </c>
      <c r="N610" s="22" t="s">
        <v>465</v>
      </c>
      <c r="O610" s="22" t="s">
        <v>1986</v>
      </c>
      <c r="P610" s="22" t="s">
        <v>63</v>
      </c>
    </row>
    <row r="611" ht="20" customHeight="1" spans="1:16" s="23" customFormat="1" x14ac:dyDescent="0.25">
      <c r="A611" s="24" t="s">
        <v>583</v>
      </c>
      <c r="B611" s="24" t="s">
        <v>1987</v>
      </c>
      <c r="C611" s="24" t="s">
        <v>1988</v>
      </c>
      <c r="D611" s="24" t="s">
        <v>1987</v>
      </c>
      <c r="E611" s="24" t="s">
        <v>496</v>
      </c>
      <c r="F611" s="25" t="s">
        <v>53</v>
      </c>
      <c r="G611" s="24" t="s">
        <v>1674</v>
      </c>
      <c r="H611" s="24" t="s">
        <v>55</v>
      </c>
      <c r="I611" s="25" t="s">
        <v>683</v>
      </c>
      <c r="J611" s="25" t="s">
        <v>57</v>
      </c>
      <c r="K611" s="25" t="s">
        <v>591</v>
      </c>
      <c r="L611" s="25" t="s">
        <v>73</v>
      </c>
      <c r="M611" s="25" t="s">
        <v>464</v>
      </c>
      <c r="N611" s="25" t="s">
        <v>465</v>
      </c>
      <c r="O611" s="25" t="s">
        <v>1989</v>
      </c>
      <c r="P611" s="25" t="s">
        <v>63</v>
      </c>
    </row>
    <row r="612" ht="20" customHeight="1" spans="1:16" x14ac:dyDescent="0.25">
      <c r="A612" s="21" t="s">
        <v>1557</v>
      </c>
      <c r="B612" s="21" t="s">
        <v>1987</v>
      </c>
      <c r="C612" s="21" t="s">
        <v>879</v>
      </c>
      <c r="D612" s="21" t="s">
        <v>1987</v>
      </c>
      <c r="E612" s="21" t="s">
        <v>1990</v>
      </c>
      <c r="F612" s="22" t="s">
        <v>85</v>
      </c>
      <c r="G612" s="21" t="s">
        <v>86</v>
      </c>
      <c r="H612" s="21" t="s">
        <v>87</v>
      </c>
      <c r="I612" s="22" t="s">
        <v>1205</v>
      </c>
      <c r="J612" s="22" t="s">
        <v>57</v>
      </c>
      <c r="K612" s="22" t="s">
        <v>151</v>
      </c>
      <c r="L612" s="22" t="s">
        <v>73</v>
      </c>
      <c r="M612" s="22" t="s">
        <v>60</v>
      </c>
      <c r="N612" s="22" t="s">
        <v>61</v>
      </c>
      <c r="O612" s="22" t="s">
        <v>1991</v>
      </c>
      <c r="P612" s="22" t="s">
        <v>63</v>
      </c>
    </row>
    <row r="613" ht="20" customHeight="1" spans="1:16" s="23" customFormat="1" x14ac:dyDescent="0.25">
      <c r="A613" s="24" t="s">
        <v>988</v>
      </c>
      <c r="B613" s="24" t="s">
        <v>1987</v>
      </c>
      <c r="C613" s="24" t="s">
        <v>1475</v>
      </c>
      <c r="D613" s="24" t="s">
        <v>1987</v>
      </c>
      <c r="E613" s="24" t="s">
        <v>865</v>
      </c>
      <c r="F613" s="25" t="s">
        <v>1450</v>
      </c>
      <c r="G613" s="24" t="s">
        <v>69</v>
      </c>
      <c r="H613" s="24" t="s">
        <v>1451</v>
      </c>
      <c r="I613" s="25" t="s">
        <v>235</v>
      </c>
      <c r="J613" s="25" t="s">
        <v>57</v>
      </c>
      <c r="K613" s="25" t="s">
        <v>1647</v>
      </c>
      <c r="L613" s="25" t="s">
        <v>73</v>
      </c>
      <c r="M613" s="25" t="s">
        <v>201</v>
      </c>
      <c r="N613" s="25" t="s">
        <v>974</v>
      </c>
      <c r="O613" s="25" t="s">
        <v>1992</v>
      </c>
      <c r="P613" s="25" t="s">
        <v>63</v>
      </c>
    </row>
    <row r="614" ht="20" customHeight="1" spans="1:16" x14ac:dyDescent="0.25">
      <c r="A614" s="21" t="s">
        <v>583</v>
      </c>
      <c r="B614" s="21" t="s">
        <v>1987</v>
      </c>
      <c r="C614" s="21" t="s">
        <v>1993</v>
      </c>
      <c r="D614" s="21" t="s">
        <v>1987</v>
      </c>
      <c r="E614" s="21" t="s">
        <v>1310</v>
      </c>
      <c r="F614" s="22" t="s">
        <v>731</v>
      </c>
      <c r="G614" s="21" t="s">
        <v>1725</v>
      </c>
      <c r="H614" s="21" t="s">
        <v>733</v>
      </c>
      <c r="I614" s="22" t="s">
        <v>653</v>
      </c>
      <c r="J614" s="22" t="s">
        <v>57</v>
      </c>
      <c r="K614" s="22" t="s">
        <v>1994</v>
      </c>
      <c r="L614" s="22" t="s">
        <v>235</v>
      </c>
      <c r="M614" s="22" t="s">
        <v>201</v>
      </c>
      <c r="N614" s="22" t="s">
        <v>974</v>
      </c>
      <c r="O614" s="22" t="s">
        <v>1995</v>
      </c>
      <c r="P614" s="22" t="s">
        <v>63</v>
      </c>
    </row>
    <row r="615" ht="20" customHeight="1" spans="1:16" s="23" customFormat="1" x14ac:dyDescent="0.25">
      <c r="A615" s="24" t="s">
        <v>583</v>
      </c>
      <c r="B615" s="24" t="s">
        <v>1996</v>
      </c>
      <c r="C615" s="24" t="s">
        <v>1527</v>
      </c>
      <c r="D615" s="24" t="s">
        <v>1996</v>
      </c>
      <c r="E615" s="24" t="s">
        <v>1317</v>
      </c>
      <c r="F615" s="25" t="s">
        <v>85</v>
      </c>
      <c r="G615" s="24" t="s">
        <v>86</v>
      </c>
      <c r="H615" s="24" t="s">
        <v>87</v>
      </c>
      <c r="I615" s="25" t="s">
        <v>71</v>
      </c>
      <c r="J615" s="25" t="s">
        <v>57</v>
      </c>
      <c r="K615" s="25" t="s">
        <v>76</v>
      </c>
      <c r="L615" s="25" t="s">
        <v>73</v>
      </c>
      <c r="M615" s="25" t="s">
        <v>420</v>
      </c>
      <c r="N615" s="25" t="s">
        <v>465</v>
      </c>
      <c r="O615" s="25" t="s">
        <v>1997</v>
      </c>
      <c r="P615" s="25" t="s">
        <v>63</v>
      </c>
    </row>
    <row r="616" ht="20" customHeight="1" spans="1:16" x14ac:dyDescent="0.25">
      <c r="A616" s="21" t="s">
        <v>583</v>
      </c>
      <c r="B616" s="21" t="s">
        <v>1996</v>
      </c>
      <c r="C616" s="21" t="s">
        <v>1998</v>
      </c>
      <c r="D616" s="21" t="s">
        <v>1999</v>
      </c>
      <c r="E616" s="21" t="s">
        <v>790</v>
      </c>
      <c r="F616" s="22" t="s">
        <v>1450</v>
      </c>
      <c r="G616" s="21" t="s">
        <v>69</v>
      </c>
      <c r="H616" s="21" t="s">
        <v>1451</v>
      </c>
      <c r="I616" s="22" t="s">
        <v>1205</v>
      </c>
      <c r="J616" s="22" t="s">
        <v>57</v>
      </c>
      <c r="K616" s="22" t="s">
        <v>151</v>
      </c>
      <c r="L616" s="22" t="s">
        <v>73</v>
      </c>
      <c r="M616" s="22" t="s">
        <v>420</v>
      </c>
      <c r="N616" s="22" t="s">
        <v>465</v>
      </c>
      <c r="O616" s="22" t="s">
        <v>2000</v>
      </c>
      <c r="P616" s="22" t="s">
        <v>63</v>
      </c>
    </row>
    <row r="617" ht="20" customHeight="1" spans="1:16" s="23" customFormat="1" x14ac:dyDescent="0.25">
      <c r="A617" s="24" t="s">
        <v>1856</v>
      </c>
      <c r="B617" s="24" t="s">
        <v>1996</v>
      </c>
      <c r="C617" s="24" t="s">
        <v>899</v>
      </c>
      <c r="D617" s="24" t="s">
        <v>1996</v>
      </c>
      <c r="E617" s="24" t="s">
        <v>79</v>
      </c>
      <c r="F617" s="25" t="s">
        <v>53</v>
      </c>
      <c r="G617" s="24" t="s">
        <v>1674</v>
      </c>
      <c r="H617" s="24" t="s">
        <v>610</v>
      </c>
      <c r="I617" s="25" t="s">
        <v>683</v>
      </c>
      <c r="J617" s="25" t="s">
        <v>57</v>
      </c>
      <c r="K617" s="25" t="s">
        <v>2001</v>
      </c>
      <c r="L617" s="25" t="s">
        <v>73</v>
      </c>
      <c r="M617" s="25" t="s">
        <v>354</v>
      </c>
      <c r="N617" s="25" t="s">
        <v>355</v>
      </c>
      <c r="O617" s="25" t="s">
        <v>2002</v>
      </c>
      <c r="P617" s="25" t="s">
        <v>63</v>
      </c>
    </row>
    <row r="618" ht="20" customHeight="1" spans="1:16" x14ac:dyDescent="0.25">
      <c r="A618" s="21" t="s">
        <v>1557</v>
      </c>
      <c r="B618" s="21" t="s">
        <v>1996</v>
      </c>
      <c r="C618" s="21" t="s">
        <v>1139</v>
      </c>
      <c r="D618" s="21" t="s">
        <v>1996</v>
      </c>
      <c r="E618" s="21" t="s">
        <v>2003</v>
      </c>
      <c r="F618" s="22" t="s">
        <v>53</v>
      </c>
      <c r="G618" s="21" t="s">
        <v>54</v>
      </c>
      <c r="H618" s="21" t="s">
        <v>1938</v>
      </c>
      <c r="I618" s="22" t="s">
        <v>1140</v>
      </c>
      <c r="J618" s="22" t="s">
        <v>57</v>
      </c>
      <c r="K618" s="22" t="s">
        <v>81</v>
      </c>
      <c r="L618" s="22" t="s">
        <v>73</v>
      </c>
      <c r="M618" s="22" t="s">
        <v>60</v>
      </c>
      <c r="N618" s="22" t="s">
        <v>61</v>
      </c>
      <c r="O618" s="22" t="s">
        <v>2004</v>
      </c>
      <c r="P618" s="22" t="s">
        <v>63</v>
      </c>
    </row>
    <row r="619" ht="20" customHeight="1" spans="1:16" s="23" customFormat="1" x14ac:dyDescent="0.25">
      <c r="A619" s="24" t="s">
        <v>583</v>
      </c>
      <c r="B619" s="24" t="s">
        <v>1996</v>
      </c>
      <c r="C619" s="24" t="s">
        <v>2005</v>
      </c>
      <c r="D619" s="24" t="s">
        <v>1996</v>
      </c>
      <c r="E619" s="24" t="s">
        <v>957</v>
      </c>
      <c r="F619" s="25" t="s">
        <v>68</v>
      </c>
      <c r="G619" s="24" t="s">
        <v>1725</v>
      </c>
      <c r="H619" s="24" t="s">
        <v>87</v>
      </c>
      <c r="I619" s="25" t="s">
        <v>118</v>
      </c>
      <c r="J619" s="25" t="s">
        <v>57</v>
      </c>
      <c r="K619" s="25" t="s">
        <v>260</v>
      </c>
      <c r="L619" s="25" t="s">
        <v>196</v>
      </c>
      <c r="M619" s="25" t="s">
        <v>275</v>
      </c>
      <c r="N619" s="25" t="s">
        <v>795</v>
      </c>
      <c r="O619" s="25" t="s">
        <v>2006</v>
      </c>
      <c r="P619" s="25" t="s">
        <v>63</v>
      </c>
    </row>
    <row r="620" ht="20" customHeight="1" spans="1:16" x14ac:dyDescent="0.25">
      <c r="A620" s="21" t="s">
        <v>1557</v>
      </c>
      <c r="B620" s="21" t="s">
        <v>1996</v>
      </c>
      <c r="C620" s="21" t="s">
        <v>790</v>
      </c>
      <c r="D620" s="21" t="s">
        <v>1996</v>
      </c>
      <c r="E620" s="21" t="s">
        <v>2007</v>
      </c>
      <c r="F620" s="22" t="s">
        <v>53</v>
      </c>
      <c r="G620" s="21" t="s">
        <v>54</v>
      </c>
      <c r="H620" s="21" t="s">
        <v>1938</v>
      </c>
      <c r="I620" s="22" t="s">
        <v>1140</v>
      </c>
      <c r="J620" s="22" t="s">
        <v>57</v>
      </c>
      <c r="K620" s="22" t="s">
        <v>81</v>
      </c>
      <c r="L620" s="22" t="s">
        <v>73</v>
      </c>
      <c r="M620" s="22" t="s">
        <v>60</v>
      </c>
      <c r="N620" s="22" t="s">
        <v>61</v>
      </c>
      <c r="O620" s="22" t="s">
        <v>2008</v>
      </c>
      <c r="P620" s="22" t="s">
        <v>63</v>
      </c>
    </row>
    <row r="621" ht="20" customHeight="1" spans="1:16" s="23" customFormat="1" x14ac:dyDescent="0.25">
      <c r="A621" s="24" t="s">
        <v>583</v>
      </c>
      <c r="B621" s="24" t="s">
        <v>1996</v>
      </c>
      <c r="C621" s="24" t="s">
        <v>839</v>
      </c>
      <c r="D621" s="24" t="s">
        <v>1996</v>
      </c>
      <c r="E621" s="24" t="s">
        <v>165</v>
      </c>
      <c r="F621" s="25" t="s">
        <v>53</v>
      </c>
      <c r="G621" s="24" t="s">
        <v>54</v>
      </c>
      <c r="H621" s="24" t="s">
        <v>1938</v>
      </c>
      <c r="I621" s="25" t="s">
        <v>71</v>
      </c>
      <c r="J621" s="25" t="s">
        <v>57</v>
      </c>
      <c r="K621" s="25" t="s">
        <v>96</v>
      </c>
      <c r="L621" s="25" t="s">
        <v>73</v>
      </c>
      <c r="M621" s="25" t="s">
        <v>275</v>
      </c>
      <c r="N621" s="25" t="s">
        <v>795</v>
      </c>
      <c r="O621" s="25" t="s">
        <v>2009</v>
      </c>
      <c r="P621" s="25" t="s">
        <v>63</v>
      </c>
    </row>
    <row r="622" ht="20" customHeight="1" spans="1:16" x14ac:dyDescent="0.25">
      <c r="A622" s="21" t="s">
        <v>583</v>
      </c>
      <c r="B622" s="21" t="s">
        <v>1996</v>
      </c>
      <c r="C622" s="21" t="s">
        <v>1922</v>
      </c>
      <c r="D622" s="21" t="s">
        <v>1996</v>
      </c>
      <c r="E622" s="21" t="s">
        <v>1834</v>
      </c>
      <c r="F622" s="22" t="s">
        <v>53</v>
      </c>
      <c r="G622" s="21" t="s">
        <v>1674</v>
      </c>
      <c r="H622" s="21" t="s">
        <v>55</v>
      </c>
      <c r="I622" s="22" t="s">
        <v>160</v>
      </c>
      <c r="J622" s="22" t="s">
        <v>57</v>
      </c>
      <c r="K622" s="22" t="s">
        <v>424</v>
      </c>
      <c r="L622" s="22" t="s">
        <v>2010</v>
      </c>
      <c r="M622" s="22" t="s">
        <v>235</v>
      </c>
      <c r="N622" s="22" t="s">
        <v>389</v>
      </c>
      <c r="O622" s="22" t="s">
        <v>2011</v>
      </c>
      <c r="P622" s="22" t="s">
        <v>63</v>
      </c>
    </row>
    <row r="623" ht="20" customHeight="1" spans="1:16" s="23" customFormat="1" x14ac:dyDescent="0.25">
      <c r="A623" s="24" t="s">
        <v>988</v>
      </c>
      <c r="B623" s="24" t="s">
        <v>2012</v>
      </c>
      <c r="C623" s="24" t="s">
        <v>1482</v>
      </c>
      <c r="D623" s="24" t="s">
        <v>2012</v>
      </c>
      <c r="E623" s="24" t="s">
        <v>1193</v>
      </c>
      <c r="F623" s="25" t="s">
        <v>53</v>
      </c>
      <c r="G623" s="24" t="s">
        <v>2013</v>
      </c>
      <c r="H623" s="24" t="s">
        <v>610</v>
      </c>
      <c r="I623" s="25" t="s">
        <v>140</v>
      </c>
      <c r="J623" s="25" t="s">
        <v>57</v>
      </c>
      <c r="K623" s="25" t="s">
        <v>72</v>
      </c>
      <c r="L623" s="25" t="s">
        <v>73</v>
      </c>
      <c r="M623" s="25" t="s">
        <v>868</v>
      </c>
      <c r="N623" s="25" t="s">
        <v>465</v>
      </c>
      <c r="O623" s="25" t="s">
        <v>2014</v>
      </c>
      <c r="P623" s="25" t="s">
        <v>63</v>
      </c>
    </row>
    <row r="624" ht="20" customHeight="1" spans="1:16" x14ac:dyDescent="0.25">
      <c r="A624" s="21" t="s">
        <v>988</v>
      </c>
      <c r="B624" s="21" t="s">
        <v>2012</v>
      </c>
      <c r="C624" s="21" t="s">
        <v>1830</v>
      </c>
      <c r="D624" s="21" t="s">
        <v>2015</v>
      </c>
      <c r="E624" s="21" t="s">
        <v>2016</v>
      </c>
      <c r="F624" s="22" t="s">
        <v>436</v>
      </c>
      <c r="G624" s="21" t="s">
        <v>437</v>
      </c>
      <c r="H624" s="21" t="s">
        <v>1688</v>
      </c>
      <c r="I624" s="22" t="s">
        <v>71</v>
      </c>
      <c r="J624" s="22" t="s">
        <v>57</v>
      </c>
      <c r="K624" s="22" t="s">
        <v>2017</v>
      </c>
      <c r="L624" s="22" t="s">
        <v>73</v>
      </c>
      <c r="M624" s="22" t="s">
        <v>201</v>
      </c>
      <c r="N624" s="22" t="s">
        <v>974</v>
      </c>
      <c r="O624" s="22" t="s">
        <v>2018</v>
      </c>
      <c r="P624" s="22" t="s">
        <v>63</v>
      </c>
    </row>
    <row r="625" ht="20" customHeight="1" spans="1:16" s="23" customFormat="1" x14ac:dyDescent="0.25">
      <c r="A625" s="24" t="s">
        <v>1557</v>
      </c>
      <c r="B625" s="24" t="s">
        <v>2012</v>
      </c>
      <c r="C625" s="24" t="s">
        <v>442</v>
      </c>
      <c r="D625" s="24" t="s">
        <v>2012</v>
      </c>
      <c r="E625" s="24" t="s">
        <v>1273</v>
      </c>
      <c r="F625" s="25" t="s">
        <v>85</v>
      </c>
      <c r="G625" s="24" t="s">
        <v>86</v>
      </c>
      <c r="H625" s="24" t="s">
        <v>87</v>
      </c>
      <c r="I625" s="25" t="s">
        <v>100</v>
      </c>
      <c r="J625" s="25" t="s">
        <v>57</v>
      </c>
      <c r="K625" s="25" t="s">
        <v>81</v>
      </c>
      <c r="L625" s="25" t="s">
        <v>73</v>
      </c>
      <c r="M625" s="25" t="s">
        <v>60</v>
      </c>
      <c r="N625" s="25" t="s">
        <v>61</v>
      </c>
      <c r="O625" s="25" t="s">
        <v>2019</v>
      </c>
      <c r="P625" s="25" t="s">
        <v>63</v>
      </c>
    </row>
    <row r="626" ht="20" customHeight="1" spans="1:16" x14ac:dyDescent="0.25">
      <c r="A626" s="21" t="s">
        <v>2020</v>
      </c>
      <c r="B626" s="21" t="s">
        <v>2012</v>
      </c>
      <c r="C626" s="21" t="s">
        <v>739</v>
      </c>
      <c r="D626" s="21" t="s">
        <v>2012</v>
      </c>
      <c r="E626" s="21" t="s">
        <v>1477</v>
      </c>
      <c r="F626" s="22" t="s">
        <v>731</v>
      </c>
      <c r="G626" s="21" t="s">
        <v>1725</v>
      </c>
      <c r="H626" s="21" t="s">
        <v>733</v>
      </c>
      <c r="I626" s="22" t="s">
        <v>235</v>
      </c>
      <c r="J626" s="22" t="s">
        <v>57</v>
      </c>
      <c r="K626" s="22" t="s">
        <v>1994</v>
      </c>
      <c r="L626" s="22" t="s">
        <v>73</v>
      </c>
      <c r="M626" s="22" t="s">
        <v>201</v>
      </c>
      <c r="N626" s="22" t="s">
        <v>974</v>
      </c>
      <c r="O626" s="22" t="s">
        <v>2021</v>
      </c>
      <c r="P626" s="22" t="s">
        <v>63</v>
      </c>
    </row>
    <row r="627" ht="20" customHeight="1" spans="1:16" s="23" customFormat="1" x14ac:dyDescent="0.25">
      <c r="A627" s="24" t="s">
        <v>2022</v>
      </c>
      <c r="B627" s="24" t="s">
        <v>2012</v>
      </c>
      <c r="C627" s="24" t="s">
        <v>75</v>
      </c>
      <c r="D627" s="24" t="s">
        <v>2012</v>
      </c>
      <c r="E627" s="24" t="s">
        <v>320</v>
      </c>
      <c r="F627" s="25" t="s">
        <v>85</v>
      </c>
      <c r="G627" s="24" t="s">
        <v>86</v>
      </c>
      <c r="H627" s="24" t="s">
        <v>87</v>
      </c>
      <c r="I627" s="25" t="s">
        <v>80</v>
      </c>
      <c r="J627" s="25" t="s">
        <v>57</v>
      </c>
      <c r="K627" s="25" t="s">
        <v>151</v>
      </c>
      <c r="L627" s="25" t="s">
        <v>73</v>
      </c>
      <c r="M627" s="25" t="s">
        <v>60</v>
      </c>
      <c r="N627" s="25" t="s">
        <v>61</v>
      </c>
      <c r="O627" s="25" t="s">
        <v>2023</v>
      </c>
      <c r="P627" s="25" t="s">
        <v>63</v>
      </c>
    </row>
    <row r="628" ht="20" customHeight="1" spans="1:16" x14ac:dyDescent="0.25">
      <c r="A628" s="21" t="s">
        <v>2024</v>
      </c>
      <c r="B628" s="21" t="s">
        <v>2012</v>
      </c>
      <c r="C628" s="21" t="s">
        <v>839</v>
      </c>
      <c r="D628" s="21" t="s">
        <v>2012</v>
      </c>
      <c r="E628" s="21" t="s">
        <v>2025</v>
      </c>
      <c r="F628" s="22" t="s">
        <v>1847</v>
      </c>
      <c r="G628" s="21" t="s">
        <v>270</v>
      </c>
      <c r="H628" s="21" t="s">
        <v>55</v>
      </c>
      <c r="I628" s="22" t="s">
        <v>201</v>
      </c>
      <c r="J628" s="22" t="s">
        <v>57</v>
      </c>
      <c r="K628" s="22" t="s">
        <v>752</v>
      </c>
      <c r="L628" s="22" t="s">
        <v>2010</v>
      </c>
      <c r="M628" s="22" t="s">
        <v>235</v>
      </c>
      <c r="N628" s="22" t="s">
        <v>389</v>
      </c>
      <c r="O628" s="22" t="s">
        <v>2026</v>
      </c>
      <c r="P628" s="22" t="s">
        <v>63</v>
      </c>
    </row>
    <row r="629" ht="20" customHeight="1" spans="1:16" s="23" customFormat="1" x14ac:dyDescent="0.25">
      <c r="A629" s="24" t="s">
        <v>583</v>
      </c>
      <c r="B629" s="24" t="s">
        <v>2012</v>
      </c>
      <c r="C629" s="24" t="s">
        <v>328</v>
      </c>
      <c r="D629" s="24" t="s">
        <v>2012</v>
      </c>
      <c r="E629" s="24" t="s">
        <v>2027</v>
      </c>
      <c r="F629" s="25" t="s">
        <v>53</v>
      </c>
      <c r="G629" s="24" t="s">
        <v>54</v>
      </c>
      <c r="H629" s="24" t="s">
        <v>1938</v>
      </c>
      <c r="I629" s="25" t="s">
        <v>331</v>
      </c>
      <c r="J629" s="25" t="s">
        <v>57</v>
      </c>
      <c r="K629" s="25" t="s">
        <v>1102</v>
      </c>
      <c r="L629" s="25" t="s">
        <v>73</v>
      </c>
      <c r="M629" s="25" t="s">
        <v>616</v>
      </c>
      <c r="N629" s="25" t="s">
        <v>465</v>
      </c>
      <c r="O629" s="25" t="s">
        <v>2028</v>
      </c>
      <c r="P629" s="25" t="s">
        <v>63</v>
      </c>
    </row>
    <row r="630" ht="20" customHeight="1" spans="1:16" x14ac:dyDescent="0.25">
      <c r="A630" s="21" t="s">
        <v>583</v>
      </c>
      <c r="B630" s="21" t="s">
        <v>2015</v>
      </c>
      <c r="C630" s="21" t="s">
        <v>491</v>
      </c>
      <c r="D630" s="21" t="s">
        <v>2015</v>
      </c>
      <c r="E630" s="21" t="s">
        <v>423</v>
      </c>
      <c r="F630" s="22" t="s">
        <v>53</v>
      </c>
      <c r="G630" s="21" t="s">
        <v>54</v>
      </c>
      <c r="H630" s="21" t="s">
        <v>1938</v>
      </c>
      <c r="I630" s="22" t="s">
        <v>71</v>
      </c>
      <c r="J630" s="22" t="s">
        <v>57</v>
      </c>
      <c r="K630" s="22" t="s">
        <v>1102</v>
      </c>
      <c r="L630" s="22" t="s">
        <v>73</v>
      </c>
      <c r="M630" s="22" t="s">
        <v>616</v>
      </c>
      <c r="N630" s="22" t="s">
        <v>465</v>
      </c>
      <c r="O630" s="22" t="s">
        <v>2029</v>
      </c>
      <c r="P630" s="22" t="s">
        <v>63</v>
      </c>
    </row>
    <row r="631" ht="20" customHeight="1" spans="1:16" s="23" customFormat="1" x14ac:dyDescent="0.25">
      <c r="A631" s="24" t="s">
        <v>583</v>
      </c>
      <c r="B631" s="24" t="s">
        <v>2015</v>
      </c>
      <c r="C631" s="24" t="s">
        <v>1850</v>
      </c>
      <c r="D631" s="24" t="s">
        <v>2015</v>
      </c>
      <c r="E631" s="24" t="s">
        <v>2016</v>
      </c>
      <c r="F631" s="25" t="s">
        <v>436</v>
      </c>
      <c r="G631" s="24" t="s">
        <v>2030</v>
      </c>
      <c r="H631" s="24" t="s">
        <v>87</v>
      </c>
      <c r="I631" s="25" t="s">
        <v>71</v>
      </c>
      <c r="J631" s="25" t="s">
        <v>57</v>
      </c>
      <c r="K631" s="25" t="s">
        <v>2031</v>
      </c>
      <c r="L631" s="25" t="s">
        <v>2032</v>
      </c>
      <c r="M631" s="25" t="s">
        <v>420</v>
      </c>
      <c r="N631" s="25" t="s">
        <v>465</v>
      </c>
      <c r="O631" s="25" t="s">
        <v>2033</v>
      </c>
      <c r="P631" s="25" t="s">
        <v>63</v>
      </c>
    </row>
    <row r="632" ht="20" customHeight="1" spans="1:16" x14ac:dyDescent="0.25">
      <c r="A632" s="21" t="s">
        <v>583</v>
      </c>
      <c r="B632" s="21" t="s">
        <v>2015</v>
      </c>
      <c r="C632" s="21" t="s">
        <v>1388</v>
      </c>
      <c r="D632" s="21" t="s">
        <v>2015</v>
      </c>
      <c r="E632" s="21" t="s">
        <v>1356</v>
      </c>
      <c r="F632" s="22" t="s">
        <v>53</v>
      </c>
      <c r="G632" s="21" t="s">
        <v>1674</v>
      </c>
      <c r="H632" s="21" t="s">
        <v>55</v>
      </c>
      <c r="I632" s="22" t="s">
        <v>360</v>
      </c>
      <c r="J632" s="22" t="s">
        <v>57</v>
      </c>
      <c r="K632" s="22" t="s">
        <v>841</v>
      </c>
      <c r="L632" s="22" t="s">
        <v>73</v>
      </c>
      <c r="M632" s="22" t="s">
        <v>420</v>
      </c>
      <c r="N632" s="22" t="s">
        <v>465</v>
      </c>
      <c r="O632" s="22" t="s">
        <v>2034</v>
      </c>
      <c r="P632" s="22" t="s">
        <v>63</v>
      </c>
    </row>
    <row r="633" ht="20" customHeight="1" spans="1:16" s="23" customFormat="1" x14ac:dyDescent="0.25">
      <c r="A633" s="24" t="s">
        <v>1557</v>
      </c>
      <c r="B633" s="24" t="s">
        <v>2015</v>
      </c>
      <c r="C633" s="24" t="s">
        <v>1331</v>
      </c>
      <c r="D633" s="24" t="s">
        <v>2015</v>
      </c>
      <c r="E633" s="24" t="s">
        <v>567</v>
      </c>
      <c r="F633" s="25" t="s">
        <v>53</v>
      </c>
      <c r="G633" s="24" t="s">
        <v>54</v>
      </c>
      <c r="H633" s="24" t="s">
        <v>1938</v>
      </c>
      <c r="I633" s="25" t="s">
        <v>1205</v>
      </c>
      <c r="J633" s="25" t="s">
        <v>57</v>
      </c>
      <c r="K633" s="25" t="s">
        <v>96</v>
      </c>
      <c r="L633" s="25" t="s">
        <v>177</v>
      </c>
      <c r="M633" s="25" t="s">
        <v>60</v>
      </c>
      <c r="N633" s="25" t="s">
        <v>61</v>
      </c>
      <c r="O633" s="25" t="s">
        <v>2035</v>
      </c>
      <c r="P633" s="25" t="s">
        <v>63</v>
      </c>
    </row>
    <row r="634" ht="20" customHeight="1" spans="1:16" x14ac:dyDescent="0.25">
      <c r="A634" s="21" t="s">
        <v>2036</v>
      </c>
      <c r="B634" s="21" t="s">
        <v>2015</v>
      </c>
      <c r="C634" s="21" t="s">
        <v>721</v>
      </c>
      <c r="D634" s="21" t="s">
        <v>2015</v>
      </c>
      <c r="E634" s="21" t="s">
        <v>176</v>
      </c>
      <c r="F634" s="22" t="s">
        <v>53</v>
      </c>
      <c r="G634" s="21" t="s">
        <v>1674</v>
      </c>
      <c r="H634" s="21" t="s">
        <v>610</v>
      </c>
      <c r="I634" s="22" t="s">
        <v>100</v>
      </c>
      <c r="J634" s="22" t="s">
        <v>57</v>
      </c>
      <c r="K634" s="22" t="s">
        <v>101</v>
      </c>
      <c r="L634" s="22" t="s">
        <v>2037</v>
      </c>
      <c r="M634" s="22" t="s">
        <v>420</v>
      </c>
      <c r="N634" s="22" t="s">
        <v>465</v>
      </c>
      <c r="O634" s="22" t="s">
        <v>2038</v>
      </c>
      <c r="P634" s="22" t="s">
        <v>63</v>
      </c>
    </row>
    <row r="635" ht="20" customHeight="1" spans="1:16" s="23" customFormat="1" x14ac:dyDescent="0.25">
      <c r="A635" s="24" t="s">
        <v>1557</v>
      </c>
      <c r="B635" s="24" t="s">
        <v>2012</v>
      </c>
      <c r="C635" s="24" t="s">
        <v>1218</v>
      </c>
      <c r="D635" s="24" t="s">
        <v>2012</v>
      </c>
      <c r="E635" s="24" t="s">
        <v>1895</v>
      </c>
      <c r="F635" s="25" t="s">
        <v>53</v>
      </c>
      <c r="G635" s="24" t="s">
        <v>1674</v>
      </c>
      <c r="H635" s="24" t="s">
        <v>610</v>
      </c>
      <c r="I635" s="25" t="s">
        <v>209</v>
      </c>
      <c r="J635" s="25" t="s">
        <v>57</v>
      </c>
      <c r="K635" s="25" t="s">
        <v>2039</v>
      </c>
      <c r="L635" s="25" t="s">
        <v>2040</v>
      </c>
      <c r="M635" s="25" t="s">
        <v>60</v>
      </c>
      <c r="N635" s="25" t="s">
        <v>61</v>
      </c>
      <c r="O635" s="25" t="s">
        <v>2041</v>
      </c>
      <c r="P635" s="25" t="s">
        <v>63</v>
      </c>
    </row>
    <row r="636" ht="20" customHeight="1" spans="1:16" x14ac:dyDescent="0.25">
      <c r="A636" s="21" t="s">
        <v>1557</v>
      </c>
      <c r="B636" s="21" t="s">
        <v>2012</v>
      </c>
      <c r="C636" s="21" t="s">
        <v>2042</v>
      </c>
      <c r="D636" s="21" t="s">
        <v>2012</v>
      </c>
      <c r="E636" s="21" t="s">
        <v>447</v>
      </c>
      <c r="F636" s="22" t="s">
        <v>53</v>
      </c>
      <c r="G636" s="21" t="s">
        <v>54</v>
      </c>
      <c r="H636" s="21" t="s">
        <v>1938</v>
      </c>
      <c r="I636" s="22" t="s">
        <v>2043</v>
      </c>
      <c r="J636" s="22" t="s">
        <v>2044</v>
      </c>
      <c r="K636" s="22" t="s">
        <v>81</v>
      </c>
      <c r="L636" s="22" t="s">
        <v>73</v>
      </c>
      <c r="M636" s="22" t="s">
        <v>60</v>
      </c>
      <c r="N636" s="22" t="s">
        <v>61</v>
      </c>
      <c r="O636" s="22" t="s">
        <v>2045</v>
      </c>
      <c r="P636" s="22" t="s">
        <v>63</v>
      </c>
    </row>
    <row r="637" ht="20" customHeight="1" spans="1:16" s="23" customFormat="1" x14ac:dyDescent="0.25">
      <c r="A637" s="24" t="s">
        <v>1557</v>
      </c>
      <c r="B637" s="24" t="s">
        <v>2015</v>
      </c>
      <c r="C637" s="24" t="s">
        <v>2046</v>
      </c>
      <c r="D637" s="24" t="s">
        <v>2015</v>
      </c>
      <c r="E637" s="24" t="s">
        <v>636</v>
      </c>
      <c r="F637" s="25" t="s">
        <v>53</v>
      </c>
      <c r="G637" s="24" t="s">
        <v>1674</v>
      </c>
      <c r="H637" s="24" t="s">
        <v>610</v>
      </c>
      <c r="I637" s="25" t="s">
        <v>80</v>
      </c>
      <c r="J637" s="25" t="s">
        <v>57</v>
      </c>
      <c r="K637" s="25" t="s">
        <v>81</v>
      </c>
      <c r="L637" s="25" t="s">
        <v>73</v>
      </c>
      <c r="M637" s="25" t="s">
        <v>60</v>
      </c>
      <c r="N637" s="25" t="s">
        <v>61</v>
      </c>
      <c r="O637" s="25" t="s">
        <v>2047</v>
      </c>
      <c r="P637" s="25" t="s">
        <v>63</v>
      </c>
    </row>
    <row r="638" ht="20" customHeight="1" spans="1:16" x14ac:dyDescent="0.25">
      <c r="A638" s="21" t="s">
        <v>1969</v>
      </c>
      <c r="B638" s="21" t="s">
        <v>2048</v>
      </c>
      <c r="C638" s="21" t="s">
        <v>1017</v>
      </c>
      <c r="D638" s="21" t="s">
        <v>2048</v>
      </c>
      <c r="E638" s="21" t="s">
        <v>419</v>
      </c>
      <c r="F638" s="22" t="s">
        <v>53</v>
      </c>
      <c r="G638" s="21" t="s">
        <v>54</v>
      </c>
      <c r="H638" s="21" t="s">
        <v>1938</v>
      </c>
      <c r="I638" s="22" t="s">
        <v>71</v>
      </c>
      <c r="J638" s="22" t="s">
        <v>57</v>
      </c>
      <c r="K638" s="22" t="s">
        <v>279</v>
      </c>
      <c r="L638" s="22" t="s">
        <v>73</v>
      </c>
      <c r="M638" s="22" t="s">
        <v>868</v>
      </c>
      <c r="N638" s="22" t="s">
        <v>465</v>
      </c>
      <c r="O638" s="22" t="s">
        <v>2049</v>
      </c>
      <c r="P638" s="22" t="s">
        <v>63</v>
      </c>
    </row>
    <row r="639" ht="20" customHeight="1" spans="1:16" s="23" customFormat="1" x14ac:dyDescent="0.25">
      <c r="A639" s="24" t="s">
        <v>1557</v>
      </c>
      <c r="B639" s="24" t="s">
        <v>2048</v>
      </c>
      <c r="C639" s="24" t="s">
        <v>169</v>
      </c>
      <c r="D639" s="24" t="s">
        <v>2048</v>
      </c>
      <c r="E639" s="24" t="s">
        <v>98</v>
      </c>
      <c r="F639" s="25" t="s">
        <v>53</v>
      </c>
      <c r="G639" s="24" t="s">
        <v>1674</v>
      </c>
      <c r="H639" s="24" t="s">
        <v>610</v>
      </c>
      <c r="I639" s="25" t="s">
        <v>1140</v>
      </c>
      <c r="J639" s="25" t="s">
        <v>57</v>
      </c>
      <c r="K639" s="25" t="s">
        <v>2050</v>
      </c>
      <c r="L639" s="25" t="s">
        <v>73</v>
      </c>
      <c r="M639" s="25" t="s">
        <v>60</v>
      </c>
      <c r="N639" s="25" t="s">
        <v>61</v>
      </c>
      <c r="O639" s="25" t="s">
        <v>2051</v>
      </c>
      <c r="P639" s="25" t="s">
        <v>63</v>
      </c>
    </row>
    <row r="640" ht="20" customHeight="1" spans="1:16" x14ac:dyDescent="0.25">
      <c r="A640" s="21" t="s">
        <v>583</v>
      </c>
      <c r="B640" s="21" t="s">
        <v>2048</v>
      </c>
      <c r="C640" s="21" t="s">
        <v>471</v>
      </c>
      <c r="D640" s="21" t="s">
        <v>2048</v>
      </c>
      <c r="E640" s="21" t="s">
        <v>75</v>
      </c>
      <c r="F640" s="22" t="s">
        <v>53</v>
      </c>
      <c r="G640" s="21" t="s">
        <v>54</v>
      </c>
      <c r="H640" s="21" t="s">
        <v>1938</v>
      </c>
      <c r="I640" s="22" t="s">
        <v>160</v>
      </c>
      <c r="J640" s="22" t="s">
        <v>57</v>
      </c>
      <c r="K640" s="22" t="s">
        <v>101</v>
      </c>
      <c r="L640" s="22" t="s">
        <v>1824</v>
      </c>
      <c r="M640" s="22" t="s">
        <v>235</v>
      </c>
      <c r="N640" s="22" t="s">
        <v>389</v>
      </c>
      <c r="O640" s="22" t="s">
        <v>2052</v>
      </c>
      <c r="P640" s="22" t="s">
        <v>63</v>
      </c>
    </row>
    <row r="641" ht="20" customHeight="1" spans="1:16" s="23" customFormat="1" x14ac:dyDescent="0.25">
      <c r="A641" s="24" t="s">
        <v>583</v>
      </c>
      <c r="B641" s="24" t="s">
        <v>2048</v>
      </c>
      <c r="C641" s="24" t="s">
        <v>1360</v>
      </c>
      <c r="D641" s="24" t="s">
        <v>2048</v>
      </c>
      <c r="E641" s="24" t="s">
        <v>1439</v>
      </c>
      <c r="F641" s="25" t="s">
        <v>53</v>
      </c>
      <c r="G641" s="24" t="s">
        <v>1674</v>
      </c>
      <c r="H641" s="24" t="s">
        <v>610</v>
      </c>
      <c r="I641" s="25" t="s">
        <v>186</v>
      </c>
      <c r="J641" s="25" t="s">
        <v>57</v>
      </c>
      <c r="K641" s="25" t="s">
        <v>58</v>
      </c>
      <c r="L641" s="25" t="s">
        <v>73</v>
      </c>
      <c r="M641" s="25" t="s">
        <v>235</v>
      </c>
      <c r="N641" s="25" t="s">
        <v>389</v>
      </c>
      <c r="O641" s="25" t="s">
        <v>2053</v>
      </c>
      <c r="P641" s="25" t="s">
        <v>63</v>
      </c>
    </row>
    <row r="642" ht="20" customHeight="1" spans="1:16" x14ac:dyDescent="0.25">
      <c r="A642" s="21" t="s">
        <v>1557</v>
      </c>
      <c r="B642" s="21" t="s">
        <v>2048</v>
      </c>
      <c r="C642" s="21" t="s">
        <v>1504</v>
      </c>
      <c r="D642" s="21" t="s">
        <v>2048</v>
      </c>
      <c r="E642" s="21" t="s">
        <v>1337</v>
      </c>
      <c r="F642" s="22" t="s">
        <v>53</v>
      </c>
      <c r="G642" s="21" t="s">
        <v>1674</v>
      </c>
      <c r="H642" s="21" t="s">
        <v>610</v>
      </c>
      <c r="I642" s="22" t="s">
        <v>80</v>
      </c>
      <c r="J642" s="22" t="s">
        <v>57</v>
      </c>
      <c r="K642" s="22" t="s">
        <v>147</v>
      </c>
      <c r="L642" s="22" t="s">
        <v>73</v>
      </c>
      <c r="M642" s="22" t="s">
        <v>60</v>
      </c>
      <c r="N642" s="22" t="s">
        <v>61</v>
      </c>
      <c r="O642" s="22" t="s">
        <v>2054</v>
      </c>
      <c r="P642" s="22" t="s">
        <v>63</v>
      </c>
    </row>
    <row r="643" ht="20" customHeight="1" spans="1:16" s="23" customFormat="1" x14ac:dyDescent="0.25">
      <c r="A643" s="24" t="s">
        <v>1969</v>
      </c>
      <c r="B643" s="24" t="s">
        <v>2048</v>
      </c>
      <c r="C643" s="24" t="s">
        <v>328</v>
      </c>
      <c r="D643" s="24" t="s">
        <v>2048</v>
      </c>
      <c r="E643" s="24" t="s">
        <v>1130</v>
      </c>
      <c r="F643" s="25" t="s">
        <v>53</v>
      </c>
      <c r="G643" s="24" t="s">
        <v>54</v>
      </c>
      <c r="H643" s="24" t="s">
        <v>1938</v>
      </c>
      <c r="I643" s="25" t="s">
        <v>331</v>
      </c>
      <c r="J643" s="25" t="s">
        <v>57</v>
      </c>
      <c r="K643" s="25" t="s">
        <v>279</v>
      </c>
      <c r="L643" s="25" t="s">
        <v>73</v>
      </c>
      <c r="M643" s="25" t="s">
        <v>868</v>
      </c>
      <c r="N643" s="25" t="s">
        <v>465</v>
      </c>
      <c r="O643" s="25" t="s">
        <v>2055</v>
      </c>
      <c r="P643" s="25" t="s">
        <v>63</v>
      </c>
    </row>
    <row r="644" ht="20" customHeight="1" spans="1:16" x14ac:dyDescent="0.25">
      <c r="A644" s="21" t="s">
        <v>583</v>
      </c>
      <c r="B644" s="21" t="s">
        <v>2056</v>
      </c>
      <c r="C644" s="21" t="s">
        <v>711</v>
      </c>
      <c r="D644" s="21" t="s">
        <v>2056</v>
      </c>
      <c r="E644" s="21" t="s">
        <v>1482</v>
      </c>
      <c r="F644" s="22" t="s">
        <v>53</v>
      </c>
      <c r="G644" s="21" t="s">
        <v>54</v>
      </c>
      <c r="H644" s="21" t="s">
        <v>1938</v>
      </c>
      <c r="I644" s="22" t="s">
        <v>275</v>
      </c>
      <c r="J644" s="22" t="s">
        <v>57</v>
      </c>
      <c r="K644" s="22" t="s">
        <v>1102</v>
      </c>
      <c r="L644" s="22" t="s">
        <v>73</v>
      </c>
      <c r="M644" s="22" t="s">
        <v>616</v>
      </c>
      <c r="N644" s="22" t="s">
        <v>465</v>
      </c>
      <c r="O644" s="22" t="s">
        <v>2057</v>
      </c>
      <c r="P644" s="22" t="s">
        <v>63</v>
      </c>
    </row>
    <row r="645" ht="20" customHeight="1" spans="1:16" s="23" customFormat="1" x14ac:dyDescent="0.25">
      <c r="A645" s="24" t="s">
        <v>583</v>
      </c>
      <c r="B645" s="24" t="s">
        <v>2058</v>
      </c>
      <c r="C645" s="24" t="s">
        <v>1329</v>
      </c>
      <c r="D645" s="24" t="s">
        <v>2058</v>
      </c>
      <c r="E645" s="24" t="s">
        <v>1109</v>
      </c>
      <c r="F645" s="25" t="s">
        <v>53</v>
      </c>
      <c r="G645" s="24" t="s">
        <v>54</v>
      </c>
      <c r="H645" s="24" t="s">
        <v>1938</v>
      </c>
      <c r="I645" s="25" t="s">
        <v>866</v>
      </c>
      <c r="J645" s="25" t="s">
        <v>57</v>
      </c>
      <c r="K645" s="25" t="s">
        <v>2059</v>
      </c>
      <c r="L645" s="25" t="s">
        <v>73</v>
      </c>
      <c r="M645" s="25" t="s">
        <v>420</v>
      </c>
      <c r="N645" s="25" t="s">
        <v>465</v>
      </c>
      <c r="O645" s="25" t="s">
        <v>2060</v>
      </c>
      <c r="P645" s="25" t="s">
        <v>63</v>
      </c>
    </row>
    <row r="646" ht="20" customHeight="1" spans="1:16" x14ac:dyDescent="0.25">
      <c r="A646" s="21" t="s">
        <v>2061</v>
      </c>
      <c r="B646" s="21" t="s">
        <v>2058</v>
      </c>
      <c r="C646" s="21" t="s">
        <v>1357</v>
      </c>
      <c r="D646" s="21" t="s">
        <v>2062</v>
      </c>
      <c r="E646" s="21" t="s">
        <v>2063</v>
      </c>
      <c r="F646" s="22" t="s">
        <v>53</v>
      </c>
      <c r="G646" s="21" t="s">
        <v>1674</v>
      </c>
      <c r="H646" s="21" t="s">
        <v>610</v>
      </c>
      <c r="I646" s="22" t="s">
        <v>80</v>
      </c>
      <c r="J646" s="22" t="s">
        <v>57</v>
      </c>
      <c r="K646" s="22" t="s">
        <v>72</v>
      </c>
      <c r="L646" s="22" t="s">
        <v>73</v>
      </c>
      <c r="M646" s="22" t="s">
        <v>60</v>
      </c>
      <c r="N646" s="22" t="s">
        <v>61</v>
      </c>
      <c r="O646" s="22" t="s">
        <v>2064</v>
      </c>
      <c r="P646" s="22" t="s">
        <v>63</v>
      </c>
    </row>
    <row r="647" ht="20" customHeight="1" spans="1:16" s="23" customFormat="1" x14ac:dyDescent="0.25">
      <c r="A647" s="24" t="s">
        <v>2061</v>
      </c>
      <c r="B647" s="24" t="s">
        <v>2058</v>
      </c>
      <c r="C647" s="24" t="s">
        <v>2065</v>
      </c>
      <c r="D647" s="24" t="s">
        <v>1999</v>
      </c>
      <c r="E647" s="24" t="s">
        <v>320</v>
      </c>
      <c r="F647" s="25" t="s">
        <v>85</v>
      </c>
      <c r="G647" s="24" t="s">
        <v>86</v>
      </c>
      <c r="H647" s="24" t="s">
        <v>87</v>
      </c>
      <c r="I647" s="25" t="s">
        <v>80</v>
      </c>
      <c r="J647" s="25" t="s">
        <v>57</v>
      </c>
      <c r="K647" s="25" t="s">
        <v>89</v>
      </c>
      <c r="L647" s="25" t="s">
        <v>73</v>
      </c>
      <c r="M647" s="25" t="s">
        <v>60</v>
      </c>
      <c r="N647" s="25" t="s">
        <v>61</v>
      </c>
      <c r="O647" s="25" t="s">
        <v>2066</v>
      </c>
      <c r="P647" s="25" t="s">
        <v>63</v>
      </c>
    </row>
    <row r="648" ht="20" customHeight="1" spans="1:16" x14ac:dyDescent="0.25">
      <c r="A648" s="21" t="s">
        <v>1557</v>
      </c>
      <c r="B648" s="21" t="s">
        <v>1999</v>
      </c>
      <c r="C648" s="21" t="s">
        <v>2067</v>
      </c>
      <c r="D648" s="21" t="s">
        <v>1999</v>
      </c>
      <c r="E648" s="21" t="s">
        <v>1388</v>
      </c>
      <c r="F648" s="22" t="s">
        <v>53</v>
      </c>
      <c r="G648" s="21" t="s">
        <v>54</v>
      </c>
      <c r="H648" s="21" t="s">
        <v>1938</v>
      </c>
      <c r="I648" s="22" t="s">
        <v>1140</v>
      </c>
      <c r="J648" s="22" t="s">
        <v>57</v>
      </c>
      <c r="K648" s="22" t="s">
        <v>752</v>
      </c>
      <c r="L648" s="22" t="s">
        <v>2068</v>
      </c>
      <c r="M648" s="22" t="s">
        <v>60</v>
      </c>
      <c r="N648" s="22" t="s">
        <v>61</v>
      </c>
      <c r="O648" s="22" t="s">
        <v>2069</v>
      </c>
      <c r="P648" s="22" t="s">
        <v>63</v>
      </c>
    </row>
    <row r="649" ht="20" customHeight="1" spans="1:16" s="23" customFormat="1" x14ac:dyDescent="0.25">
      <c r="A649" s="24" t="s">
        <v>2070</v>
      </c>
      <c r="B649" s="24" t="s">
        <v>1999</v>
      </c>
      <c r="C649" s="24" t="s">
        <v>135</v>
      </c>
      <c r="D649" s="24" t="s">
        <v>1999</v>
      </c>
      <c r="E649" s="24" t="s">
        <v>320</v>
      </c>
      <c r="F649" s="25" t="s">
        <v>53</v>
      </c>
      <c r="G649" s="24" t="s">
        <v>54</v>
      </c>
      <c r="H649" s="24" t="s">
        <v>1938</v>
      </c>
      <c r="I649" s="25" t="s">
        <v>100</v>
      </c>
      <c r="J649" s="25" t="s">
        <v>57</v>
      </c>
      <c r="K649" s="25" t="s">
        <v>2071</v>
      </c>
      <c r="L649" s="25" t="s">
        <v>73</v>
      </c>
      <c r="M649" s="25" t="s">
        <v>868</v>
      </c>
      <c r="N649" s="25" t="s">
        <v>465</v>
      </c>
      <c r="O649" s="25" t="s">
        <v>2072</v>
      </c>
      <c r="P649" s="25" t="s">
        <v>63</v>
      </c>
    </row>
    <row r="650" ht="20" customHeight="1" spans="1:16" x14ac:dyDescent="0.25">
      <c r="A650" s="21" t="s">
        <v>583</v>
      </c>
      <c r="B650" s="21" t="s">
        <v>1999</v>
      </c>
      <c r="C650" s="21" t="s">
        <v>1369</v>
      </c>
      <c r="D650" s="21" t="s">
        <v>1999</v>
      </c>
      <c r="E650" s="21" t="s">
        <v>1439</v>
      </c>
      <c r="F650" s="22" t="s">
        <v>85</v>
      </c>
      <c r="G650" s="21" t="s">
        <v>2073</v>
      </c>
      <c r="H650" s="21" t="s">
        <v>2020</v>
      </c>
      <c r="I650" s="22" t="s">
        <v>113</v>
      </c>
      <c r="J650" s="22" t="s">
        <v>57</v>
      </c>
      <c r="K650" s="22" t="s">
        <v>596</v>
      </c>
      <c r="L650" s="22" t="s">
        <v>2074</v>
      </c>
      <c r="M650" s="22" t="s">
        <v>235</v>
      </c>
      <c r="N650" s="22" t="s">
        <v>389</v>
      </c>
      <c r="O650" s="22" t="s">
        <v>2075</v>
      </c>
      <c r="P650" s="22" t="s">
        <v>63</v>
      </c>
    </row>
    <row r="651" ht="20" customHeight="1" spans="1:16" s="23" customFormat="1" x14ac:dyDescent="0.25">
      <c r="A651" s="24" t="s">
        <v>583</v>
      </c>
      <c r="B651" s="24" t="s">
        <v>1999</v>
      </c>
      <c r="C651" s="24" t="s">
        <v>241</v>
      </c>
      <c r="D651" s="24" t="s">
        <v>1999</v>
      </c>
      <c r="E651" s="24" t="s">
        <v>790</v>
      </c>
      <c r="F651" s="25" t="s">
        <v>2076</v>
      </c>
      <c r="G651" s="24" t="s">
        <v>1769</v>
      </c>
      <c r="H651" s="24" t="s">
        <v>2024</v>
      </c>
      <c r="I651" s="25" t="s">
        <v>1205</v>
      </c>
      <c r="J651" s="25" t="s">
        <v>57</v>
      </c>
      <c r="K651" s="25" t="s">
        <v>596</v>
      </c>
      <c r="L651" s="25" t="s">
        <v>73</v>
      </c>
      <c r="M651" s="25" t="s">
        <v>235</v>
      </c>
      <c r="N651" s="25" t="s">
        <v>389</v>
      </c>
      <c r="O651" s="25" t="s">
        <v>2077</v>
      </c>
      <c r="P651" s="25" t="s">
        <v>63</v>
      </c>
    </row>
    <row r="652" ht="20" customHeight="1" spans="1:16" x14ac:dyDescent="0.25">
      <c r="A652" s="21" t="s">
        <v>2078</v>
      </c>
      <c r="B652" s="21" t="s">
        <v>1999</v>
      </c>
      <c r="C652" s="21" t="s">
        <v>873</v>
      </c>
      <c r="D652" s="21" t="s">
        <v>1999</v>
      </c>
      <c r="E652" s="21" t="s">
        <v>359</v>
      </c>
      <c r="F652" s="22" t="s">
        <v>68</v>
      </c>
      <c r="G652" s="21" t="s">
        <v>1787</v>
      </c>
      <c r="H652" s="21" t="s">
        <v>1726</v>
      </c>
      <c r="I652" s="22" t="s">
        <v>80</v>
      </c>
      <c r="J652" s="22" t="s">
        <v>57</v>
      </c>
      <c r="K652" s="22" t="s">
        <v>72</v>
      </c>
      <c r="L652" s="22" t="s">
        <v>353</v>
      </c>
      <c r="M652" s="22" t="s">
        <v>60</v>
      </c>
      <c r="N652" s="22" t="s">
        <v>61</v>
      </c>
      <c r="O652" s="22" t="s">
        <v>2079</v>
      </c>
      <c r="P652" s="22" t="s">
        <v>63</v>
      </c>
    </row>
    <row r="653" ht="20" customHeight="1" spans="1:16" s="23" customFormat="1" x14ac:dyDescent="0.25">
      <c r="A653" s="24" t="s">
        <v>583</v>
      </c>
      <c r="B653" s="24" t="s">
        <v>2062</v>
      </c>
      <c r="C653" s="24" t="s">
        <v>2080</v>
      </c>
      <c r="D653" s="24" t="s">
        <v>2062</v>
      </c>
      <c r="E653" s="24" t="s">
        <v>1503</v>
      </c>
      <c r="F653" s="25" t="s">
        <v>53</v>
      </c>
      <c r="G653" s="24" t="s">
        <v>54</v>
      </c>
      <c r="H653" s="24" t="s">
        <v>1938</v>
      </c>
      <c r="I653" s="25" t="s">
        <v>113</v>
      </c>
      <c r="J653" s="25" t="s">
        <v>57</v>
      </c>
      <c r="K653" s="25" t="s">
        <v>2081</v>
      </c>
      <c r="L653" s="25" t="s">
        <v>73</v>
      </c>
      <c r="M653" s="25" t="s">
        <v>420</v>
      </c>
      <c r="N653" s="25" t="s">
        <v>465</v>
      </c>
      <c r="O653" s="25" t="s">
        <v>2082</v>
      </c>
      <c r="P653" s="25" t="s">
        <v>63</v>
      </c>
    </row>
    <row r="654" ht="20" customHeight="1" spans="1:16" x14ac:dyDescent="0.25">
      <c r="A654" s="21" t="s">
        <v>583</v>
      </c>
      <c r="B654" s="21" t="s">
        <v>2062</v>
      </c>
      <c r="C654" s="21" t="s">
        <v>78</v>
      </c>
      <c r="D654" s="21" t="s">
        <v>2062</v>
      </c>
      <c r="E654" s="21" t="s">
        <v>450</v>
      </c>
      <c r="F654" s="22" t="s">
        <v>68</v>
      </c>
      <c r="G654" s="21" t="s">
        <v>1787</v>
      </c>
      <c r="H654" s="21" t="s">
        <v>87</v>
      </c>
      <c r="I654" s="22" t="s">
        <v>1000</v>
      </c>
      <c r="J654" s="22" t="s">
        <v>57</v>
      </c>
      <c r="K654" s="22" t="s">
        <v>260</v>
      </c>
      <c r="L654" s="22" t="s">
        <v>2083</v>
      </c>
      <c r="M654" s="22" t="s">
        <v>420</v>
      </c>
      <c r="N654" s="22" t="s">
        <v>465</v>
      </c>
      <c r="O654" s="22" t="s">
        <v>2084</v>
      </c>
      <c r="P654" s="22" t="s">
        <v>63</v>
      </c>
    </row>
    <row r="655" ht="20" customHeight="1" spans="1:16" s="23" customFormat="1" x14ac:dyDescent="0.25">
      <c r="A655" s="24" t="s">
        <v>1783</v>
      </c>
      <c r="B655" s="24" t="s">
        <v>2062</v>
      </c>
      <c r="C655" s="24" t="s">
        <v>2085</v>
      </c>
      <c r="D655" s="24" t="s">
        <v>2062</v>
      </c>
      <c r="E655" s="24" t="s">
        <v>1037</v>
      </c>
      <c r="F655" s="25" t="s">
        <v>85</v>
      </c>
      <c r="G655" s="24" t="s">
        <v>86</v>
      </c>
      <c r="H655" s="24" t="s">
        <v>87</v>
      </c>
      <c r="I655" s="25" t="s">
        <v>160</v>
      </c>
      <c r="J655" s="25" t="s">
        <v>57</v>
      </c>
      <c r="K655" s="25" t="s">
        <v>247</v>
      </c>
      <c r="L655" s="25" t="s">
        <v>73</v>
      </c>
      <c r="M655" s="25" t="s">
        <v>354</v>
      </c>
      <c r="N655" s="25" t="s">
        <v>355</v>
      </c>
      <c r="O655" s="25" t="s">
        <v>2086</v>
      </c>
      <c r="P655" s="25" t="s">
        <v>63</v>
      </c>
    </row>
    <row r="656" ht="20" customHeight="1" spans="1:16" x14ac:dyDescent="0.25">
      <c r="A656" s="21" t="s">
        <v>2087</v>
      </c>
      <c r="B656" s="21" t="s">
        <v>2062</v>
      </c>
      <c r="C656" s="21" t="s">
        <v>1729</v>
      </c>
      <c r="D656" s="21" t="s">
        <v>2062</v>
      </c>
      <c r="E656" s="21" t="s">
        <v>1645</v>
      </c>
      <c r="F656" s="22" t="s">
        <v>53</v>
      </c>
      <c r="G656" s="21" t="s">
        <v>54</v>
      </c>
      <c r="H656" s="21" t="s">
        <v>1938</v>
      </c>
      <c r="I656" s="22" t="s">
        <v>235</v>
      </c>
      <c r="J656" s="22" t="s">
        <v>57</v>
      </c>
      <c r="K656" s="22" t="s">
        <v>279</v>
      </c>
      <c r="L656" s="22" t="s">
        <v>73</v>
      </c>
      <c r="M656" s="22" t="s">
        <v>354</v>
      </c>
      <c r="N656" s="22" t="s">
        <v>355</v>
      </c>
      <c r="O656" s="22" t="s">
        <v>2088</v>
      </c>
      <c r="P656" s="22" t="s">
        <v>63</v>
      </c>
    </row>
    <row r="657" ht="20" customHeight="1" spans="1:16" s="23" customFormat="1" x14ac:dyDescent="0.25">
      <c r="A657" s="24" t="s">
        <v>583</v>
      </c>
      <c r="B657" s="24" t="s">
        <v>2089</v>
      </c>
      <c r="C657" s="24" t="s">
        <v>1154</v>
      </c>
      <c r="D657" s="24" t="s">
        <v>2089</v>
      </c>
      <c r="E657" s="24" t="s">
        <v>819</v>
      </c>
      <c r="F657" s="25" t="s">
        <v>53</v>
      </c>
      <c r="G657" s="24" t="s">
        <v>1674</v>
      </c>
      <c r="H657" s="24" t="s">
        <v>610</v>
      </c>
      <c r="I657" s="25" t="s">
        <v>181</v>
      </c>
      <c r="J657" s="25" t="s">
        <v>57</v>
      </c>
      <c r="K657" s="25" t="s">
        <v>2090</v>
      </c>
      <c r="L657" s="25" t="s">
        <v>73</v>
      </c>
      <c r="M657" s="25" t="s">
        <v>60</v>
      </c>
      <c r="N657" s="25" t="s">
        <v>61</v>
      </c>
      <c r="O657" s="25" t="s">
        <v>2091</v>
      </c>
      <c r="P657" s="25" t="s">
        <v>63</v>
      </c>
    </row>
    <row r="658" ht="20" customHeight="1" spans="1:16" x14ac:dyDescent="0.25">
      <c r="A658" s="21" t="s">
        <v>1969</v>
      </c>
      <c r="B658" s="21" t="s">
        <v>2089</v>
      </c>
      <c r="C658" s="21" t="s">
        <v>400</v>
      </c>
      <c r="D658" s="21" t="s">
        <v>2089</v>
      </c>
      <c r="E658" s="21" t="s">
        <v>891</v>
      </c>
      <c r="F658" s="22" t="s">
        <v>53</v>
      </c>
      <c r="G658" s="21" t="s">
        <v>54</v>
      </c>
      <c r="H658" s="21" t="s">
        <v>1938</v>
      </c>
      <c r="I658" s="22" t="s">
        <v>233</v>
      </c>
      <c r="J658" s="22" t="s">
        <v>57</v>
      </c>
      <c r="K658" s="22" t="s">
        <v>279</v>
      </c>
      <c r="L658" s="22" t="s">
        <v>73</v>
      </c>
      <c r="M658" s="22" t="s">
        <v>868</v>
      </c>
      <c r="N658" s="22" t="s">
        <v>465</v>
      </c>
      <c r="O658" s="22" t="s">
        <v>2092</v>
      </c>
      <c r="P658" s="22" t="s">
        <v>63</v>
      </c>
    </row>
    <row r="659" ht="20" customHeight="1" spans="1:16" s="23" customFormat="1" x14ac:dyDescent="0.25">
      <c r="A659" s="24" t="s">
        <v>1969</v>
      </c>
      <c r="B659" s="24" t="s">
        <v>2089</v>
      </c>
      <c r="C659" s="24" t="s">
        <v>751</v>
      </c>
      <c r="D659" s="24" t="s">
        <v>2089</v>
      </c>
      <c r="E659" s="24" t="s">
        <v>1138</v>
      </c>
      <c r="F659" s="25" t="s">
        <v>1450</v>
      </c>
      <c r="G659" s="24" t="s">
        <v>69</v>
      </c>
      <c r="H659" s="24" t="s">
        <v>1451</v>
      </c>
      <c r="I659" s="25" t="s">
        <v>233</v>
      </c>
      <c r="J659" s="25" t="s">
        <v>57</v>
      </c>
      <c r="K659" s="25" t="s">
        <v>279</v>
      </c>
      <c r="L659" s="25" t="s">
        <v>73</v>
      </c>
      <c r="M659" s="25" t="s">
        <v>868</v>
      </c>
      <c r="N659" s="25" t="s">
        <v>465</v>
      </c>
      <c r="O659" s="25" t="s">
        <v>2093</v>
      </c>
      <c r="P659" s="25" t="s">
        <v>63</v>
      </c>
    </row>
    <row r="660" ht="20" customHeight="1" spans="1:16" x14ac:dyDescent="0.25">
      <c r="A660" s="21" t="s">
        <v>593</v>
      </c>
      <c r="B660" s="21" t="s">
        <v>2089</v>
      </c>
      <c r="C660" s="21" t="s">
        <v>324</v>
      </c>
      <c r="D660" s="21" t="s">
        <v>2089</v>
      </c>
      <c r="E660" s="21" t="s">
        <v>1211</v>
      </c>
      <c r="F660" s="22" t="s">
        <v>53</v>
      </c>
      <c r="G660" s="21" t="s">
        <v>54</v>
      </c>
      <c r="H660" s="21" t="s">
        <v>1938</v>
      </c>
      <c r="I660" s="22" t="s">
        <v>160</v>
      </c>
      <c r="J660" s="22" t="s">
        <v>57</v>
      </c>
      <c r="K660" s="22" t="s">
        <v>2094</v>
      </c>
      <c r="L660" s="22" t="s">
        <v>1110</v>
      </c>
      <c r="M660" s="22" t="s">
        <v>160</v>
      </c>
      <c r="N660" s="22" t="s">
        <v>426</v>
      </c>
      <c r="O660" s="22" t="s">
        <v>2095</v>
      </c>
      <c r="P660" s="22" t="s">
        <v>63</v>
      </c>
    </row>
    <row r="661" ht="20" customHeight="1" spans="1:16" s="23" customFormat="1" x14ac:dyDescent="0.25">
      <c r="A661" s="24" t="s">
        <v>2096</v>
      </c>
      <c r="B661" s="24" t="s">
        <v>2089</v>
      </c>
      <c r="C661" s="24" t="s">
        <v>689</v>
      </c>
      <c r="D661" s="24" t="s">
        <v>2089</v>
      </c>
      <c r="E661" s="24" t="s">
        <v>1922</v>
      </c>
      <c r="F661" s="25" t="s">
        <v>68</v>
      </c>
      <c r="G661" s="24" t="s">
        <v>1725</v>
      </c>
      <c r="H661" s="24" t="s">
        <v>1726</v>
      </c>
      <c r="I661" s="25" t="s">
        <v>186</v>
      </c>
      <c r="J661" s="25" t="s">
        <v>57</v>
      </c>
      <c r="K661" s="25" t="s">
        <v>147</v>
      </c>
      <c r="L661" s="25" t="s">
        <v>73</v>
      </c>
      <c r="M661" s="25" t="s">
        <v>60</v>
      </c>
      <c r="N661" s="25" t="s">
        <v>61</v>
      </c>
      <c r="O661" s="25" t="s">
        <v>2097</v>
      </c>
      <c r="P661" s="25" t="s">
        <v>63</v>
      </c>
    </row>
    <row r="662" ht="20" customHeight="1" spans="1:16" x14ac:dyDescent="0.25">
      <c r="A662" s="21" t="s">
        <v>583</v>
      </c>
      <c r="B662" s="21" t="s">
        <v>2089</v>
      </c>
      <c r="C662" s="21" t="s">
        <v>2098</v>
      </c>
      <c r="D662" s="21" t="s">
        <v>2089</v>
      </c>
      <c r="E662" s="21" t="s">
        <v>328</v>
      </c>
      <c r="F662" s="22" t="s">
        <v>85</v>
      </c>
      <c r="G662" s="21" t="s">
        <v>1725</v>
      </c>
      <c r="H662" s="21" t="s">
        <v>988</v>
      </c>
      <c r="I662" s="22" t="s">
        <v>653</v>
      </c>
      <c r="J662" s="22" t="s">
        <v>57</v>
      </c>
      <c r="K662" s="22" t="s">
        <v>1102</v>
      </c>
      <c r="L662" s="22" t="s">
        <v>73</v>
      </c>
      <c r="M662" s="22" t="s">
        <v>616</v>
      </c>
      <c r="N662" s="22" t="s">
        <v>465</v>
      </c>
      <c r="O662" s="22" t="s">
        <v>2099</v>
      </c>
      <c r="P662" s="22" t="s">
        <v>63</v>
      </c>
    </row>
    <row r="663" ht="20" customHeight="1" spans="1:16" s="23" customFormat="1" x14ac:dyDescent="0.25">
      <c r="A663" s="24" t="s">
        <v>583</v>
      </c>
      <c r="B663" s="24" t="s">
        <v>2089</v>
      </c>
      <c r="C663" s="24" t="s">
        <v>2100</v>
      </c>
      <c r="D663" s="24" t="s">
        <v>2089</v>
      </c>
      <c r="E663" s="24" t="s">
        <v>2101</v>
      </c>
      <c r="F663" s="25" t="s">
        <v>68</v>
      </c>
      <c r="G663" s="24" t="s">
        <v>1725</v>
      </c>
      <c r="H663" s="24" t="s">
        <v>988</v>
      </c>
      <c r="I663" s="25" t="s">
        <v>331</v>
      </c>
      <c r="J663" s="25" t="s">
        <v>57</v>
      </c>
      <c r="K663" s="25" t="s">
        <v>2102</v>
      </c>
      <c r="L663" s="25" t="s">
        <v>2103</v>
      </c>
      <c r="M663" s="25" t="s">
        <v>616</v>
      </c>
      <c r="N663" s="25" t="s">
        <v>465</v>
      </c>
      <c r="O663" s="25" t="s">
        <v>2104</v>
      </c>
      <c r="P663" s="25" t="s">
        <v>63</v>
      </c>
    </row>
    <row r="664" ht="20" customHeight="1" spans="1:16" x14ac:dyDescent="0.25">
      <c r="A664" s="21" t="s">
        <v>583</v>
      </c>
      <c r="B664" s="21" t="s">
        <v>2105</v>
      </c>
      <c r="C664" s="21" t="s">
        <v>1829</v>
      </c>
      <c r="D664" s="21" t="s">
        <v>2105</v>
      </c>
      <c r="E664" s="21" t="s">
        <v>1592</v>
      </c>
      <c r="F664" s="22" t="s">
        <v>53</v>
      </c>
      <c r="G664" s="21" t="s">
        <v>1674</v>
      </c>
      <c r="H664" s="21" t="s">
        <v>610</v>
      </c>
      <c r="I664" s="22" t="s">
        <v>186</v>
      </c>
      <c r="J664" s="22" t="s">
        <v>57</v>
      </c>
      <c r="K664" s="22" t="s">
        <v>2106</v>
      </c>
      <c r="L664" s="22" t="s">
        <v>73</v>
      </c>
      <c r="M664" s="22" t="s">
        <v>420</v>
      </c>
      <c r="N664" s="22" t="s">
        <v>465</v>
      </c>
      <c r="O664" s="22" t="s">
        <v>2107</v>
      </c>
      <c r="P664" s="22" t="s">
        <v>63</v>
      </c>
    </row>
    <row r="665" ht="20" customHeight="1" spans="1:16" s="23" customFormat="1" x14ac:dyDescent="0.25">
      <c r="A665" s="24" t="s">
        <v>2108</v>
      </c>
      <c r="B665" s="24" t="s">
        <v>2105</v>
      </c>
      <c r="C665" s="24" t="s">
        <v>98</v>
      </c>
      <c r="D665" s="24" t="s">
        <v>2105</v>
      </c>
      <c r="E665" s="24" t="s">
        <v>927</v>
      </c>
      <c r="F665" s="25" t="s">
        <v>53</v>
      </c>
      <c r="G665" s="24" t="s">
        <v>54</v>
      </c>
      <c r="H665" s="24" t="s">
        <v>1938</v>
      </c>
      <c r="I665" s="25" t="s">
        <v>80</v>
      </c>
      <c r="J665" s="25" t="s">
        <v>57</v>
      </c>
      <c r="K665" s="25" t="s">
        <v>151</v>
      </c>
      <c r="L665" s="25" t="s">
        <v>73</v>
      </c>
      <c r="M665" s="25" t="s">
        <v>60</v>
      </c>
      <c r="N665" s="25" t="s">
        <v>61</v>
      </c>
      <c r="O665" s="25" t="s">
        <v>2109</v>
      </c>
      <c r="P665" s="25" t="s">
        <v>63</v>
      </c>
    </row>
    <row r="666" ht="20" customHeight="1" spans="1:16" x14ac:dyDescent="0.25">
      <c r="A666" s="21" t="s">
        <v>583</v>
      </c>
      <c r="B666" s="21" t="s">
        <v>2105</v>
      </c>
      <c r="C666" s="21" t="s">
        <v>50</v>
      </c>
      <c r="D666" s="21" t="s">
        <v>2105</v>
      </c>
      <c r="E666" s="21" t="s">
        <v>865</v>
      </c>
      <c r="F666" s="22" t="s">
        <v>1685</v>
      </c>
      <c r="G666" s="21" t="s">
        <v>1787</v>
      </c>
      <c r="H666" s="21" t="s">
        <v>87</v>
      </c>
      <c r="I666" s="22" t="s">
        <v>246</v>
      </c>
      <c r="J666" s="22" t="s">
        <v>57</v>
      </c>
      <c r="K666" s="22" t="s">
        <v>72</v>
      </c>
      <c r="L666" s="22" t="s">
        <v>2110</v>
      </c>
      <c r="M666" s="22" t="s">
        <v>420</v>
      </c>
      <c r="N666" s="22" t="s">
        <v>465</v>
      </c>
      <c r="O666" s="22" t="s">
        <v>2111</v>
      </c>
      <c r="P666" s="22" t="s">
        <v>63</v>
      </c>
    </row>
    <row r="667" ht="20" customHeight="1" spans="1:16" s="23" customFormat="1" x14ac:dyDescent="0.25">
      <c r="A667" s="24" t="s">
        <v>583</v>
      </c>
      <c r="B667" s="24" t="s">
        <v>2105</v>
      </c>
      <c r="C667" s="24" t="s">
        <v>815</v>
      </c>
      <c r="D667" s="24" t="s">
        <v>2105</v>
      </c>
      <c r="E667" s="24" t="s">
        <v>1825</v>
      </c>
      <c r="F667" s="25" t="s">
        <v>1685</v>
      </c>
      <c r="G667" s="24" t="s">
        <v>1787</v>
      </c>
      <c r="H667" s="24" t="s">
        <v>87</v>
      </c>
      <c r="I667" s="25" t="s">
        <v>80</v>
      </c>
      <c r="J667" s="25" t="s">
        <v>57</v>
      </c>
      <c r="K667" s="25" t="s">
        <v>72</v>
      </c>
      <c r="L667" s="25" t="s">
        <v>1538</v>
      </c>
      <c r="M667" s="25" t="s">
        <v>420</v>
      </c>
      <c r="N667" s="25" t="s">
        <v>465</v>
      </c>
      <c r="O667" s="25" t="s">
        <v>2112</v>
      </c>
      <c r="P667" s="25" t="s">
        <v>63</v>
      </c>
    </row>
    <row r="668" ht="20" customHeight="1" spans="1:16" x14ac:dyDescent="0.25">
      <c r="A668" s="21" t="s">
        <v>583</v>
      </c>
      <c r="B668" s="21" t="s">
        <v>2105</v>
      </c>
      <c r="C668" s="21" t="s">
        <v>1025</v>
      </c>
      <c r="D668" s="21" t="s">
        <v>2105</v>
      </c>
      <c r="E668" s="21" t="s">
        <v>2113</v>
      </c>
      <c r="F668" s="22" t="s">
        <v>53</v>
      </c>
      <c r="G668" s="21" t="s">
        <v>54</v>
      </c>
      <c r="H668" s="21" t="s">
        <v>1938</v>
      </c>
      <c r="I668" s="22" t="s">
        <v>88</v>
      </c>
      <c r="J668" s="22" t="s">
        <v>57</v>
      </c>
      <c r="K668" s="22" t="s">
        <v>260</v>
      </c>
      <c r="L668" s="22" t="s">
        <v>73</v>
      </c>
      <c r="M668" s="22" t="s">
        <v>420</v>
      </c>
      <c r="N668" s="22" t="s">
        <v>465</v>
      </c>
      <c r="O668" s="22" t="s">
        <v>2114</v>
      </c>
      <c r="P668" s="22" t="s">
        <v>63</v>
      </c>
    </row>
    <row r="669" ht="20" customHeight="1" spans="1:16" s="23" customFormat="1" x14ac:dyDescent="0.25">
      <c r="A669" s="24" t="s">
        <v>583</v>
      </c>
      <c r="B669" s="24" t="s">
        <v>2115</v>
      </c>
      <c r="C669" s="24" t="s">
        <v>2116</v>
      </c>
      <c r="D669" s="24" t="s">
        <v>2115</v>
      </c>
      <c r="E669" s="24" t="s">
        <v>1298</v>
      </c>
      <c r="F669" s="25" t="s">
        <v>68</v>
      </c>
      <c r="G669" s="24" t="s">
        <v>1787</v>
      </c>
      <c r="H669" s="24" t="s">
        <v>87</v>
      </c>
      <c r="I669" s="25" t="s">
        <v>122</v>
      </c>
      <c r="J669" s="25" t="s">
        <v>57</v>
      </c>
      <c r="K669" s="25" t="s">
        <v>260</v>
      </c>
      <c r="L669" s="25" t="s">
        <v>196</v>
      </c>
      <c r="M669" s="25" t="s">
        <v>420</v>
      </c>
      <c r="N669" s="25" t="s">
        <v>465</v>
      </c>
      <c r="O669" s="25" t="s">
        <v>2117</v>
      </c>
      <c r="P669" s="25" t="s">
        <v>63</v>
      </c>
    </row>
    <row r="670" ht="20" customHeight="1" spans="1:16" x14ac:dyDescent="0.25">
      <c r="A670" s="21" t="s">
        <v>2118</v>
      </c>
      <c r="B670" s="21" t="s">
        <v>2119</v>
      </c>
      <c r="C670" s="21" t="s">
        <v>1218</v>
      </c>
      <c r="D670" s="21" t="s">
        <v>2119</v>
      </c>
      <c r="E670" s="21" t="s">
        <v>865</v>
      </c>
      <c r="F670" s="22" t="s">
        <v>53</v>
      </c>
      <c r="G670" s="21" t="s">
        <v>1674</v>
      </c>
      <c r="H670" s="21" t="s">
        <v>55</v>
      </c>
      <c r="I670" s="22" t="s">
        <v>186</v>
      </c>
      <c r="J670" s="22" t="s">
        <v>57</v>
      </c>
      <c r="K670" s="22" t="s">
        <v>759</v>
      </c>
      <c r="L670" s="22" t="s">
        <v>2120</v>
      </c>
      <c r="M670" s="22" t="s">
        <v>60</v>
      </c>
      <c r="N670" s="22" t="s">
        <v>61</v>
      </c>
      <c r="O670" s="22" t="s">
        <v>2121</v>
      </c>
      <c r="P670" s="22" t="s">
        <v>357</v>
      </c>
    </row>
    <row r="671" ht="20" customHeight="1" spans="1:16" s="23" customFormat="1" x14ac:dyDescent="0.25">
      <c r="A671" s="24" t="s">
        <v>1557</v>
      </c>
      <c r="B671" s="24" t="s">
        <v>2119</v>
      </c>
      <c r="C671" s="24" t="s">
        <v>2122</v>
      </c>
      <c r="D671" s="24" t="s">
        <v>2119</v>
      </c>
      <c r="E671" s="24" t="s">
        <v>1073</v>
      </c>
      <c r="F671" s="25" t="s">
        <v>53</v>
      </c>
      <c r="G671" s="24" t="s">
        <v>270</v>
      </c>
      <c r="H671" s="24" t="s">
        <v>610</v>
      </c>
      <c r="I671" s="25" t="s">
        <v>1140</v>
      </c>
      <c r="J671" s="25" t="s">
        <v>57</v>
      </c>
      <c r="K671" s="25" t="s">
        <v>2123</v>
      </c>
      <c r="L671" s="25" t="s">
        <v>73</v>
      </c>
      <c r="M671" s="25" t="s">
        <v>60</v>
      </c>
      <c r="N671" s="25" t="s">
        <v>61</v>
      </c>
      <c r="O671" s="25" t="s">
        <v>2124</v>
      </c>
      <c r="P671" s="25" t="s">
        <v>63</v>
      </c>
    </row>
    <row r="672" ht="20" customHeight="1" spans="1:16" x14ac:dyDescent="0.25">
      <c r="A672" s="21" t="s">
        <v>583</v>
      </c>
      <c r="B672" s="21" t="s">
        <v>2119</v>
      </c>
      <c r="C672" s="21" t="s">
        <v>407</v>
      </c>
      <c r="D672" s="21" t="s">
        <v>2119</v>
      </c>
      <c r="E672" s="21" t="s">
        <v>2125</v>
      </c>
      <c r="F672" s="22" t="s">
        <v>85</v>
      </c>
      <c r="G672" s="21" t="s">
        <v>1725</v>
      </c>
      <c r="H672" s="21" t="s">
        <v>87</v>
      </c>
      <c r="I672" s="22" t="s">
        <v>2126</v>
      </c>
      <c r="J672" s="22" t="s">
        <v>57</v>
      </c>
      <c r="K672" s="22" t="s">
        <v>596</v>
      </c>
      <c r="L672" s="22" t="s">
        <v>73</v>
      </c>
      <c r="M672" s="22" t="s">
        <v>235</v>
      </c>
      <c r="N672" s="22" t="s">
        <v>389</v>
      </c>
      <c r="O672" s="22" t="s">
        <v>2127</v>
      </c>
      <c r="P672" s="22" t="s">
        <v>63</v>
      </c>
    </row>
    <row r="673" ht="20" customHeight="1" spans="1:16" s="23" customFormat="1" x14ac:dyDescent="0.25">
      <c r="A673" s="24" t="s">
        <v>583</v>
      </c>
      <c r="B673" s="24" t="s">
        <v>2119</v>
      </c>
      <c r="C673" s="24" t="s">
        <v>762</v>
      </c>
      <c r="D673" s="24" t="s">
        <v>2119</v>
      </c>
      <c r="E673" s="24" t="s">
        <v>1690</v>
      </c>
      <c r="F673" s="25" t="s">
        <v>53</v>
      </c>
      <c r="G673" s="24" t="s">
        <v>54</v>
      </c>
      <c r="H673" s="24" t="s">
        <v>1938</v>
      </c>
      <c r="I673" s="25" t="s">
        <v>2043</v>
      </c>
      <c r="J673" s="25" t="s">
        <v>2044</v>
      </c>
      <c r="K673" s="25" t="s">
        <v>596</v>
      </c>
      <c r="L673" s="25" t="s">
        <v>73</v>
      </c>
      <c r="M673" s="25" t="s">
        <v>235</v>
      </c>
      <c r="N673" s="25" t="s">
        <v>389</v>
      </c>
      <c r="O673" s="25" t="s">
        <v>2128</v>
      </c>
      <c r="P673" s="25" t="s">
        <v>63</v>
      </c>
    </row>
    <row r="674" ht="20" customHeight="1" spans="1:16" x14ac:dyDescent="0.25">
      <c r="A674" s="21" t="s">
        <v>583</v>
      </c>
      <c r="B674" s="21" t="s">
        <v>2119</v>
      </c>
      <c r="C674" s="21" t="s">
        <v>328</v>
      </c>
      <c r="D674" s="21" t="s">
        <v>2119</v>
      </c>
      <c r="E674" s="21" t="s">
        <v>1130</v>
      </c>
      <c r="F674" s="22" t="s">
        <v>53</v>
      </c>
      <c r="G674" s="21" t="s">
        <v>54</v>
      </c>
      <c r="H674" s="21" t="s">
        <v>1938</v>
      </c>
      <c r="I674" s="22" t="s">
        <v>331</v>
      </c>
      <c r="J674" s="22" t="s">
        <v>57</v>
      </c>
      <c r="K674" s="22" t="s">
        <v>775</v>
      </c>
      <c r="L674" s="22" t="s">
        <v>73</v>
      </c>
      <c r="M674" s="22" t="s">
        <v>616</v>
      </c>
      <c r="N674" s="22" t="s">
        <v>465</v>
      </c>
      <c r="O674" s="22" t="s">
        <v>2129</v>
      </c>
      <c r="P674" s="22" t="s">
        <v>63</v>
      </c>
    </row>
    <row r="675" ht="20" customHeight="1" spans="1:16" s="23" customFormat="1" x14ac:dyDescent="0.25">
      <c r="A675" s="24" t="s">
        <v>583</v>
      </c>
      <c r="B675" s="24" t="s">
        <v>2130</v>
      </c>
      <c r="C675" s="24" t="s">
        <v>158</v>
      </c>
      <c r="D675" s="24" t="s">
        <v>2130</v>
      </c>
      <c r="E675" s="24" t="s">
        <v>614</v>
      </c>
      <c r="F675" s="25" t="s">
        <v>53</v>
      </c>
      <c r="G675" s="24" t="s">
        <v>1674</v>
      </c>
      <c r="H675" s="24" t="s">
        <v>610</v>
      </c>
      <c r="I675" s="25" t="s">
        <v>712</v>
      </c>
      <c r="J675" s="25" t="s">
        <v>57</v>
      </c>
      <c r="K675" s="25" t="s">
        <v>2131</v>
      </c>
      <c r="L675" s="25" t="s">
        <v>73</v>
      </c>
      <c r="M675" s="25" t="s">
        <v>616</v>
      </c>
      <c r="N675" s="25" t="s">
        <v>465</v>
      </c>
      <c r="O675" s="25" t="s">
        <v>2132</v>
      </c>
      <c r="P675" s="25" t="s">
        <v>63</v>
      </c>
    </row>
    <row r="676" ht="20" customHeight="1" spans="1:16" x14ac:dyDescent="0.25">
      <c r="A676" s="21" t="s">
        <v>583</v>
      </c>
      <c r="B676" s="21" t="s">
        <v>2130</v>
      </c>
      <c r="C676" s="21" t="s">
        <v>2133</v>
      </c>
      <c r="D676" s="21" t="s">
        <v>2130</v>
      </c>
      <c r="E676" s="21" t="s">
        <v>1125</v>
      </c>
      <c r="F676" s="22" t="s">
        <v>53</v>
      </c>
      <c r="G676" s="21" t="s">
        <v>54</v>
      </c>
      <c r="H676" s="21" t="s">
        <v>1938</v>
      </c>
      <c r="I676" s="22" t="s">
        <v>1925</v>
      </c>
      <c r="J676" s="22" t="s">
        <v>57</v>
      </c>
      <c r="K676" s="22" t="s">
        <v>775</v>
      </c>
      <c r="L676" s="22" t="s">
        <v>73</v>
      </c>
      <c r="M676" s="22" t="s">
        <v>616</v>
      </c>
      <c r="N676" s="22" t="s">
        <v>465</v>
      </c>
      <c r="O676" s="22" t="s">
        <v>2134</v>
      </c>
      <c r="P676" s="22" t="s">
        <v>63</v>
      </c>
    </row>
    <row r="677" ht="20" customHeight="1" spans="1:16" s="23" customFormat="1" x14ac:dyDescent="0.25">
      <c r="A677" s="24" t="s">
        <v>583</v>
      </c>
      <c r="B677" s="24" t="s">
        <v>2130</v>
      </c>
      <c r="C677" s="24" t="s">
        <v>164</v>
      </c>
      <c r="D677" s="24" t="s">
        <v>2130</v>
      </c>
      <c r="E677" s="24" t="s">
        <v>1922</v>
      </c>
      <c r="F677" s="25" t="s">
        <v>68</v>
      </c>
      <c r="G677" s="24" t="s">
        <v>1787</v>
      </c>
      <c r="H677" s="24" t="s">
        <v>87</v>
      </c>
      <c r="I677" s="25" t="s">
        <v>71</v>
      </c>
      <c r="J677" s="25" t="s">
        <v>57</v>
      </c>
      <c r="K677" s="25" t="s">
        <v>189</v>
      </c>
      <c r="L677" s="25" t="s">
        <v>2135</v>
      </c>
      <c r="M677" s="25" t="s">
        <v>420</v>
      </c>
      <c r="N677" s="25" t="s">
        <v>465</v>
      </c>
      <c r="O677" s="25" t="s">
        <v>2136</v>
      </c>
      <c r="P677" s="25" t="s">
        <v>63</v>
      </c>
    </row>
    <row r="678" ht="20" customHeight="1" spans="1:16" x14ac:dyDescent="0.25">
      <c r="A678" s="21" t="s">
        <v>583</v>
      </c>
      <c r="B678" s="21" t="s">
        <v>2130</v>
      </c>
      <c r="C678" s="21" t="s">
        <v>946</v>
      </c>
      <c r="D678" s="21" t="s">
        <v>2130</v>
      </c>
      <c r="E678" s="21" t="s">
        <v>740</v>
      </c>
      <c r="F678" s="22" t="s">
        <v>923</v>
      </c>
      <c r="G678" s="21" t="s">
        <v>2137</v>
      </c>
      <c r="H678" s="21" t="s">
        <v>610</v>
      </c>
      <c r="I678" s="22" t="s">
        <v>80</v>
      </c>
      <c r="J678" s="22" t="s">
        <v>57</v>
      </c>
      <c r="K678" s="22" t="s">
        <v>841</v>
      </c>
      <c r="L678" s="22" t="s">
        <v>73</v>
      </c>
      <c r="M678" s="22" t="s">
        <v>420</v>
      </c>
      <c r="N678" s="22" t="s">
        <v>465</v>
      </c>
      <c r="O678" s="22" t="s">
        <v>2138</v>
      </c>
      <c r="P678" s="22" t="s">
        <v>63</v>
      </c>
    </row>
    <row r="679" ht="20" customHeight="1" spans="1:16" s="23" customFormat="1" x14ac:dyDescent="0.25">
      <c r="A679" s="24" t="s">
        <v>583</v>
      </c>
      <c r="B679" s="24" t="s">
        <v>2130</v>
      </c>
      <c r="C679" s="24" t="s">
        <v>608</v>
      </c>
      <c r="D679" s="24" t="s">
        <v>2130</v>
      </c>
      <c r="E679" s="24" t="s">
        <v>1007</v>
      </c>
      <c r="F679" s="25" t="s">
        <v>1450</v>
      </c>
      <c r="G679" s="24" t="s">
        <v>69</v>
      </c>
      <c r="H679" s="24" t="s">
        <v>1451</v>
      </c>
      <c r="I679" s="25" t="s">
        <v>2139</v>
      </c>
      <c r="J679" s="25" t="s">
        <v>57</v>
      </c>
      <c r="K679" s="25" t="s">
        <v>2140</v>
      </c>
      <c r="L679" s="25" t="s">
        <v>73</v>
      </c>
      <c r="M679" s="25" t="s">
        <v>420</v>
      </c>
      <c r="N679" s="25" t="s">
        <v>465</v>
      </c>
      <c r="O679" s="25" t="s">
        <v>2141</v>
      </c>
      <c r="P679" s="25" t="s">
        <v>63</v>
      </c>
    </row>
    <row r="680" ht="20" customHeight="1" spans="1:16" x14ac:dyDescent="0.25">
      <c r="A680" s="21" t="s">
        <v>1783</v>
      </c>
      <c r="B680" s="21" t="s">
        <v>2130</v>
      </c>
      <c r="C680" s="21" t="s">
        <v>2142</v>
      </c>
      <c r="D680" s="21" t="s">
        <v>2130</v>
      </c>
      <c r="E680" s="21" t="s">
        <v>2143</v>
      </c>
      <c r="F680" s="22" t="s">
        <v>53</v>
      </c>
      <c r="G680" s="21" t="s">
        <v>54</v>
      </c>
      <c r="H680" s="21" t="s">
        <v>1938</v>
      </c>
      <c r="I680" s="22" t="s">
        <v>2043</v>
      </c>
      <c r="J680" s="22" t="s">
        <v>2044</v>
      </c>
      <c r="K680" s="22" t="s">
        <v>1626</v>
      </c>
      <c r="L680" s="22" t="s">
        <v>73</v>
      </c>
      <c r="M680" s="22" t="s">
        <v>354</v>
      </c>
      <c r="N680" s="22" t="s">
        <v>355</v>
      </c>
      <c r="O680" s="22" t="s">
        <v>2144</v>
      </c>
      <c r="P680" s="22" t="s">
        <v>63</v>
      </c>
    </row>
    <row r="681" ht="20" customHeight="1" spans="1:16" s="23" customFormat="1" x14ac:dyDescent="0.25">
      <c r="A681" s="24" t="s">
        <v>1557</v>
      </c>
      <c r="B681" s="24" t="s">
        <v>2130</v>
      </c>
      <c r="C681" s="24" t="s">
        <v>108</v>
      </c>
      <c r="D681" s="24" t="s">
        <v>2119</v>
      </c>
      <c r="E681" s="24" t="s">
        <v>2145</v>
      </c>
      <c r="F681" s="25" t="s">
        <v>1450</v>
      </c>
      <c r="G681" s="24" t="s">
        <v>69</v>
      </c>
      <c r="H681" s="24" t="s">
        <v>1451</v>
      </c>
      <c r="I681" s="25" t="s">
        <v>113</v>
      </c>
      <c r="J681" s="25" t="s">
        <v>57</v>
      </c>
      <c r="K681" s="25" t="s">
        <v>81</v>
      </c>
      <c r="L681" s="25" t="s">
        <v>73</v>
      </c>
      <c r="M681" s="25" t="s">
        <v>60</v>
      </c>
      <c r="N681" s="25" t="s">
        <v>61</v>
      </c>
      <c r="O681" s="25" t="s">
        <v>2146</v>
      </c>
      <c r="P681" s="25" t="s">
        <v>63</v>
      </c>
    </row>
    <row r="682" ht="20" customHeight="1" spans="1:16" x14ac:dyDescent="0.25">
      <c r="A682" s="21" t="s">
        <v>583</v>
      </c>
      <c r="B682" s="21" t="s">
        <v>2130</v>
      </c>
      <c r="C682" s="21" t="s">
        <v>1800</v>
      </c>
      <c r="D682" s="21" t="s">
        <v>2130</v>
      </c>
      <c r="E682" s="21" t="s">
        <v>1130</v>
      </c>
      <c r="F682" s="22" t="s">
        <v>923</v>
      </c>
      <c r="G682" s="21" t="s">
        <v>1488</v>
      </c>
      <c r="H682" s="21" t="s">
        <v>610</v>
      </c>
      <c r="I682" s="22" t="s">
        <v>71</v>
      </c>
      <c r="J682" s="22" t="s">
        <v>57</v>
      </c>
      <c r="K682" s="22" t="s">
        <v>591</v>
      </c>
      <c r="L682" s="22" t="s">
        <v>73</v>
      </c>
      <c r="M682" s="22" t="s">
        <v>420</v>
      </c>
      <c r="N682" s="22" t="s">
        <v>465</v>
      </c>
      <c r="O682" s="22" t="s">
        <v>2147</v>
      </c>
      <c r="P682" s="22" t="s">
        <v>63</v>
      </c>
    </row>
    <row r="683" ht="20" customHeight="1" spans="1:16" s="23" customFormat="1" x14ac:dyDescent="0.25">
      <c r="A683" s="24" t="s">
        <v>583</v>
      </c>
      <c r="B683" s="24" t="s">
        <v>2148</v>
      </c>
      <c r="C683" s="24" t="s">
        <v>378</v>
      </c>
      <c r="D683" s="24" t="s">
        <v>2149</v>
      </c>
      <c r="E683" s="24" t="s">
        <v>724</v>
      </c>
      <c r="F683" s="25" t="s">
        <v>53</v>
      </c>
      <c r="G683" s="24" t="s">
        <v>54</v>
      </c>
      <c r="H683" s="24" t="s">
        <v>1938</v>
      </c>
      <c r="I683" s="25" t="s">
        <v>71</v>
      </c>
      <c r="J683" s="25" t="s">
        <v>57</v>
      </c>
      <c r="K683" s="25" t="s">
        <v>2150</v>
      </c>
      <c r="L683" s="25" t="s">
        <v>2151</v>
      </c>
      <c r="M683" s="25" t="s">
        <v>201</v>
      </c>
      <c r="N683" s="25" t="s">
        <v>974</v>
      </c>
      <c r="O683" s="25" t="s">
        <v>2152</v>
      </c>
      <c r="P683" s="25" t="s">
        <v>63</v>
      </c>
    </row>
    <row r="684" ht="20" customHeight="1" spans="1:16" x14ac:dyDescent="0.25">
      <c r="A684" s="21" t="s">
        <v>583</v>
      </c>
      <c r="B684" s="21" t="s">
        <v>2148</v>
      </c>
      <c r="C684" s="21" t="s">
        <v>1154</v>
      </c>
      <c r="D684" s="21" t="s">
        <v>2148</v>
      </c>
      <c r="E684" s="21" t="s">
        <v>1100</v>
      </c>
      <c r="F684" s="22" t="s">
        <v>53</v>
      </c>
      <c r="G684" s="21" t="s">
        <v>1674</v>
      </c>
      <c r="H684" s="21" t="s">
        <v>55</v>
      </c>
      <c r="I684" s="22" t="s">
        <v>181</v>
      </c>
      <c r="J684" s="22" t="s">
        <v>57</v>
      </c>
      <c r="K684" s="22" t="s">
        <v>2153</v>
      </c>
      <c r="L684" s="22" t="s">
        <v>73</v>
      </c>
      <c r="M684" s="22" t="s">
        <v>60</v>
      </c>
      <c r="N684" s="22" t="s">
        <v>61</v>
      </c>
      <c r="O684" s="22" t="s">
        <v>2154</v>
      </c>
      <c r="P684" s="22" t="s">
        <v>63</v>
      </c>
    </row>
    <row r="685" ht="20" customHeight="1" spans="1:16" s="23" customFormat="1" x14ac:dyDescent="0.25">
      <c r="A685" s="24" t="s">
        <v>583</v>
      </c>
      <c r="B685" s="24" t="s">
        <v>2148</v>
      </c>
      <c r="C685" s="24" t="s">
        <v>467</v>
      </c>
      <c r="D685" s="24" t="s">
        <v>2148</v>
      </c>
      <c r="E685" s="24" t="s">
        <v>2155</v>
      </c>
      <c r="F685" s="25" t="s">
        <v>85</v>
      </c>
      <c r="G685" s="24" t="s">
        <v>86</v>
      </c>
      <c r="H685" s="24" t="s">
        <v>87</v>
      </c>
      <c r="I685" s="25" t="s">
        <v>71</v>
      </c>
      <c r="J685" s="25" t="s">
        <v>57</v>
      </c>
      <c r="K685" s="25" t="s">
        <v>1442</v>
      </c>
      <c r="L685" s="25" t="s">
        <v>73</v>
      </c>
      <c r="M685" s="25" t="s">
        <v>464</v>
      </c>
      <c r="N685" s="25" t="s">
        <v>465</v>
      </c>
      <c r="O685" s="25" t="s">
        <v>2156</v>
      </c>
      <c r="P685" s="25" t="s">
        <v>63</v>
      </c>
    </row>
    <row r="686" ht="20" customHeight="1" spans="1:16" x14ac:dyDescent="0.25">
      <c r="A686" s="21" t="s">
        <v>583</v>
      </c>
      <c r="B686" s="21" t="s">
        <v>2148</v>
      </c>
      <c r="C686" s="21" t="s">
        <v>1142</v>
      </c>
      <c r="D686" s="21" t="s">
        <v>1961</v>
      </c>
      <c r="E686" s="21" t="s">
        <v>956</v>
      </c>
      <c r="F686" s="22" t="s">
        <v>1450</v>
      </c>
      <c r="G686" s="21" t="s">
        <v>69</v>
      </c>
      <c r="H686" s="21" t="s">
        <v>1451</v>
      </c>
      <c r="I686" s="22" t="s">
        <v>186</v>
      </c>
      <c r="J686" s="22" t="s">
        <v>57</v>
      </c>
      <c r="K686" s="22" t="s">
        <v>817</v>
      </c>
      <c r="L686" s="22" t="s">
        <v>73</v>
      </c>
      <c r="M686" s="22" t="s">
        <v>201</v>
      </c>
      <c r="N686" s="22" t="s">
        <v>974</v>
      </c>
      <c r="O686" s="22" t="s">
        <v>2157</v>
      </c>
      <c r="P686" s="22" t="s">
        <v>63</v>
      </c>
    </row>
    <row r="687" ht="20" customHeight="1" spans="1:16" s="23" customFormat="1" x14ac:dyDescent="0.25">
      <c r="A687" s="24" t="s">
        <v>2158</v>
      </c>
      <c r="B687" s="24" t="s">
        <v>2148</v>
      </c>
      <c r="C687" s="24" t="s">
        <v>1142</v>
      </c>
      <c r="D687" s="24" t="s">
        <v>2149</v>
      </c>
      <c r="E687" s="24" t="s">
        <v>790</v>
      </c>
      <c r="F687" s="25" t="s">
        <v>53</v>
      </c>
      <c r="G687" s="24" t="s">
        <v>270</v>
      </c>
      <c r="H687" s="24" t="s">
        <v>55</v>
      </c>
      <c r="I687" s="25" t="s">
        <v>80</v>
      </c>
      <c r="J687" s="25" t="s">
        <v>57</v>
      </c>
      <c r="K687" s="25" t="s">
        <v>81</v>
      </c>
      <c r="L687" s="25" t="s">
        <v>73</v>
      </c>
      <c r="M687" s="25" t="s">
        <v>60</v>
      </c>
      <c r="N687" s="25" t="s">
        <v>61</v>
      </c>
      <c r="O687" s="25" t="s">
        <v>2159</v>
      </c>
      <c r="P687" s="25" t="s">
        <v>63</v>
      </c>
    </row>
    <row r="688" ht="20" customHeight="1" spans="1:16" x14ac:dyDescent="0.25">
      <c r="A688" s="21" t="s">
        <v>583</v>
      </c>
      <c r="B688" s="21" t="s">
        <v>2160</v>
      </c>
      <c r="C688" s="21" t="s">
        <v>67</v>
      </c>
      <c r="D688" s="21" t="s">
        <v>2160</v>
      </c>
      <c r="E688" s="21" t="s">
        <v>1389</v>
      </c>
      <c r="F688" s="22" t="s">
        <v>2161</v>
      </c>
      <c r="G688" s="21" t="s">
        <v>86</v>
      </c>
      <c r="H688" s="21" t="s">
        <v>87</v>
      </c>
      <c r="I688" s="22" t="s">
        <v>113</v>
      </c>
      <c r="J688" s="22" t="s">
        <v>57</v>
      </c>
      <c r="K688" s="22" t="s">
        <v>260</v>
      </c>
      <c r="L688" s="22" t="s">
        <v>73</v>
      </c>
      <c r="M688" s="22" t="s">
        <v>275</v>
      </c>
      <c r="N688" s="22" t="s">
        <v>795</v>
      </c>
      <c r="O688" s="22" t="s">
        <v>2162</v>
      </c>
      <c r="P688" s="22" t="s">
        <v>63</v>
      </c>
    </row>
    <row r="689" ht="20" customHeight="1" spans="1:16" s="23" customFormat="1" x14ac:dyDescent="0.25">
      <c r="A689" s="24" t="s">
        <v>583</v>
      </c>
      <c r="B689" s="24" t="s">
        <v>2160</v>
      </c>
      <c r="C689" s="24" t="s">
        <v>790</v>
      </c>
      <c r="D689" s="24" t="s">
        <v>2149</v>
      </c>
      <c r="E689" s="24" t="s">
        <v>790</v>
      </c>
      <c r="F689" s="25" t="s">
        <v>53</v>
      </c>
      <c r="G689" s="24" t="s">
        <v>1674</v>
      </c>
      <c r="H689" s="24" t="s">
        <v>610</v>
      </c>
      <c r="I689" s="25" t="s">
        <v>160</v>
      </c>
      <c r="J689" s="25" t="s">
        <v>57</v>
      </c>
      <c r="K689" s="25" t="s">
        <v>841</v>
      </c>
      <c r="L689" s="25" t="s">
        <v>2163</v>
      </c>
      <c r="M689" s="25" t="s">
        <v>275</v>
      </c>
      <c r="N689" s="25" t="s">
        <v>795</v>
      </c>
      <c r="O689" s="25" t="s">
        <v>2164</v>
      </c>
      <c r="P689" s="25" t="s">
        <v>63</v>
      </c>
    </row>
    <row r="690" ht="20" customHeight="1" spans="1:16" x14ac:dyDescent="0.25">
      <c r="A690" s="21" t="s">
        <v>583</v>
      </c>
      <c r="B690" s="21" t="s">
        <v>2160</v>
      </c>
      <c r="C690" s="21" t="s">
        <v>328</v>
      </c>
      <c r="D690" s="21" t="s">
        <v>2160</v>
      </c>
      <c r="E690" s="21" t="s">
        <v>329</v>
      </c>
      <c r="F690" s="22" t="s">
        <v>53</v>
      </c>
      <c r="G690" s="21" t="s">
        <v>1674</v>
      </c>
      <c r="H690" s="21" t="s">
        <v>55</v>
      </c>
      <c r="I690" s="22" t="s">
        <v>2165</v>
      </c>
      <c r="J690" s="22" t="s">
        <v>57</v>
      </c>
      <c r="K690" s="22" t="s">
        <v>72</v>
      </c>
      <c r="L690" s="22" t="s">
        <v>1486</v>
      </c>
      <c r="M690" s="22" t="s">
        <v>420</v>
      </c>
      <c r="N690" s="22" t="s">
        <v>465</v>
      </c>
      <c r="O690" s="22" t="s">
        <v>2166</v>
      </c>
      <c r="P690" s="22" t="s">
        <v>63</v>
      </c>
    </row>
    <row r="691" ht="20" customHeight="1" spans="1:16" s="23" customFormat="1" x14ac:dyDescent="0.25">
      <c r="A691" s="24" t="s">
        <v>988</v>
      </c>
      <c r="B691" s="24" t="s">
        <v>2149</v>
      </c>
      <c r="C691" s="24" t="s">
        <v>418</v>
      </c>
      <c r="D691" s="24" t="s">
        <v>2149</v>
      </c>
      <c r="E691" s="24" t="s">
        <v>785</v>
      </c>
      <c r="F691" s="25" t="s">
        <v>53</v>
      </c>
      <c r="G691" s="24" t="s">
        <v>1674</v>
      </c>
      <c r="H691" s="24" t="s">
        <v>55</v>
      </c>
      <c r="I691" s="25" t="s">
        <v>534</v>
      </c>
      <c r="J691" s="25" t="s">
        <v>57</v>
      </c>
      <c r="K691" s="25" t="s">
        <v>538</v>
      </c>
      <c r="L691" s="25" t="s">
        <v>2167</v>
      </c>
      <c r="M691" s="25" t="s">
        <v>201</v>
      </c>
      <c r="N691" s="25" t="s">
        <v>974</v>
      </c>
      <c r="O691" s="25" t="s">
        <v>2168</v>
      </c>
      <c r="P691" s="25" t="s">
        <v>63</v>
      </c>
    </row>
    <row r="692" ht="20" customHeight="1" spans="1:16" x14ac:dyDescent="0.25">
      <c r="A692" s="21" t="s">
        <v>583</v>
      </c>
      <c r="B692" s="21" t="s">
        <v>2149</v>
      </c>
      <c r="C692" s="21" t="s">
        <v>2169</v>
      </c>
      <c r="D692" s="21" t="s">
        <v>2149</v>
      </c>
      <c r="E692" s="21" t="s">
        <v>1384</v>
      </c>
      <c r="F692" s="22" t="s">
        <v>53</v>
      </c>
      <c r="G692" s="21" t="s">
        <v>1674</v>
      </c>
      <c r="H692" s="21" t="s">
        <v>610</v>
      </c>
      <c r="I692" s="22" t="s">
        <v>233</v>
      </c>
      <c r="J692" s="22" t="s">
        <v>57</v>
      </c>
      <c r="K692" s="22" t="s">
        <v>279</v>
      </c>
      <c r="L692" s="22" t="s">
        <v>73</v>
      </c>
      <c r="M692" s="22" t="s">
        <v>868</v>
      </c>
      <c r="N692" s="22" t="s">
        <v>465</v>
      </c>
      <c r="O692" s="22" t="s">
        <v>2170</v>
      </c>
      <c r="P692" s="22" t="s">
        <v>63</v>
      </c>
    </row>
    <row r="693" ht="20" customHeight="1" spans="1:16" s="23" customFormat="1" x14ac:dyDescent="0.25">
      <c r="A693" s="24" t="s">
        <v>1557</v>
      </c>
      <c r="B693" s="24" t="s">
        <v>2149</v>
      </c>
      <c r="C693" s="24" t="s">
        <v>1607</v>
      </c>
      <c r="D693" s="24" t="s">
        <v>2149</v>
      </c>
      <c r="E693" s="24" t="s">
        <v>790</v>
      </c>
      <c r="F693" s="25" t="s">
        <v>53</v>
      </c>
      <c r="G693" s="24" t="s">
        <v>1674</v>
      </c>
      <c r="H693" s="24" t="s">
        <v>55</v>
      </c>
      <c r="I693" s="25" t="s">
        <v>80</v>
      </c>
      <c r="J693" s="25" t="s">
        <v>57</v>
      </c>
      <c r="K693" s="25" t="s">
        <v>72</v>
      </c>
      <c r="L693" s="25" t="s">
        <v>73</v>
      </c>
      <c r="M693" s="25" t="s">
        <v>60</v>
      </c>
      <c r="N693" s="25" t="s">
        <v>61</v>
      </c>
      <c r="O693" s="25" t="s">
        <v>2171</v>
      </c>
      <c r="P693" s="25" t="s">
        <v>63</v>
      </c>
    </row>
    <row r="694" ht="20" customHeight="1" spans="1:16" x14ac:dyDescent="0.25">
      <c r="A694" s="21" t="s">
        <v>1557</v>
      </c>
      <c r="B694" s="21" t="s">
        <v>2149</v>
      </c>
      <c r="C694" s="21" t="s">
        <v>2172</v>
      </c>
      <c r="D694" s="21" t="s">
        <v>2149</v>
      </c>
      <c r="E694" s="21" t="s">
        <v>1043</v>
      </c>
      <c r="F694" s="22" t="s">
        <v>53</v>
      </c>
      <c r="G694" s="21" t="s">
        <v>270</v>
      </c>
      <c r="H694" s="21" t="s">
        <v>610</v>
      </c>
      <c r="I694" s="22" t="s">
        <v>534</v>
      </c>
      <c r="J694" s="22" t="s">
        <v>57</v>
      </c>
      <c r="K694" s="22" t="s">
        <v>81</v>
      </c>
      <c r="L694" s="22" t="s">
        <v>73</v>
      </c>
      <c r="M694" s="22" t="s">
        <v>60</v>
      </c>
      <c r="N694" s="22" t="s">
        <v>61</v>
      </c>
      <c r="O694" s="22" t="s">
        <v>2173</v>
      </c>
      <c r="P694" s="22" t="s">
        <v>63</v>
      </c>
    </row>
    <row r="695" ht="20" customHeight="1" spans="1:16" s="23" customFormat="1" x14ac:dyDescent="0.25">
      <c r="A695" s="24" t="s">
        <v>583</v>
      </c>
      <c r="B695" s="24" t="s">
        <v>2149</v>
      </c>
      <c r="C695" s="24" t="s">
        <v>75</v>
      </c>
      <c r="D695" s="24" t="s">
        <v>2149</v>
      </c>
      <c r="E695" s="24" t="s">
        <v>758</v>
      </c>
      <c r="F695" s="25" t="s">
        <v>53</v>
      </c>
      <c r="G695" s="24" t="s">
        <v>54</v>
      </c>
      <c r="H695" s="24" t="s">
        <v>1938</v>
      </c>
      <c r="I695" s="25" t="s">
        <v>113</v>
      </c>
      <c r="J695" s="25" t="s">
        <v>57</v>
      </c>
      <c r="K695" s="25" t="s">
        <v>247</v>
      </c>
      <c r="L695" s="25" t="s">
        <v>73</v>
      </c>
      <c r="M695" s="25" t="s">
        <v>868</v>
      </c>
      <c r="N695" s="25" t="s">
        <v>465</v>
      </c>
      <c r="O695" s="25" t="s">
        <v>2174</v>
      </c>
      <c r="P695" s="25" t="s">
        <v>63</v>
      </c>
    </row>
    <row r="696" ht="20" customHeight="1" spans="1:16" x14ac:dyDescent="0.25">
      <c r="A696" s="21" t="s">
        <v>593</v>
      </c>
      <c r="B696" s="21" t="s">
        <v>2149</v>
      </c>
      <c r="C696" s="21" t="s">
        <v>1731</v>
      </c>
      <c r="D696" s="21" t="s">
        <v>2149</v>
      </c>
      <c r="E696" s="21" t="s">
        <v>957</v>
      </c>
      <c r="F696" s="22" t="s">
        <v>53</v>
      </c>
      <c r="G696" s="21" t="s">
        <v>54</v>
      </c>
      <c r="H696" s="21" t="s">
        <v>1938</v>
      </c>
      <c r="I696" s="22" t="s">
        <v>2175</v>
      </c>
      <c r="J696" s="22" t="s">
        <v>57</v>
      </c>
      <c r="K696" s="22" t="s">
        <v>2176</v>
      </c>
      <c r="L696" s="22" t="s">
        <v>2177</v>
      </c>
      <c r="M696" s="22" t="s">
        <v>160</v>
      </c>
      <c r="N696" s="22" t="s">
        <v>426</v>
      </c>
      <c r="O696" s="22" t="s">
        <v>2178</v>
      </c>
      <c r="P696" s="22" t="s">
        <v>63</v>
      </c>
    </row>
    <row r="697" ht="20" customHeight="1" spans="1:16" s="23" customFormat="1" x14ac:dyDescent="0.25">
      <c r="A697" s="24" t="s">
        <v>583</v>
      </c>
      <c r="B697" s="24" t="s">
        <v>2160</v>
      </c>
      <c r="C697" s="24" t="s">
        <v>2179</v>
      </c>
      <c r="D697" s="24" t="s">
        <v>2160</v>
      </c>
      <c r="E697" s="24" t="s">
        <v>1210</v>
      </c>
      <c r="F697" s="25" t="s">
        <v>53</v>
      </c>
      <c r="G697" s="24" t="s">
        <v>270</v>
      </c>
      <c r="H697" s="24" t="s">
        <v>610</v>
      </c>
      <c r="I697" s="25" t="s">
        <v>80</v>
      </c>
      <c r="J697" s="25" t="s">
        <v>57</v>
      </c>
      <c r="K697" s="25" t="s">
        <v>189</v>
      </c>
      <c r="L697" s="25" t="s">
        <v>353</v>
      </c>
      <c r="M697" s="25" t="s">
        <v>60</v>
      </c>
      <c r="N697" s="25" t="s">
        <v>61</v>
      </c>
      <c r="O697" s="25" t="s">
        <v>2180</v>
      </c>
      <c r="P697" s="25" t="s">
        <v>63</v>
      </c>
    </row>
    <row r="698" ht="20" customHeight="1" spans="1:16" x14ac:dyDescent="0.25">
      <c r="A698" s="21" t="s">
        <v>2020</v>
      </c>
      <c r="B698" s="21" t="s">
        <v>2149</v>
      </c>
      <c r="C698" s="21" t="s">
        <v>956</v>
      </c>
      <c r="D698" s="21" t="s">
        <v>1961</v>
      </c>
      <c r="E698" s="21" t="s">
        <v>956</v>
      </c>
      <c r="F698" s="22" t="s">
        <v>53</v>
      </c>
      <c r="G698" s="21" t="s">
        <v>54</v>
      </c>
      <c r="H698" s="21" t="s">
        <v>1938</v>
      </c>
      <c r="I698" s="22" t="s">
        <v>223</v>
      </c>
      <c r="J698" s="22" t="s">
        <v>57</v>
      </c>
      <c r="K698" s="22" t="s">
        <v>538</v>
      </c>
      <c r="L698" s="22" t="s">
        <v>73</v>
      </c>
      <c r="M698" s="22" t="s">
        <v>201</v>
      </c>
      <c r="N698" s="22" t="s">
        <v>974</v>
      </c>
      <c r="O698" s="22" t="s">
        <v>2181</v>
      </c>
      <c r="P698" s="22" t="s">
        <v>63</v>
      </c>
    </row>
    <row r="699" ht="20" customHeight="1" spans="1:16" s="23" customFormat="1" x14ac:dyDescent="0.25">
      <c r="A699" s="24" t="s">
        <v>583</v>
      </c>
      <c r="B699" s="24" t="s">
        <v>2149</v>
      </c>
      <c r="C699" s="24" t="s">
        <v>347</v>
      </c>
      <c r="D699" s="24" t="s">
        <v>2149</v>
      </c>
      <c r="E699" s="24" t="s">
        <v>1119</v>
      </c>
      <c r="F699" s="25" t="s">
        <v>53</v>
      </c>
      <c r="G699" s="24" t="s">
        <v>1674</v>
      </c>
      <c r="H699" s="24" t="s">
        <v>610</v>
      </c>
      <c r="I699" s="25" t="s">
        <v>331</v>
      </c>
      <c r="J699" s="25" t="s">
        <v>57</v>
      </c>
      <c r="K699" s="25" t="s">
        <v>1102</v>
      </c>
      <c r="L699" s="25" t="s">
        <v>73</v>
      </c>
      <c r="M699" s="25" t="s">
        <v>616</v>
      </c>
      <c r="N699" s="25" t="s">
        <v>465</v>
      </c>
      <c r="O699" s="25" t="s">
        <v>2182</v>
      </c>
      <c r="P699" s="25" t="s">
        <v>63</v>
      </c>
    </row>
    <row r="700" ht="20" customHeight="1" spans="1:16" x14ac:dyDescent="0.25">
      <c r="A700" s="21" t="s">
        <v>583</v>
      </c>
      <c r="B700" s="21" t="s">
        <v>2183</v>
      </c>
      <c r="C700" s="21" t="s">
        <v>707</v>
      </c>
      <c r="D700" s="21" t="s">
        <v>2183</v>
      </c>
      <c r="E700" s="21" t="s">
        <v>2184</v>
      </c>
      <c r="F700" s="22" t="s">
        <v>53</v>
      </c>
      <c r="G700" s="21" t="s">
        <v>1674</v>
      </c>
      <c r="H700" s="21" t="s">
        <v>610</v>
      </c>
      <c r="I700" s="22" t="s">
        <v>534</v>
      </c>
      <c r="J700" s="22" t="s">
        <v>57</v>
      </c>
      <c r="K700" s="22" t="s">
        <v>1102</v>
      </c>
      <c r="L700" s="22" t="s">
        <v>2185</v>
      </c>
      <c r="M700" s="22" t="s">
        <v>275</v>
      </c>
      <c r="N700" s="22" t="s">
        <v>795</v>
      </c>
      <c r="O700" s="22" t="s">
        <v>2186</v>
      </c>
      <c r="P700" s="22" t="s">
        <v>63</v>
      </c>
    </row>
    <row r="701" ht="20" customHeight="1" spans="1:16" s="23" customFormat="1" x14ac:dyDescent="0.25">
      <c r="A701" s="24" t="s">
        <v>87</v>
      </c>
      <c r="B701" s="24" t="s">
        <v>2183</v>
      </c>
      <c r="C701" s="24" t="s">
        <v>2187</v>
      </c>
      <c r="D701" s="24" t="s">
        <v>2183</v>
      </c>
      <c r="E701" s="24" t="s">
        <v>2188</v>
      </c>
      <c r="F701" s="25" t="s">
        <v>68</v>
      </c>
      <c r="G701" s="24" t="s">
        <v>1725</v>
      </c>
      <c r="H701" s="24" t="s">
        <v>87</v>
      </c>
      <c r="I701" s="25" t="s">
        <v>233</v>
      </c>
      <c r="J701" s="25" t="s">
        <v>57</v>
      </c>
      <c r="K701" s="25" t="s">
        <v>260</v>
      </c>
      <c r="L701" s="25" t="s">
        <v>2189</v>
      </c>
      <c r="M701" s="25" t="s">
        <v>420</v>
      </c>
      <c r="N701" s="25" t="s">
        <v>465</v>
      </c>
      <c r="O701" s="25" t="s">
        <v>2190</v>
      </c>
      <c r="P701" s="25" t="s">
        <v>63</v>
      </c>
    </row>
    <row r="702" ht="20" customHeight="1" spans="1:16" x14ac:dyDescent="0.25">
      <c r="A702" s="21" t="s">
        <v>583</v>
      </c>
      <c r="B702" s="21" t="s">
        <v>2183</v>
      </c>
      <c r="C702" s="21" t="s">
        <v>1607</v>
      </c>
      <c r="D702" s="21" t="s">
        <v>2183</v>
      </c>
      <c r="E702" s="21" t="s">
        <v>1843</v>
      </c>
      <c r="F702" s="22" t="s">
        <v>53</v>
      </c>
      <c r="G702" s="21" t="s">
        <v>1674</v>
      </c>
      <c r="H702" s="21" t="s">
        <v>55</v>
      </c>
      <c r="I702" s="22" t="s">
        <v>275</v>
      </c>
      <c r="J702" s="22" t="s">
        <v>57</v>
      </c>
      <c r="K702" s="22" t="s">
        <v>260</v>
      </c>
      <c r="L702" s="22" t="s">
        <v>73</v>
      </c>
      <c r="M702" s="22" t="s">
        <v>420</v>
      </c>
      <c r="N702" s="22" t="s">
        <v>465</v>
      </c>
      <c r="O702" s="22" t="s">
        <v>2191</v>
      </c>
      <c r="P702" s="22" t="s">
        <v>63</v>
      </c>
    </row>
    <row r="703" ht="20" customHeight="1" spans="1:16" s="23" customFormat="1" x14ac:dyDescent="0.25">
      <c r="A703" s="24" t="s">
        <v>583</v>
      </c>
      <c r="B703" s="24" t="s">
        <v>2183</v>
      </c>
      <c r="C703" s="24" t="s">
        <v>1004</v>
      </c>
      <c r="D703" s="24" t="s">
        <v>2183</v>
      </c>
      <c r="E703" s="24" t="s">
        <v>1684</v>
      </c>
      <c r="F703" s="25" t="s">
        <v>68</v>
      </c>
      <c r="G703" s="24" t="s">
        <v>1725</v>
      </c>
      <c r="H703" s="24" t="s">
        <v>87</v>
      </c>
      <c r="I703" s="25" t="s">
        <v>246</v>
      </c>
      <c r="J703" s="25" t="s">
        <v>57</v>
      </c>
      <c r="K703" s="25" t="s">
        <v>591</v>
      </c>
      <c r="L703" s="25" t="s">
        <v>2192</v>
      </c>
      <c r="M703" s="25" t="s">
        <v>275</v>
      </c>
      <c r="N703" s="25" t="s">
        <v>795</v>
      </c>
      <c r="O703" s="25" t="s">
        <v>2193</v>
      </c>
      <c r="P703" s="25" t="s">
        <v>63</v>
      </c>
    </row>
    <row r="704" ht="20" customHeight="1" spans="1:16" x14ac:dyDescent="0.25">
      <c r="A704" s="21" t="s">
        <v>583</v>
      </c>
      <c r="B704" s="21" t="s">
        <v>2183</v>
      </c>
      <c r="C704" s="21" t="s">
        <v>1814</v>
      </c>
      <c r="D704" s="21" t="s">
        <v>2183</v>
      </c>
      <c r="E704" s="21" t="s">
        <v>604</v>
      </c>
      <c r="F704" s="22" t="s">
        <v>2194</v>
      </c>
      <c r="G704" s="21" t="s">
        <v>1674</v>
      </c>
      <c r="H704" s="21" t="s">
        <v>55</v>
      </c>
      <c r="I704" s="22" t="s">
        <v>127</v>
      </c>
      <c r="J704" s="22" t="s">
        <v>57</v>
      </c>
      <c r="K704" s="22" t="s">
        <v>2195</v>
      </c>
      <c r="L704" s="22" t="s">
        <v>73</v>
      </c>
      <c r="M704" s="22" t="s">
        <v>499</v>
      </c>
      <c r="N704" s="22" t="s">
        <v>465</v>
      </c>
      <c r="O704" s="22" t="s">
        <v>2196</v>
      </c>
      <c r="P704" s="22" t="s">
        <v>63</v>
      </c>
    </row>
    <row r="705" ht="20" customHeight="1" spans="1:16" s="23" customFormat="1" x14ac:dyDescent="0.25">
      <c r="A705" s="24" t="s">
        <v>583</v>
      </c>
      <c r="B705" s="24" t="s">
        <v>2197</v>
      </c>
      <c r="C705" s="24" t="s">
        <v>537</v>
      </c>
      <c r="D705" s="24" t="s">
        <v>2197</v>
      </c>
      <c r="E705" s="24" t="s">
        <v>1130</v>
      </c>
      <c r="F705" s="25" t="s">
        <v>53</v>
      </c>
      <c r="G705" s="24" t="s">
        <v>1674</v>
      </c>
      <c r="H705" s="24" t="s">
        <v>55</v>
      </c>
      <c r="I705" s="25" t="s">
        <v>2198</v>
      </c>
      <c r="J705" s="25" t="s">
        <v>57</v>
      </c>
      <c r="K705" s="25" t="s">
        <v>775</v>
      </c>
      <c r="L705" s="25" t="s">
        <v>73</v>
      </c>
      <c r="M705" s="25" t="s">
        <v>616</v>
      </c>
      <c r="N705" s="25" t="s">
        <v>465</v>
      </c>
      <c r="O705" s="25" t="s">
        <v>2199</v>
      </c>
      <c r="P705" s="25" t="s">
        <v>63</v>
      </c>
    </row>
    <row r="706" ht="20" customHeight="1" spans="1:16" x14ac:dyDescent="0.25">
      <c r="A706" s="21" t="s">
        <v>583</v>
      </c>
      <c r="B706" s="21" t="s">
        <v>2200</v>
      </c>
      <c r="C706" s="21" t="s">
        <v>1296</v>
      </c>
      <c r="D706" s="21" t="s">
        <v>2200</v>
      </c>
      <c r="E706" s="21" t="s">
        <v>1683</v>
      </c>
      <c r="F706" s="22" t="s">
        <v>53</v>
      </c>
      <c r="G706" s="21" t="s">
        <v>54</v>
      </c>
      <c r="H706" s="21" t="s">
        <v>1938</v>
      </c>
      <c r="I706" s="22" t="s">
        <v>113</v>
      </c>
      <c r="J706" s="22" t="s">
        <v>57</v>
      </c>
      <c r="K706" s="22" t="s">
        <v>2201</v>
      </c>
      <c r="L706" s="22" t="s">
        <v>2202</v>
      </c>
      <c r="M706" s="22" t="s">
        <v>616</v>
      </c>
      <c r="N706" s="22" t="s">
        <v>465</v>
      </c>
      <c r="O706" s="22" t="s">
        <v>2203</v>
      </c>
      <c r="P706" s="22" t="s">
        <v>63</v>
      </c>
    </row>
    <row r="707" ht="20" customHeight="1" spans="1:16" s="23" customFormat="1" x14ac:dyDescent="0.25">
      <c r="A707" s="24" t="s">
        <v>583</v>
      </c>
      <c r="B707" s="24" t="s">
        <v>2200</v>
      </c>
      <c r="C707" s="24" t="s">
        <v>93</v>
      </c>
      <c r="D707" s="24" t="s">
        <v>2204</v>
      </c>
      <c r="E707" s="24" t="s">
        <v>1310</v>
      </c>
      <c r="F707" s="25" t="s">
        <v>2205</v>
      </c>
      <c r="G707" s="24" t="s">
        <v>138</v>
      </c>
      <c r="H707" s="24" t="s">
        <v>988</v>
      </c>
      <c r="I707" s="25" t="s">
        <v>307</v>
      </c>
      <c r="J707" s="25" t="s">
        <v>57</v>
      </c>
      <c r="K707" s="25" t="s">
        <v>2206</v>
      </c>
      <c r="L707" s="25" t="s">
        <v>2207</v>
      </c>
      <c r="M707" s="25" t="s">
        <v>160</v>
      </c>
      <c r="N707" s="25" t="s">
        <v>426</v>
      </c>
      <c r="O707" s="25" t="s">
        <v>2208</v>
      </c>
      <c r="P707" s="25" t="s">
        <v>63</v>
      </c>
    </row>
    <row r="708" ht="20" customHeight="1" spans="1:16" x14ac:dyDescent="0.25">
      <c r="A708" s="21" t="s">
        <v>583</v>
      </c>
      <c r="B708" s="21" t="s">
        <v>2200</v>
      </c>
      <c r="C708" s="21" t="s">
        <v>891</v>
      </c>
      <c r="D708" s="21" t="s">
        <v>2204</v>
      </c>
      <c r="E708" s="21" t="s">
        <v>1800</v>
      </c>
      <c r="F708" s="22" t="s">
        <v>436</v>
      </c>
      <c r="G708" s="21" t="s">
        <v>437</v>
      </c>
      <c r="H708" s="21" t="s">
        <v>1688</v>
      </c>
      <c r="I708" s="22" t="s">
        <v>71</v>
      </c>
      <c r="J708" s="22" t="s">
        <v>57</v>
      </c>
      <c r="K708" s="22" t="s">
        <v>2209</v>
      </c>
      <c r="L708" s="22" t="s">
        <v>73</v>
      </c>
      <c r="M708" s="22" t="s">
        <v>616</v>
      </c>
      <c r="N708" s="22" t="s">
        <v>465</v>
      </c>
      <c r="O708" s="22" t="s">
        <v>2210</v>
      </c>
      <c r="P708" s="22" t="s">
        <v>63</v>
      </c>
    </row>
    <row r="709" ht="20" customHeight="1" spans="1:16" s="23" customFormat="1" x14ac:dyDescent="0.25">
      <c r="A709" s="24" t="s">
        <v>2211</v>
      </c>
      <c r="B709" s="24" t="s">
        <v>2200</v>
      </c>
      <c r="C709" s="24" t="s">
        <v>309</v>
      </c>
      <c r="D709" s="24" t="s">
        <v>2200</v>
      </c>
      <c r="E709" s="24" t="s">
        <v>250</v>
      </c>
      <c r="F709" s="25" t="s">
        <v>53</v>
      </c>
      <c r="G709" s="24" t="s">
        <v>1674</v>
      </c>
      <c r="H709" s="24" t="s">
        <v>55</v>
      </c>
      <c r="I709" s="25" t="s">
        <v>80</v>
      </c>
      <c r="J709" s="25" t="s">
        <v>57</v>
      </c>
      <c r="K709" s="25" t="s">
        <v>2212</v>
      </c>
      <c r="L709" s="25" t="s">
        <v>73</v>
      </c>
      <c r="M709" s="25" t="s">
        <v>60</v>
      </c>
      <c r="N709" s="25" t="s">
        <v>61</v>
      </c>
      <c r="O709" s="25" t="s">
        <v>2213</v>
      </c>
      <c r="P709" s="25" t="s">
        <v>2214</v>
      </c>
    </row>
    <row r="710" ht="20" customHeight="1" spans="1:16" x14ac:dyDescent="0.25">
      <c r="A710" s="21" t="s">
        <v>583</v>
      </c>
      <c r="B710" s="21" t="s">
        <v>2200</v>
      </c>
      <c r="C710" s="21" t="s">
        <v>969</v>
      </c>
      <c r="D710" s="21" t="s">
        <v>2200</v>
      </c>
      <c r="E710" s="21" t="s">
        <v>2215</v>
      </c>
      <c r="F710" s="22" t="s">
        <v>85</v>
      </c>
      <c r="G710" s="21" t="s">
        <v>86</v>
      </c>
      <c r="H710" s="21" t="s">
        <v>87</v>
      </c>
      <c r="I710" s="22" t="s">
        <v>1205</v>
      </c>
      <c r="J710" s="22" t="s">
        <v>57</v>
      </c>
      <c r="K710" s="22" t="s">
        <v>151</v>
      </c>
      <c r="L710" s="22" t="s">
        <v>73</v>
      </c>
      <c r="M710" s="22" t="s">
        <v>275</v>
      </c>
      <c r="N710" s="22" t="s">
        <v>795</v>
      </c>
      <c r="O710" s="22" t="s">
        <v>2216</v>
      </c>
      <c r="P710" s="22" t="s">
        <v>63</v>
      </c>
    </row>
    <row r="711" ht="20" customHeight="1" spans="1:16" s="23" customFormat="1" x14ac:dyDescent="0.25">
      <c r="A711" s="24" t="s">
        <v>583</v>
      </c>
      <c r="B711" s="24" t="s">
        <v>2200</v>
      </c>
      <c r="C711" s="24" t="s">
        <v>250</v>
      </c>
      <c r="D711" s="24" t="s">
        <v>2200</v>
      </c>
      <c r="E711" s="24" t="s">
        <v>145</v>
      </c>
      <c r="F711" s="25" t="s">
        <v>53</v>
      </c>
      <c r="G711" s="24" t="s">
        <v>54</v>
      </c>
      <c r="H711" s="24" t="s">
        <v>1938</v>
      </c>
      <c r="I711" s="25" t="s">
        <v>2217</v>
      </c>
      <c r="J711" s="25" t="s">
        <v>57</v>
      </c>
      <c r="K711" s="25" t="s">
        <v>260</v>
      </c>
      <c r="L711" s="25" t="s">
        <v>73</v>
      </c>
      <c r="M711" s="25" t="s">
        <v>420</v>
      </c>
      <c r="N711" s="25" t="s">
        <v>465</v>
      </c>
      <c r="O711" s="25" t="s">
        <v>2218</v>
      </c>
      <c r="P711" s="25" t="s">
        <v>63</v>
      </c>
    </row>
    <row r="712" ht="20" customHeight="1" spans="1:16" x14ac:dyDescent="0.25">
      <c r="A712" s="21" t="s">
        <v>583</v>
      </c>
      <c r="B712" s="21" t="s">
        <v>2200</v>
      </c>
      <c r="C712" s="21" t="s">
        <v>2219</v>
      </c>
      <c r="D712" s="21" t="s">
        <v>2200</v>
      </c>
      <c r="E712" s="21" t="s">
        <v>936</v>
      </c>
      <c r="F712" s="22" t="s">
        <v>53</v>
      </c>
      <c r="G712" s="21" t="s">
        <v>54</v>
      </c>
      <c r="H712" s="21" t="s">
        <v>1938</v>
      </c>
      <c r="I712" s="22" t="s">
        <v>2163</v>
      </c>
      <c r="J712" s="22" t="s">
        <v>57</v>
      </c>
      <c r="K712" s="22" t="s">
        <v>591</v>
      </c>
      <c r="L712" s="22" t="s">
        <v>73</v>
      </c>
      <c r="M712" s="22" t="s">
        <v>420</v>
      </c>
      <c r="N712" s="22" t="s">
        <v>465</v>
      </c>
      <c r="O712" s="22" t="s">
        <v>2220</v>
      </c>
      <c r="P712" s="22" t="s">
        <v>63</v>
      </c>
    </row>
    <row r="713" ht="20" customHeight="1" spans="1:16" s="23" customFormat="1" x14ac:dyDescent="0.25">
      <c r="A713" s="24" t="s">
        <v>583</v>
      </c>
      <c r="B713" s="24" t="s">
        <v>2204</v>
      </c>
      <c r="C713" s="24" t="s">
        <v>689</v>
      </c>
      <c r="D713" s="24" t="s">
        <v>2204</v>
      </c>
      <c r="E713" s="24" t="s">
        <v>2221</v>
      </c>
      <c r="F713" s="25" t="s">
        <v>53</v>
      </c>
      <c r="G713" s="24" t="s">
        <v>1674</v>
      </c>
      <c r="H713" s="24" t="s">
        <v>55</v>
      </c>
      <c r="I713" s="25" t="s">
        <v>186</v>
      </c>
      <c r="J713" s="25" t="s">
        <v>57</v>
      </c>
      <c r="K713" s="25" t="s">
        <v>2222</v>
      </c>
      <c r="L713" s="25" t="s">
        <v>2223</v>
      </c>
      <c r="M713" s="25" t="s">
        <v>201</v>
      </c>
      <c r="N713" s="25" t="s">
        <v>974</v>
      </c>
      <c r="O713" s="25" t="s">
        <v>2224</v>
      </c>
      <c r="P713" s="25" t="s">
        <v>63</v>
      </c>
    </row>
    <row r="714" ht="20" customHeight="1" spans="1:16" x14ac:dyDescent="0.25">
      <c r="A714" s="21" t="s">
        <v>583</v>
      </c>
      <c r="B714" s="21" t="s">
        <v>2204</v>
      </c>
      <c r="C714" s="21" t="s">
        <v>2221</v>
      </c>
      <c r="D714" s="21" t="s">
        <v>2204</v>
      </c>
      <c r="E714" s="21" t="s">
        <v>1683</v>
      </c>
      <c r="F714" s="22" t="s">
        <v>53</v>
      </c>
      <c r="G714" s="21" t="s">
        <v>54</v>
      </c>
      <c r="H714" s="21" t="s">
        <v>1938</v>
      </c>
      <c r="I714" s="22" t="s">
        <v>113</v>
      </c>
      <c r="J714" s="22" t="s">
        <v>57</v>
      </c>
      <c r="K714" s="22" t="s">
        <v>1549</v>
      </c>
      <c r="L714" s="22" t="s">
        <v>73</v>
      </c>
      <c r="M714" s="22" t="s">
        <v>868</v>
      </c>
      <c r="N714" s="22" t="s">
        <v>465</v>
      </c>
      <c r="O714" s="22" t="s">
        <v>2225</v>
      </c>
      <c r="P714" s="22" t="s">
        <v>63</v>
      </c>
    </row>
    <row r="715" ht="20" customHeight="1" spans="1:16" s="23" customFormat="1" x14ac:dyDescent="0.25">
      <c r="A715" s="24" t="s">
        <v>593</v>
      </c>
      <c r="B715" s="24" t="s">
        <v>2204</v>
      </c>
      <c r="C715" s="24" t="s">
        <v>67</v>
      </c>
      <c r="D715" s="24" t="s">
        <v>2204</v>
      </c>
      <c r="E715" s="24" t="s">
        <v>1439</v>
      </c>
      <c r="F715" s="25" t="s">
        <v>53</v>
      </c>
      <c r="G715" s="24" t="s">
        <v>54</v>
      </c>
      <c r="H715" s="24" t="s">
        <v>1938</v>
      </c>
      <c r="I715" s="25" t="s">
        <v>160</v>
      </c>
      <c r="J715" s="25" t="s">
        <v>57</v>
      </c>
      <c r="K715" s="25" t="s">
        <v>596</v>
      </c>
      <c r="L715" s="25" t="s">
        <v>73</v>
      </c>
      <c r="M715" s="25" t="s">
        <v>160</v>
      </c>
      <c r="N715" s="25" t="s">
        <v>426</v>
      </c>
      <c r="O715" s="25" t="s">
        <v>2226</v>
      </c>
      <c r="P715" s="25" t="s">
        <v>63</v>
      </c>
    </row>
    <row r="716" ht="20" customHeight="1" spans="1:16" x14ac:dyDescent="0.25">
      <c r="A716" s="21" t="s">
        <v>1557</v>
      </c>
      <c r="B716" s="21" t="s">
        <v>2204</v>
      </c>
      <c r="C716" s="21" t="s">
        <v>2227</v>
      </c>
      <c r="D716" s="21" t="s">
        <v>2204</v>
      </c>
      <c r="E716" s="21" t="s">
        <v>2228</v>
      </c>
      <c r="F716" s="22" t="s">
        <v>53</v>
      </c>
      <c r="G716" s="21" t="s">
        <v>54</v>
      </c>
      <c r="H716" s="21" t="s">
        <v>1938</v>
      </c>
      <c r="I716" s="22" t="s">
        <v>140</v>
      </c>
      <c r="J716" s="22" t="s">
        <v>57</v>
      </c>
      <c r="K716" s="22" t="s">
        <v>477</v>
      </c>
      <c r="L716" s="22" t="s">
        <v>73</v>
      </c>
      <c r="M716" s="22" t="s">
        <v>354</v>
      </c>
      <c r="N716" s="22" t="s">
        <v>355</v>
      </c>
      <c r="O716" s="22" t="s">
        <v>2229</v>
      </c>
      <c r="P716" s="22" t="s">
        <v>63</v>
      </c>
    </row>
    <row r="717" ht="20" customHeight="1" spans="1:16" s="23" customFormat="1" x14ac:dyDescent="0.25">
      <c r="A717" s="24" t="s">
        <v>583</v>
      </c>
      <c r="B717" s="24" t="s">
        <v>2204</v>
      </c>
      <c r="C717" s="24" t="s">
        <v>537</v>
      </c>
      <c r="D717" s="24" t="s">
        <v>2204</v>
      </c>
      <c r="E717" s="24" t="s">
        <v>2230</v>
      </c>
      <c r="F717" s="25" t="s">
        <v>53</v>
      </c>
      <c r="G717" s="24" t="s">
        <v>1674</v>
      </c>
      <c r="H717" s="24" t="s">
        <v>55</v>
      </c>
      <c r="I717" s="25" t="s">
        <v>331</v>
      </c>
      <c r="J717" s="25" t="s">
        <v>57</v>
      </c>
      <c r="K717" s="25" t="s">
        <v>72</v>
      </c>
      <c r="L717" s="25" t="s">
        <v>73</v>
      </c>
      <c r="M717" s="25" t="s">
        <v>616</v>
      </c>
      <c r="N717" s="25" t="s">
        <v>465</v>
      </c>
      <c r="O717" s="25" t="s">
        <v>2231</v>
      </c>
      <c r="P717" s="25" t="s">
        <v>63</v>
      </c>
    </row>
    <row r="718" ht="20" customHeight="1" spans="1:16" x14ac:dyDescent="0.25">
      <c r="A718" s="21" t="s">
        <v>583</v>
      </c>
      <c r="B718" s="21" t="s">
        <v>2232</v>
      </c>
      <c r="C718" s="21" t="s">
        <v>2133</v>
      </c>
      <c r="D718" s="21" t="s">
        <v>2232</v>
      </c>
      <c r="E718" s="21" t="s">
        <v>317</v>
      </c>
      <c r="F718" s="22" t="s">
        <v>53</v>
      </c>
      <c r="G718" s="21" t="s">
        <v>54</v>
      </c>
      <c r="H718" s="21" t="s">
        <v>1938</v>
      </c>
      <c r="I718" s="22" t="s">
        <v>71</v>
      </c>
      <c r="J718" s="22" t="s">
        <v>57</v>
      </c>
      <c r="K718" s="22" t="s">
        <v>2233</v>
      </c>
      <c r="L718" s="22" t="s">
        <v>73</v>
      </c>
      <c r="M718" s="22" t="s">
        <v>616</v>
      </c>
      <c r="N718" s="22" t="s">
        <v>465</v>
      </c>
      <c r="O718" s="22" t="s">
        <v>2234</v>
      </c>
      <c r="P718" s="22" t="s">
        <v>63</v>
      </c>
    </row>
    <row r="719" ht="20" customHeight="1" spans="1:16" s="23" customFormat="1" x14ac:dyDescent="0.25">
      <c r="A719" s="24" t="s">
        <v>583</v>
      </c>
      <c r="B719" s="24" t="s">
        <v>2232</v>
      </c>
      <c r="C719" s="24" t="s">
        <v>1398</v>
      </c>
      <c r="D719" s="24" t="s">
        <v>2232</v>
      </c>
      <c r="E719" s="24" t="s">
        <v>1907</v>
      </c>
      <c r="F719" s="25" t="s">
        <v>53</v>
      </c>
      <c r="G719" s="24" t="s">
        <v>1674</v>
      </c>
      <c r="H719" s="24" t="s">
        <v>610</v>
      </c>
      <c r="I719" s="25" t="s">
        <v>88</v>
      </c>
      <c r="J719" s="25" t="s">
        <v>57</v>
      </c>
      <c r="K719" s="25" t="s">
        <v>591</v>
      </c>
      <c r="L719" s="25" t="s">
        <v>73</v>
      </c>
      <c r="M719" s="25" t="s">
        <v>420</v>
      </c>
      <c r="N719" s="25" t="s">
        <v>465</v>
      </c>
      <c r="O719" s="25" t="s">
        <v>2235</v>
      </c>
      <c r="P719" s="25" t="s">
        <v>63</v>
      </c>
    </row>
    <row r="720" ht="20" customHeight="1" spans="1:16" x14ac:dyDescent="0.25">
      <c r="A720" s="21" t="s">
        <v>583</v>
      </c>
      <c r="B720" s="21" t="s">
        <v>2232</v>
      </c>
      <c r="C720" s="21" t="s">
        <v>471</v>
      </c>
      <c r="D720" s="21" t="s">
        <v>2232</v>
      </c>
      <c r="E720" s="21" t="s">
        <v>1439</v>
      </c>
      <c r="F720" s="22" t="s">
        <v>53</v>
      </c>
      <c r="G720" s="21" t="s">
        <v>54</v>
      </c>
      <c r="H720" s="21" t="s">
        <v>1938</v>
      </c>
      <c r="I720" s="22" t="s">
        <v>71</v>
      </c>
      <c r="J720" s="22" t="s">
        <v>57</v>
      </c>
      <c r="K720" s="22" t="s">
        <v>260</v>
      </c>
      <c r="L720" s="22" t="s">
        <v>73</v>
      </c>
      <c r="M720" s="22" t="s">
        <v>420</v>
      </c>
      <c r="N720" s="22" t="s">
        <v>465</v>
      </c>
      <c r="O720" s="22" t="s">
        <v>2236</v>
      </c>
      <c r="P720" s="22" t="s">
        <v>63</v>
      </c>
    </row>
    <row r="721" ht="20" customHeight="1" spans="1:16" s="23" customFormat="1" x14ac:dyDescent="0.25">
      <c r="A721" s="24" t="s">
        <v>583</v>
      </c>
      <c r="B721" s="24" t="s">
        <v>2232</v>
      </c>
      <c r="C721" s="24" t="s">
        <v>250</v>
      </c>
      <c r="D721" s="24" t="s">
        <v>2232</v>
      </c>
      <c r="E721" s="24" t="s">
        <v>1061</v>
      </c>
      <c r="F721" s="25" t="s">
        <v>68</v>
      </c>
      <c r="G721" s="24" t="s">
        <v>1725</v>
      </c>
      <c r="H721" s="24" t="s">
        <v>87</v>
      </c>
      <c r="I721" s="25" t="s">
        <v>71</v>
      </c>
      <c r="J721" s="25" t="s">
        <v>57</v>
      </c>
      <c r="K721" s="25" t="s">
        <v>591</v>
      </c>
      <c r="L721" s="25" t="s">
        <v>73</v>
      </c>
      <c r="M721" s="25" t="s">
        <v>420</v>
      </c>
      <c r="N721" s="25" t="s">
        <v>465</v>
      </c>
      <c r="O721" s="25" t="s">
        <v>2237</v>
      </c>
      <c r="P721" s="25" t="s">
        <v>63</v>
      </c>
    </row>
    <row r="722" ht="20" customHeight="1" spans="1:16" x14ac:dyDescent="0.25">
      <c r="A722" s="21" t="s">
        <v>583</v>
      </c>
      <c r="B722" s="21" t="s">
        <v>2232</v>
      </c>
      <c r="C722" s="21" t="s">
        <v>1657</v>
      </c>
      <c r="D722" s="21" t="s">
        <v>2232</v>
      </c>
      <c r="E722" s="21" t="s">
        <v>927</v>
      </c>
      <c r="F722" s="22" t="s">
        <v>53</v>
      </c>
      <c r="G722" s="21" t="s">
        <v>54</v>
      </c>
      <c r="H722" s="21" t="s">
        <v>1938</v>
      </c>
      <c r="I722" s="22" t="s">
        <v>113</v>
      </c>
      <c r="J722" s="22" t="s">
        <v>57</v>
      </c>
      <c r="K722" s="22" t="s">
        <v>2238</v>
      </c>
      <c r="L722" s="22" t="s">
        <v>73</v>
      </c>
      <c r="M722" s="22" t="s">
        <v>420</v>
      </c>
      <c r="N722" s="22" t="s">
        <v>465</v>
      </c>
      <c r="O722" s="22" t="s">
        <v>2239</v>
      </c>
      <c r="P722" s="22" t="s">
        <v>63</v>
      </c>
    </row>
    <row r="723" ht="20" customHeight="1" spans="1:16" s="23" customFormat="1" x14ac:dyDescent="0.25">
      <c r="A723" s="24" t="s">
        <v>583</v>
      </c>
      <c r="B723" s="24" t="s">
        <v>2240</v>
      </c>
      <c r="C723" s="24" t="s">
        <v>378</v>
      </c>
      <c r="D723" s="24" t="s">
        <v>2240</v>
      </c>
      <c r="E723" s="24" t="s">
        <v>1512</v>
      </c>
      <c r="F723" s="25" t="s">
        <v>923</v>
      </c>
      <c r="G723" s="24" t="s">
        <v>270</v>
      </c>
      <c r="H723" s="24" t="s">
        <v>55</v>
      </c>
      <c r="I723" s="25" t="s">
        <v>80</v>
      </c>
      <c r="J723" s="25" t="s">
        <v>57</v>
      </c>
      <c r="K723" s="25" t="s">
        <v>1764</v>
      </c>
      <c r="L723" s="25" t="s">
        <v>1546</v>
      </c>
      <c r="M723" s="25" t="s">
        <v>499</v>
      </c>
      <c r="N723" s="25" t="s">
        <v>465</v>
      </c>
      <c r="O723" s="25" t="s">
        <v>2241</v>
      </c>
      <c r="P723" s="25" t="s">
        <v>63</v>
      </c>
    </row>
    <row r="724" ht="20" customHeight="1" spans="1:16" x14ac:dyDescent="0.25">
      <c r="A724" s="21" t="s">
        <v>583</v>
      </c>
      <c r="B724" s="21" t="s">
        <v>2240</v>
      </c>
      <c r="C724" s="21" t="s">
        <v>1552</v>
      </c>
      <c r="D724" s="21" t="s">
        <v>2240</v>
      </c>
      <c r="E724" s="21" t="s">
        <v>957</v>
      </c>
      <c r="F724" s="22" t="s">
        <v>1794</v>
      </c>
      <c r="G724" s="21" t="s">
        <v>1769</v>
      </c>
      <c r="H724" s="21" t="s">
        <v>2242</v>
      </c>
      <c r="I724" s="22" t="s">
        <v>71</v>
      </c>
      <c r="J724" s="22" t="s">
        <v>57</v>
      </c>
      <c r="K724" s="22" t="s">
        <v>2243</v>
      </c>
      <c r="L724" s="22" t="s">
        <v>73</v>
      </c>
      <c r="M724" s="22" t="s">
        <v>464</v>
      </c>
      <c r="N724" s="22" t="s">
        <v>465</v>
      </c>
      <c r="O724" s="22" t="s">
        <v>2244</v>
      </c>
      <c r="P724" s="22" t="s">
        <v>63</v>
      </c>
    </row>
    <row r="725" ht="20" customHeight="1" spans="1:16" s="23" customFormat="1" x14ac:dyDescent="0.25">
      <c r="A725" s="24" t="s">
        <v>583</v>
      </c>
      <c r="B725" s="24" t="s">
        <v>2240</v>
      </c>
      <c r="C725" s="24" t="s">
        <v>1357</v>
      </c>
      <c r="D725" s="24" t="s">
        <v>2240</v>
      </c>
      <c r="E725" s="24" t="s">
        <v>328</v>
      </c>
      <c r="F725" s="25" t="s">
        <v>53</v>
      </c>
      <c r="G725" s="24" t="s">
        <v>1674</v>
      </c>
      <c r="H725" s="24" t="s">
        <v>610</v>
      </c>
      <c r="I725" s="25" t="s">
        <v>113</v>
      </c>
      <c r="J725" s="25" t="s">
        <v>57</v>
      </c>
      <c r="K725" s="25" t="s">
        <v>133</v>
      </c>
      <c r="L725" s="25" t="s">
        <v>73</v>
      </c>
      <c r="M725" s="25" t="s">
        <v>868</v>
      </c>
      <c r="N725" s="25" t="s">
        <v>465</v>
      </c>
      <c r="O725" s="25" t="s">
        <v>2245</v>
      </c>
      <c r="P725" s="25" t="s">
        <v>63</v>
      </c>
    </row>
    <row r="726" ht="20" customHeight="1" spans="1:16" x14ac:dyDescent="0.25">
      <c r="A726" s="21" t="s">
        <v>583</v>
      </c>
      <c r="B726" s="21" t="s">
        <v>2240</v>
      </c>
      <c r="C726" s="21" t="s">
        <v>1357</v>
      </c>
      <c r="D726" s="21" t="s">
        <v>2240</v>
      </c>
      <c r="E726" s="21" t="s">
        <v>1905</v>
      </c>
      <c r="F726" s="22" t="s">
        <v>2205</v>
      </c>
      <c r="G726" s="21" t="s">
        <v>2246</v>
      </c>
      <c r="H726" s="21" t="s">
        <v>87</v>
      </c>
      <c r="I726" s="22" t="s">
        <v>505</v>
      </c>
      <c r="J726" s="22" t="s">
        <v>57</v>
      </c>
      <c r="K726" s="22" t="s">
        <v>81</v>
      </c>
      <c r="L726" s="22" t="s">
        <v>73</v>
      </c>
      <c r="M726" s="22" t="s">
        <v>464</v>
      </c>
      <c r="N726" s="22" t="s">
        <v>465</v>
      </c>
      <c r="O726" s="22" t="s">
        <v>2247</v>
      </c>
      <c r="P726" s="22" t="s">
        <v>63</v>
      </c>
    </row>
    <row r="727" ht="20" customHeight="1" spans="1:16" s="23" customFormat="1" x14ac:dyDescent="0.25">
      <c r="A727" s="24" t="s">
        <v>593</v>
      </c>
      <c r="B727" s="24" t="s">
        <v>2240</v>
      </c>
      <c r="C727" s="24" t="s">
        <v>205</v>
      </c>
      <c r="D727" s="24" t="s">
        <v>2240</v>
      </c>
      <c r="E727" s="24" t="s">
        <v>1475</v>
      </c>
      <c r="F727" s="25" t="s">
        <v>436</v>
      </c>
      <c r="G727" s="24" t="s">
        <v>437</v>
      </c>
      <c r="H727" s="24" t="s">
        <v>1688</v>
      </c>
      <c r="I727" s="25" t="s">
        <v>160</v>
      </c>
      <c r="J727" s="25" t="s">
        <v>57</v>
      </c>
      <c r="K727" s="25" t="s">
        <v>58</v>
      </c>
      <c r="L727" s="25" t="s">
        <v>2248</v>
      </c>
      <c r="M727" s="25" t="s">
        <v>160</v>
      </c>
      <c r="N727" s="25" t="s">
        <v>426</v>
      </c>
      <c r="O727" s="25" t="s">
        <v>2249</v>
      </c>
      <c r="P727" s="25" t="s">
        <v>63</v>
      </c>
    </row>
    <row r="728" ht="20" customHeight="1" spans="1:16" x14ac:dyDescent="0.25">
      <c r="A728" s="21" t="s">
        <v>583</v>
      </c>
      <c r="B728" s="21" t="s">
        <v>2240</v>
      </c>
      <c r="C728" s="21" t="s">
        <v>1321</v>
      </c>
      <c r="D728" s="21" t="s">
        <v>2240</v>
      </c>
      <c r="E728" s="21" t="s">
        <v>2250</v>
      </c>
      <c r="F728" s="22" t="s">
        <v>53</v>
      </c>
      <c r="G728" s="21" t="s">
        <v>1674</v>
      </c>
      <c r="H728" s="21" t="s">
        <v>610</v>
      </c>
      <c r="I728" s="22" t="s">
        <v>132</v>
      </c>
      <c r="J728" s="22" t="s">
        <v>57</v>
      </c>
      <c r="K728" s="22" t="s">
        <v>2251</v>
      </c>
      <c r="L728" s="22" t="s">
        <v>331</v>
      </c>
      <c r="M728" s="22" t="s">
        <v>616</v>
      </c>
      <c r="N728" s="22" t="s">
        <v>465</v>
      </c>
      <c r="O728" s="22" t="s">
        <v>2252</v>
      </c>
      <c r="P728" s="22" t="s">
        <v>63</v>
      </c>
    </row>
    <row r="729" ht="20" customHeight="1" spans="1:16" s="23" customFormat="1" x14ac:dyDescent="0.25">
      <c r="A729" s="24" t="s">
        <v>583</v>
      </c>
      <c r="B729" s="24" t="s">
        <v>2253</v>
      </c>
      <c r="C729" s="24" t="s">
        <v>491</v>
      </c>
      <c r="D729" s="24" t="s">
        <v>2253</v>
      </c>
      <c r="E729" s="24" t="s">
        <v>2254</v>
      </c>
      <c r="F729" s="25" t="s">
        <v>53</v>
      </c>
      <c r="G729" s="24" t="s">
        <v>1674</v>
      </c>
      <c r="H729" s="24" t="s">
        <v>610</v>
      </c>
      <c r="I729" s="25" t="s">
        <v>683</v>
      </c>
      <c r="J729" s="25" t="s">
        <v>57</v>
      </c>
      <c r="K729" s="25" t="s">
        <v>1102</v>
      </c>
      <c r="L729" s="25" t="s">
        <v>73</v>
      </c>
      <c r="M729" s="25" t="s">
        <v>616</v>
      </c>
      <c r="N729" s="25" t="s">
        <v>465</v>
      </c>
      <c r="O729" s="25" t="s">
        <v>2255</v>
      </c>
      <c r="P729" s="25" t="s">
        <v>63</v>
      </c>
    </row>
    <row r="730" ht="20" customHeight="1" spans="1:16" x14ac:dyDescent="0.25">
      <c r="A730" s="21" t="s">
        <v>593</v>
      </c>
      <c r="B730" s="21" t="s">
        <v>2253</v>
      </c>
      <c r="C730" s="21" t="s">
        <v>344</v>
      </c>
      <c r="D730" s="21" t="s">
        <v>2253</v>
      </c>
      <c r="E730" s="21" t="s">
        <v>682</v>
      </c>
      <c r="F730" s="22" t="s">
        <v>68</v>
      </c>
      <c r="G730" s="21" t="s">
        <v>1725</v>
      </c>
      <c r="H730" s="21" t="s">
        <v>593</v>
      </c>
      <c r="I730" s="22" t="s">
        <v>160</v>
      </c>
      <c r="J730" s="22" t="s">
        <v>57</v>
      </c>
      <c r="K730" s="22" t="s">
        <v>2256</v>
      </c>
      <c r="L730" s="22" t="s">
        <v>73</v>
      </c>
      <c r="M730" s="22" t="s">
        <v>160</v>
      </c>
      <c r="N730" s="22" t="s">
        <v>426</v>
      </c>
      <c r="O730" s="22" t="s">
        <v>2257</v>
      </c>
      <c r="P730" s="22" t="s">
        <v>63</v>
      </c>
    </row>
    <row r="731" ht="20" customHeight="1" spans="1:16" s="23" customFormat="1" x14ac:dyDescent="0.25">
      <c r="A731" s="24" t="s">
        <v>1557</v>
      </c>
      <c r="B731" s="24" t="s">
        <v>2253</v>
      </c>
      <c r="C731" s="24" t="s">
        <v>556</v>
      </c>
      <c r="D731" s="24" t="s">
        <v>2253</v>
      </c>
      <c r="E731" s="24" t="s">
        <v>762</v>
      </c>
      <c r="F731" s="25" t="s">
        <v>85</v>
      </c>
      <c r="G731" s="24" t="s">
        <v>86</v>
      </c>
      <c r="H731" s="24" t="s">
        <v>87</v>
      </c>
      <c r="I731" s="25" t="s">
        <v>80</v>
      </c>
      <c r="J731" s="25" t="s">
        <v>57</v>
      </c>
      <c r="K731" s="25" t="s">
        <v>151</v>
      </c>
      <c r="L731" s="25" t="s">
        <v>73</v>
      </c>
      <c r="M731" s="25" t="s">
        <v>60</v>
      </c>
      <c r="N731" s="25" t="s">
        <v>61</v>
      </c>
      <c r="O731" s="25" t="s">
        <v>2258</v>
      </c>
      <c r="P731" s="25" t="s">
        <v>63</v>
      </c>
    </row>
    <row r="732" ht="20" customHeight="1" spans="1:16" x14ac:dyDescent="0.25">
      <c r="A732" s="21" t="s">
        <v>583</v>
      </c>
      <c r="B732" s="21" t="s">
        <v>2253</v>
      </c>
      <c r="C732" s="21" t="s">
        <v>103</v>
      </c>
      <c r="D732" s="21" t="s">
        <v>2253</v>
      </c>
      <c r="E732" s="21" t="s">
        <v>1007</v>
      </c>
      <c r="F732" s="22" t="s">
        <v>68</v>
      </c>
      <c r="G732" s="21" t="s">
        <v>1725</v>
      </c>
      <c r="H732" s="21" t="s">
        <v>87</v>
      </c>
      <c r="I732" s="22" t="s">
        <v>160</v>
      </c>
      <c r="J732" s="22" t="s">
        <v>57</v>
      </c>
      <c r="K732" s="22" t="s">
        <v>260</v>
      </c>
      <c r="L732" s="22" t="s">
        <v>113</v>
      </c>
      <c r="M732" s="22" t="s">
        <v>420</v>
      </c>
      <c r="N732" s="22" t="s">
        <v>465</v>
      </c>
      <c r="O732" s="22" t="s">
        <v>2259</v>
      </c>
      <c r="P732" s="22" t="s">
        <v>63</v>
      </c>
    </row>
    <row r="733" ht="20" customHeight="1" spans="1:16" s="23" customFormat="1" x14ac:dyDescent="0.25">
      <c r="A733" s="24" t="s">
        <v>583</v>
      </c>
      <c r="B733" s="24" t="s">
        <v>2253</v>
      </c>
      <c r="C733" s="24" t="s">
        <v>79</v>
      </c>
      <c r="D733" s="24" t="s">
        <v>2253</v>
      </c>
      <c r="E733" s="24" t="s">
        <v>799</v>
      </c>
      <c r="F733" s="25" t="s">
        <v>68</v>
      </c>
      <c r="G733" s="24" t="s">
        <v>1787</v>
      </c>
      <c r="H733" s="24" t="s">
        <v>87</v>
      </c>
      <c r="I733" s="25" t="s">
        <v>160</v>
      </c>
      <c r="J733" s="25" t="s">
        <v>57</v>
      </c>
      <c r="K733" s="25" t="s">
        <v>1781</v>
      </c>
      <c r="L733" s="25" t="s">
        <v>2260</v>
      </c>
      <c r="M733" s="25" t="s">
        <v>420</v>
      </c>
      <c r="N733" s="25" t="s">
        <v>465</v>
      </c>
      <c r="O733" s="25" t="s">
        <v>2261</v>
      </c>
      <c r="P733" s="25" t="s">
        <v>63</v>
      </c>
    </row>
    <row r="734" ht="20" customHeight="1" spans="1:16" x14ac:dyDescent="0.25">
      <c r="A734" s="21" t="s">
        <v>583</v>
      </c>
      <c r="B734" s="21" t="s">
        <v>2253</v>
      </c>
      <c r="C734" s="21" t="s">
        <v>2007</v>
      </c>
      <c r="D734" s="21" t="s">
        <v>2253</v>
      </c>
      <c r="E734" s="21" t="s">
        <v>799</v>
      </c>
      <c r="F734" s="22" t="s">
        <v>2262</v>
      </c>
      <c r="G734" s="21" t="s">
        <v>1674</v>
      </c>
      <c r="H734" s="21" t="s">
        <v>55</v>
      </c>
      <c r="I734" s="22" t="s">
        <v>246</v>
      </c>
      <c r="J734" s="22" t="s">
        <v>57</v>
      </c>
      <c r="K734" s="22" t="s">
        <v>596</v>
      </c>
      <c r="L734" s="22" t="s">
        <v>73</v>
      </c>
      <c r="M734" s="22" t="s">
        <v>235</v>
      </c>
      <c r="N734" s="22" t="s">
        <v>389</v>
      </c>
      <c r="O734" s="22" t="s">
        <v>2263</v>
      </c>
      <c r="P734" s="22" t="s">
        <v>63</v>
      </c>
    </row>
    <row r="735" ht="20" customHeight="1" spans="1:16" s="23" customFormat="1" x14ac:dyDescent="0.25">
      <c r="A735" s="24" t="s">
        <v>583</v>
      </c>
      <c r="B735" s="24" t="s">
        <v>2253</v>
      </c>
      <c r="C735" s="24" t="s">
        <v>956</v>
      </c>
      <c r="D735" s="24" t="s">
        <v>1961</v>
      </c>
      <c r="E735" s="24" t="s">
        <v>956</v>
      </c>
      <c r="F735" s="25" t="s">
        <v>53</v>
      </c>
      <c r="G735" s="24" t="s">
        <v>1674</v>
      </c>
      <c r="H735" s="24" t="s">
        <v>610</v>
      </c>
      <c r="I735" s="25" t="s">
        <v>127</v>
      </c>
      <c r="J735" s="25" t="s">
        <v>57</v>
      </c>
      <c r="K735" s="25" t="s">
        <v>72</v>
      </c>
      <c r="L735" s="25" t="s">
        <v>73</v>
      </c>
      <c r="M735" s="25" t="s">
        <v>499</v>
      </c>
      <c r="N735" s="25" t="s">
        <v>465</v>
      </c>
      <c r="O735" s="25" t="s">
        <v>2264</v>
      </c>
      <c r="P735" s="25" t="s">
        <v>63</v>
      </c>
    </row>
    <row r="736" ht="20" customHeight="1" spans="1:16" x14ac:dyDescent="0.25">
      <c r="A736" s="21" t="s">
        <v>583</v>
      </c>
      <c r="B736" s="21" t="s">
        <v>2253</v>
      </c>
      <c r="C736" s="21" t="s">
        <v>328</v>
      </c>
      <c r="D736" s="21" t="s">
        <v>2253</v>
      </c>
      <c r="E736" s="21" t="s">
        <v>972</v>
      </c>
      <c r="F736" s="22" t="s">
        <v>53</v>
      </c>
      <c r="G736" s="21" t="s">
        <v>1674</v>
      </c>
      <c r="H736" s="21" t="s">
        <v>610</v>
      </c>
      <c r="I736" s="22" t="s">
        <v>127</v>
      </c>
      <c r="J736" s="22" t="s">
        <v>57</v>
      </c>
      <c r="K736" s="22" t="s">
        <v>2251</v>
      </c>
      <c r="L736" s="22" t="s">
        <v>73</v>
      </c>
      <c r="M736" s="22" t="s">
        <v>63</v>
      </c>
      <c r="N736" s="22" t="s">
        <v>63</v>
      </c>
      <c r="O736" s="22" t="s">
        <v>63</v>
      </c>
      <c r="P736" s="22" t="s">
        <v>63</v>
      </c>
    </row>
    <row r="737" ht="20" customHeight="1" spans="1:16" s="23" customFormat="1" x14ac:dyDescent="0.25">
      <c r="A737" s="24" t="s">
        <v>583</v>
      </c>
      <c r="B737" s="24" t="s">
        <v>2265</v>
      </c>
      <c r="C737" s="24" t="s">
        <v>2266</v>
      </c>
      <c r="D737" s="24" t="s">
        <v>2253</v>
      </c>
      <c r="E737" s="24" t="s">
        <v>2267</v>
      </c>
      <c r="F737" s="25" t="s">
        <v>68</v>
      </c>
      <c r="G737" s="24" t="s">
        <v>437</v>
      </c>
      <c r="H737" s="24" t="s">
        <v>1688</v>
      </c>
      <c r="I737" s="25" t="s">
        <v>529</v>
      </c>
      <c r="J737" s="25" t="s">
        <v>57</v>
      </c>
      <c r="K737" s="25" t="s">
        <v>2251</v>
      </c>
      <c r="L737" s="25" t="s">
        <v>73</v>
      </c>
      <c r="M737" s="25" t="s">
        <v>499</v>
      </c>
      <c r="N737" s="25" t="s">
        <v>465</v>
      </c>
      <c r="O737" s="25" t="s">
        <v>2268</v>
      </c>
      <c r="P737" s="25" t="s">
        <v>2269</v>
      </c>
    </row>
    <row r="738" ht="20" customHeight="1" spans="1:16" x14ac:dyDescent="0.25">
      <c r="A738" s="21" t="s">
        <v>583</v>
      </c>
      <c r="B738" s="21" t="s">
        <v>2265</v>
      </c>
      <c r="C738" s="21" t="s">
        <v>2270</v>
      </c>
      <c r="D738" s="21" t="s">
        <v>2265</v>
      </c>
      <c r="E738" s="21" t="s">
        <v>2271</v>
      </c>
      <c r="F738" s="22" t="s">
        <v>53</v>
      </c>
      <c r="G738" s="21" t="s">
        <v>1674</v>
      </c>
      <c r="H738" s="21" t="s">
        <v>55</v>
      </c>
      <c r="I738" s="22" t="s">
        <v>505</v>
      </c>
      <c r="J738" s="22" t="s">
        <v>57</v>
      </c>
      <c r="K738" s="22" t="s">
        <v>2272</v>
      </c>
      <c r="L738" s="22" t="s">
        <v>73</v>
      </c>
      <c r="M738" s="22" t="s">
        <v>464</v>
      </c>
      <c r="N738" s="22" t="s">
        <v>465</v>
      </c>
      <c r="O738" s="22" t="s">
        <v>2273</v>
      </c>
      <c r="P738" s="22" t="s">
        <v>63</v>
      </c>
    </row>
    <row r="739" ht="20" customHeight="1" spans="1:16" s="23" customFormat="1" x14ac:dyDescent="0.25">
      <c r="A739" s="24" t="s">
        <v>583</v>
      </c>
      <c r="B739" s="24" t="s">
        <v>2265</v>
      </c>
      <c r="C739" s="24" t="s">
        <v>347</v>
      </c>
      <c r="D739" s="24" t="s">
        <v>2265</v>
      </c>
      <c r="E739" s="24" t="s">
        <v>972</v>
      </c>
      <c r="F739" s="25" t="s">
        <v>53</v>
      </c>
      <c r="G739" s="24" t="s">
        <v>54</v>
      </c>
      <c r="H739" s="24" t="s">
        <v>1938</v>
      </c>
      <c r="I739" s="25" t="s">
        <v>331</v>
      </c>
      <c r="J739" s="25" t="s">
        <v>57</v>
      </c>
      <c r="K739" s="25" t="s">
        <v>1102</v>
      </c>
      <c r="L739" s="25" t="s">
        <v>73</v>
      </c>
      <c r="M739" s="25" t="s">
        <v>616</v>
      </c>
      <c r="N739" s="25" t="s">
        <v>465</v>
      </c>
      <c r="O739" s="25" t="s">
        <v>2274</v>
      </c>
      <c r="P739" s="25" t="s">
        <v>63</v>
      </c>
    </row>
    <row r="740" ht="20" customHeight="1" spans="1:16" x14ac:dyDescent="0.25">
      <c r="A740" s="21" t="s">
        <v>583</v>
      </c>
      <c r="B740" s="21" t="s">
        <v>2275</v>
      </c>
      <c r="C740" s="21" t="s">
        <v>2276</v>
      </c>
      <c r="D740" s="21" t="s">
        <v>2275</v>
      </c>
      <c r="E740" s="21" t="s">
        <v>2277</v>
      </c>
      <c r="F740" s="22" t="s">
        <v>53</v>
      </c>
      <c r="G740" s="21" t="s">
        <v>54</v>
      </c>
      <c r="H740" s="21" t="s">
        <v>1938</v>
      </c>
      <c r="I740" s="22" t="s">
        <v>616</v>
      </c>
      <c r="J740" s="22" t="s">
        <v>57</v>
      </c>
      <c r="K740" s="22" t="s">
        <v>1102</v>
      </c>
      <c r="L740" s="22" t="s">
        <v>73</v>
      </c>
      <c r="M740" s="22" t="s">
        <v>616</v>
      </c>
      <c r="N740" s="22" t="s">
        <v>465</v>
      </c>
      <c r="O740" s="22" t="s">
        <v>2278</v>
      </c>
      <c r="P740" s="22" t="s">
        <v>63</v>
      </c>
    </row>
    <row r="741" ht="20" customHeight="1" spans="1:16" s="23" customFormat="1" x14ac:dyDescent="0.25">
      <c r="A741" s="24" t="s">
        <v>583</v>
      </c>
      <c r="B741" s="24" t="s">
        <v>2279</v>
      </c>
      <c r="C741" s="24" t="s">
        <v>1154</v>
      </c>
      <c r="D741" s="24" t="s">
        <v>2279</v>
      </c>
      <c r="E741" s="24" t="s">
        <v>551</v>
      </c>
      <c r="F741" s="25" t="s">
        <v>2280</v>
      </c>
      <c r="G741" s="24" t="s">
        <v>1769</v>
      </c>
      <c r="H741" s="24" t="s">
        <v>1350</v>
      </c>
      <c r="I741" s="25" t="s">
        <v>71</v>
      </c>
      <c r="J741" s="25" t="s">
        <v>57</v>
      </c>
      <c r="K741" s="25" t="s">
        <v>2281</v>
      </c>
      <c r="L741" s="25" t="s">
        <v>2282</v>
      </c>
      <c r="M741" s="25" t="s">
        <v>499</v>
      </c>
      <c r="N741" s="25" t="s">
        <v>465</v>
      </c>
      <c r="O741" s="25" t="s">
        <v>2283</v>
      </c>
      <c r="P741" s="25" t="s">
        <v>63</v>
      </c>
    </row>
    <row r="742" ht="20" customHeight="1" spans="1:16" x14ac:dyDescent="0.25">
      <c r="A742" s="21" t="s">
        <v>583</v>
      </c>
      <c r="B742" s="21" t="s">
        <v>2279</v>
      </c>
      <c r="C742" s="21" t="s">
        <v>158</v>
      </c>
      <c r="D742" s="21" t="s">
        <v>2279</v>
      </c>
      <c r="E742" s="21" t="s">
        <v>1800</v>
      </c>
      <c r="F742" s="22" t="s">
        <v>53</v>
      </c>
      <c r="G742" s="21" t="s">
        <v>54</v>
      </c>
      <c r="H742" s="21" t="s">
        <v>1938</v>
      </c>
      <c r="I742" s="22" t="s">
        <v>80</v>
      </c>
      <c r="J742" s="22" t="s">
        <v>57</v>
      </c>
      <c r="K742" s="22" t="s">
        <v>2284</v>
      </c>
      <c r="L742" s="22" t="s">
        <v>2285</v>
      </c>
      <c r="M742" s="22" t="s">
        <v>499</v>
      </c>
      <c r="N742" s="22" t="s">
        <v>465</v>
      </c>
      <c r="O742" s="22" t="s">
        <v>2286</v>
      </c>
      <c r="P742" s="22" t="s">
        <v>63</v>
      </c>
    </row>
    <row r="743" ht="20" customHeight="1" spans="1:16" s="23" customFormat="1" x14ac:dyDescent="0.25">
      <c r="A743" s="24" t="s">
        <v>583</v>
      </c>
      <c r="B743" s="24" t="s">
        <v>2279</v>
      </c>
      <c r="C743" s="24" t="s">
        <v>2287</v>
      </c>
      <c r="D743" s="24" t="s">
        <v>2279</v>
      </c>
      <c r="E743" s="24" t="s">
        <v>2288</v>
      </c>
      <c r="F743" s="25" t="s">
        <v>53</v>
      </c>
      <c r="G743" s="24" t="s">
        <v>1674</v>
      </c>
      <c r="H743" s="24" t="s">
        <v>55</v>
      </c>
      <c r="I743" s="25" t="s">
        <v>653</v>
      </c>
      <c r="J743" s="25" t="s">
        <v>57</v>
      </c>
      <c r="K743" s="25" t="s">
        <v>72</v>
      </c>
      <c r="L743" s="25" t="s">
        <v>73</v>
      </c>
      <c r="M743" s="25" t="s">
        <v>464</v>
      </c>
      <c r="N743" s="25" t="s">
        <v>465</v>
      </c>
      <c r="O743" s="25" t="s">
        <v>2289</v>
      </c>
      <c r="P743" s="25" t="s">
        <v>63</v>
      </c>
    </row>
    <row r="744" ht="20" customHeight="1" spans="1:16" x14ac:dyDescent="0.25">
      <c r="A744" s="21" t="s">
        <v>583</v>
      </c>
      <c r="B744" s="21" t="s">
        <v>2279</v>
      </c>
      <c r="C744" s="21" t="s">
        <v>1676</v>
      </c>
      <c r="D744" s="21" t="s">
        <v>2279</v>
      </c>
      <c r="E744" s="21" t="s">
        <v>2290</v>
      </c>
      <c r="F744" s="22" t="s">
        <v>2291</v>
      </c>
      <c r="G744" s="21" t="s">
        <v>2292</v>
      </c>
      <c r="H744" s="21" t="s">
        <v>87</v>
      </c>
      <c r="I744" s="22" t="s">
        <v>1848</v>
      </c>
      <c r="J744" s="22" t="s">
        <v>57</v>
      </c>
      <c r="K744" s="22" t="s">
        <v>1457</v>
      </c>
      <c r="L744" s="22" t="s">
        <v>2293</v>
      </c>
      <c r="M744" s="22" t="s">
        <v>464</v>
      </c>
      <c r="N744" s="22" t="s">
        <v>465</v>
      </c>
      <c r="O744" s="22" t="s">
        <v>2294</v>
      </c>
      <c r="P744" s="22" t="s">
        <v>63</v>
      </c>
    </row>
    <row r="745" ht="20" customHeight="1" spans="1:16" s="23" customFormat="1" x14ac:dyDescent="0.25">
      <c r="A745" s="24" t="s">
        <v>1557</v>
      </c>
      <c r="B745" s="24" t="s">
        <v>2279</v>
      </c>
      <c r="C745" s="24" t="s">
        <v>2290</v>
      </c>
      <c r="D745" s="24" t="s">
        <v>2279</v>
      </c>
      <c r="E745" s="24" t="s">
        <v>75</v>
      </c>
      <c r="F745" s="25" t="s">
        <v>53</v>
      </c>
      <c r="G745" s="24" t="s">
        <v>1674</v>
      </c>
      <c r="H745" s="24" t="s">
        <v>55</v>
      </c>
      <c r="I745" s="25" t="s">
        <v>360</v>
      </c>
      <c r="J745" s="25" t="s">
        <v>57</v>
      </c>
      <c r="K745" s="25" t="s">
        <v>247</v>
      </c>
      <c r="L745" s="25" t="s">
        <v>73</v>
      </c>
      <c r="M745" s="25" t="s">
        <v>354</v>
      </c>
      <c r="N745" s="25" t="s">
        <v>355</v>
      </c>
      <c r="O745" s="25" t="s">
        <v>2295</v>
      </c>
      <c r="P745" s="25" t="s">
        <v>63</v>
      </c>
    </row>
    <row r="746" ht="20" customHeight="1" spans="1:16" x14ac:dyDescent="0.25">
      <c r="A746" s="21" t="s">
        <v>583</v>
      </c>
      <c r="B746" s="21" t="s">
        <v>2279</v>
      </c>
      <c r="C746" s="21" t="s">
        <v>1448</v>
      </c>
      <c r="D746" s="21" t="s">
        <v>2279</v>
      </c>
      <c r="E746" s="21" t="s">
        <v>2296</v>
      </c>
      <c r="F746" s="22" t="s">
        <v>53</v>
      </c>
      <c r="G746" s="21" t="s">
        <v>1674</v>
      </c>
      <c r="H746" s="21" t="s">
        <v>55</v>
      </c>
      <c r="I746" s="22" t="s">
        <v>88</v>
      </c>
      <c r="J746" s="22" t="s">
        <v>57</v>
      </c>
      <c r="K746" s="22" t="s">
        <v>591</v>
      </c>
      <c r="L746" s="22" t="s">
        <v>73</v>
      </c>
      <c r="M746" s="22" t="s">
        <v>464</v>
      </c>
      <c r="N746" s="22" t="s">
        <v>465</v>
      </c>
      <c r="O746" s="22" t="s">
        <v>2297</v>
      </c>
      <c r="P746" s="22" t="s">
        <v>63</v>
      </c>
    </row>
    <row r="747" ht="20" customHeight="1" spans="1:16" s="23" customFormat="1" x14ac:dyDescent="0.25">
      <c r="A747" s="24" t="s">
        <v>583</v>
      </c>
      <c r="B747" s="24" t="s">
        <v>2279</v>
      </c>
      <c r="C747" s="24" t="s">
        <v>328</v>
      </c>
      <c r="D747" s="24" t="s">
        <v>2279</v>
      </c>
      <c r="E747" s="24" t="s">
        <v>2298</v>
      </c>
      <c r="F747" s="25" t="s">
        <v>53</v>
      </c>
      <c r="G747" s="24" t="s">
        <v>1674</v>
      </c>
      <c r="H747" s="24" t="s">
        <v>610</v>
      </c>
      <c r="I747" s="25" t="s">
        <v>331</v>
      </c>
      <c r="J747" s="25" t="s">
        <v>57</v>
      </c>
      <c r="K747" s="25" t="s">
        <v>1102</v>
      </c>
      <c r="L747" s="25" t="s">
        <v>73</v>
      </c>
      <c r="M747" s="25" t="s">
        <v>616</v>
      </c>
      <c r="N747" s="25" t="s">
        <v>465</v>
      </c>
      <c r="O747" s="25" t="s">
        <v>2299</v>
      </c>
      <c r="P747" s="25" t="s">
        <v>63</v>
      </c>
    </row>
    <row r="748" ht="20" customHeight="1" spans="1:16" x14ac:dyDescent="0.25">
      <c r="A748" s="21" t="s">
        <v>583</v>
      </c>
      <c r="B748" s="21" t="s">
        <v>2300</v>
      </c>
      <c r="C748" s="21" t="s">
        <v>2301</v>
      </c>
      <c r="D748" s="21" t="s">
        <v>2300</v>
      </c>
      <c r="E748" s="21" t="s">
        <v>2302</v>
      </c>
      <c r="F748" s="22" t="s">
        <v>53</v>
      </c>
      <c r="G748" s="21" t="s">
        <v>1674</v>
      </c>
      <c r="H748" s="21" t="s">
        <v>610</v>
      </c>
      <c r="I748" s="22" t="s">
        <v>307</v>
      </c>
      <c r="J748" s="22" t="s">
        <v>57</v>
      </c>
      <c r="K748" s="22" t="s">
        <v>1102</v>
      </c>
      <c r="L748" s="22" t="s">
        <v>73</v>
      </c>
      <c r="M748" s="22" t="s">
        <v>616</v>
      </c>
      <c r="N748" s="22" t="s">
        <v>465</v>
      </c>
      <c r="O748" s="22" t="s">
        <v>2303</v>
      </c>
      <c r="P748" s="22" t="s">
        <v>63</v>
      </c>
    </row>
    <row r="749" ht="20" customHeight="1" spans="1:16" s="23" customFormat="1" x14ac:dyDescent="0.25">
      <c r="A749" s="24" t="s">
        <v>583</v>
      </c>
      <c r="B749" s="24" t="s">
        <v>2300</v>
      </c>
      <c r="C749" s="24" t="s">
        <v>626</v>
      </c>
      <c r="D749" s="24" t="s">
        <v>2300</v>
      </c>
      <c r="E749" s="24" t="s">
        <v>344</v>
      </c>
      <c r="F749" s="25" t="s">
        <v>53</v>
      </c>
      <c r="G749" s="24" t="s">
        <v>54</v>
      </c>
      <c r="H749" s="24" t="s">
        <v>1938</v>
      </c>
      <c r="I749" s="25" t="s">
        <v>71</v>
      </c>
      <c r="J749" s="25" t="s">
        <v>57</v>
      </c>
      <c r="K749" s="25" t="s">
        <v>260</v>
      </c>
      <c r="L749" s="25" t="s">
        <v>73</v>
      </c>
      <c r="M749" s="25" t="s">
        <v>420</v>
      </c>
      <c r="N749" s="25" t="s">
        <v>465</v>
      </c>
      <c r="O749" s="25" t="s">
        <v>2304</v>
      </c>
      <c r="P749" s="25" t="s">
        <v>63</v>
      </c>
    </row>
    <row r="750" ht="20" customHeight="1" spans="1:16" x14ac:dyDescent="0.25">
      <c r="A750" s="21" t="s">
        <v>583</v>
      </c>
      <c r="B750" s="21" t="s">
        <v>2300</v>
      </c>
      <c r="C750" s="21" t="s">
        <v>1360</v>
      </c>
      <c r="D750" s="21" t="s">
        <v>2300</v>
      </c>
      <c r="E750" s="21" t="s">
        <v>1439</v>
      </c>
      <c r="F750" s="22" t="s">
        <v>53</v>
      </c>
      <c r="G750" s="21" t="s">
        <v>54</v>
      </c>
      <c r="H750" s="21" t="s">
        <v>1938</v>
      </c>
      <c r="I750" s="22" t="s">
        <v>71</v>
      </c>
      <c r="J750" s="22" t="s">
        <v>57</v>
      </c>
      <c r="K750" s="22" t="s">
        <v>260</v>
      </c>
      <c r="L750" s="22" t="s">
        <v>73</v>
      </c>
      <c r="M750" s="22" t="s">
        <v>420</v>
      </c>
      <c r="N750" s="22" t="s">
        <v>465</v>
      </c>
      <c r="O750" s="22" t="s">
        <v>2305</v>
      </c>
      <c r="P750" s="22" t="s">
        <v>63</v>
      </c>
    </row>
    <row r="751" ht="20" customHeight="1" spans="1:16" s="23" customFormat="1" x14ac:dyDescent="0.25">
      <c r="A751" s="24" t="s">
        <v>583</v>
      </c>
      <c r="B751" s="24" t="s">
        <v>2300</v>
      </c>
      <c r="C751" s="24" t="s">
        <v>2306</v>
      </c>
      <c r="D751" s="24" t="s">
        <v>2300</v>
      </c>
      <c r="E751" s="24" t="s">
        <v>1097</v>
      </c>
      <c r="F751" s="25" t="s">
        <v>2307</v>
      </c>
      <c r="G751" s="24" t="s">
        <v>1725</v>
      </c>
      <c r="H751" s="24" t="s">
        <v>87</v>
      </c>
      <c r="I751" s="25" t="s">
        <v>71</v>
      </c>
      <c r="J751" s="25" t="s">
        <v>57</v>
      </c>
      <c r="K751" s="25" t="s">
        <v>72</v>
      </c>
      <c r="L751" s="25" t="s">
        <v>2308</v>
      </c>
      <c r="M751" s="25" t="s">
        <v>420</v>
      </c>
      <c r="N751" s="25" t="s">
        <v>465</v>
      </c>
      <c r="O751" s="25" t="s">
        <v>2309</v>
      </c>
      <c r="P751" s="25" t="s">
        <v>63</v>
      </c>
    </row>
    <row r="752" ht="20" customHeight="1" spans="1:16" x14ac:dyDescent="0.25">
      <c r="A752" s="21" t="s">
        <v>583</v>
      </c>
      <c r="B752" s="21" t="s">
        <v>2300</v>
      </c>
      <c r="C752" s="21" t="s">
        <v>2310</v>
      </c>
      <c r="D752" s="21" t="s">
        <v>2300</v>
      </c>
      <c r="E752" s="21" t="s">
        <v>480</v>
      </c>
      <c r="F752" s="22" t="s">
        <v>85</v>
      </c>
      <c r="G752" s="21" t="s">
        <v>86</v>
      </c>
      <c r="H752" s="21" t="s">
        <v>87</v>
      </c>
      <c r="I752" s="22" t="s">
        <v>1205</v>
      </c>
      <c r="J752" s="22" t="s">
        <v>57</v>
      </c>
      <c r="K752" s="22" t="s">
        <v>2311</v>
      </c>
      <c r="L752" s="22" t="s">
        <v>73</v>
      </c>
      <c r="M752" s="22" t="s">
        <v>420</v>
      </c>
      <c r="N752" s="22" t="s">
        <v>465</v>
      </c>
      <c r="O752" s="22" t="s">
        <v>2312</v>
      </c>
      <c r="P752" s="22" t="s">
        <v>63</v>
      </c>
    </row>
    <row r="753" ht="20" customHeight="1" spans="1:16" s="23" customFormat="1" x14ac:dyDescent="0.25">
      <c r="A753" s="24" t="s">
        <v>583</v>
      </c>
      <c r="B753" s="24" t="s">
        <v>2313</v>
      </c>
      <c r="C753" s="24" t="s">
        <v>707</v>
      </c>
      <c r="D753" s="24" t="s">
        <v>2313</v>
      </c>
      <c r="E753" s="24" t="s">
        <v>581</v>
      </c>
      <c r="F753" s="25" t="s">
        <v>923</v>
      </c>
      <c r="G753" s="24" t="s">
        <v>270</v>
      </c>
      <c r="H753" s="24" t="s">
        <v>87</v>
      </c>
      <c r="I753" s="25" t="s">
        <v>71</v>
      </c>
      <c r="J753" s="25" t="s">
        <v>57</v>
      </c>
      <c r="K753" s="25" t="s">
        <v>72</v>
      </c>
      <c r="L753" s="25" t="s">
        <v>73</v>
      </c>
      <c r="M753" s="25" t="s">
        <v>464</v>
      </c>
      <c r="N753" s="25" t="s">
        <v>465</v>
      </c>
      <c r="O753" s="25" t="s">
        <v>2314</v>
      </c>
      <c r="P753" s="25" t="s">
        <v>63</v>
      </c>
    </row>
    <row r="754" ht="20" customHeight="1" spans="1:16" x14ac:dyDescent="0.25">
      <c r="A754" s="21" t="s">
        <v>583</v>
      </c>
      <c r="B754" s="21" t="s">
        <v>2313</v>
      </c>
      <c r="C754" s="21" t="s">
        <v>1959</v>
      </c>
      <c r="D754" s="21" t="s">
        <v>2313</v>
      </c>
      <c r="E754" s="21" t="s">
        <v>1522</v>
      </c>
      <c r="F754" s="22" t="s">
        <v>68</v>
      </c>
      <c r="G754" s="21" t="s">
        <v>1769</v>
      </c>
      <c r="H754" s="21" t="s">
        <v>87</v>
      </c>
      <c r="I754" s="22" t="s">
        <v>71</v>
      </c>
      <c r="J754" s="22" t="s">
        <v>57</v>
      </c>
      <c r="K754" s="22" t="s">
        <v>817</v>
      </c>
      <c r="L754" s="22" t="s">
        <v>513</v>
      </c>
      <c r="M754" s="22" t="s">
        <v>464</v>
      </c>
      <c r="N754" s="22" t="s">
        <v>465</v>
      </c>
      <c r="O754" s="22" t="s">
        <v>2315</v>
      </c>
      <c r="P754" s="22" t="s">
        <v>63</v>
      </c>
    </row>
    <row r="755" ht="20" customHeight="1" spans="1:16" s="23" customFormat="1" x14ac:dyDescent="0.25">
      <c r="A755" s="24" t="s">
        <v>583</v>
      </c>
      <c r="B755" s="24" t="s">
        <v>2313</v>
      </c>
      <c r="C755" s="24" t="s">
        <v>1687</v>
      </c>
      <c r="D755" s="24" t="s">
        <v>2313</v>
      </c>
      <c r="E755" s="24" t="s">
        <v>50</v>
      </c>
      <c r="F755" s="25" t="s">
        <v>1794</v>
      </c>
      <c r="G755" s="24" t="s">
        <v>2292</v>
      </c>
      <c r="H755" s="24" t="s">
        <v>87</v>
      </c>
      <c r="I755" s="25" t="s">
        <v>1205</v>
      </c>
      <c r="J755" s="25" t="s">
        <v>57</v>
      </c>
      <c r="K755" s="25" t="s">
        <v>227</v>
      </c>
      <c r="L755" s="25" t="s">
        <v>73</v>
      </c>
      <c r="M755" s="25" t="s">
        <v>868</v>
      </c>
      <c r="N755" s="25" t="s">
        <v>465</v>
      </c>
      <c r="O755" s="25" t="s">
        <v>2316</v>
      </c>
      <c r="P755" s="25" t="s">
        <v>63</v>
      </c>
    </row>
    <row r="756" ht="20" customHeight="1" spans="1:16" x14ac:dyDescent="0.25">
      <c r="A756" s="21" t="s">
        <v>583</v>
      </c>
      <c r="B756" s="21" t="s">
        <v>2313</v>
      </c>
      <c r="C756" s="21" t="s">
        <v>1094</v>
      </c>
      <c r="D756" s="21" t="s">
        <v>2313</v>
      </c>
      <c r="E756" s="21" t="s">
        <v>50</v>
      </c>
      <c r="F756" s="22" t="s">
        <v>53</v>
      </c>
      <c r="G756" s="21" t="s">
        <v>1674</v>
      </c>
      <c r="H756" s="21" t="s">
        <v>610</v>
      </c>
      <c r="I756" s="22" t="s">
        <v>1205</v>
      </c>
      <c r="J756" s="22" t="s">
        <v>57</v>
      </c>
      <c r="K756" s="22" t="s">
        <v>81</v>
      </c>
      <c r="L756" s="22" t="s">
        <v>73</v>
      </c>
      <c r="M756" s="22" t="s">
        <v>354</v>
      </c>
      <c r="N756" s="22" t="s">
        <v>355</v>
      </c>
      <c r="O756" s="22" t="s">
        <v>2317</v>
      </c>
      <c r="P756" s="22" t="s">
        <v>63</v>
      </c>
    </row>
    <row r="757" ht="20" customHeight="1" spans="1:16" s="23" customFormat="1" x14ac:dyDescent="0.25">
      <c r="A757" s="24" t="s">
        <v>583</v>
      </c>
      <c r="B757" s="24" t="s">
        <v>2313</v>
      </c>
      <c r="C757" s="24" t="s">
        <v>656</v>
      </c>
      <c r="D757" s="24" t="s">
        <v>2313</v>
      </c>
      <c r="E757" s="24" t="s">
        <v>2318</v>
      </c>
      <c r="F757" s="25" t="s">
        <v>53</v>
      </c>
      <c r="G757" s="24" t="s">
        <v>1674</v>
      </c>
      <c r="H757" s="24" t="s">
        <v>610</v>
      </c>
      <c r="I757" s="25" t="s">
        <v>331</v>
      </c>
      <c r="J757" s="25" t="s">
        <v>57</v>
      </c>
      <c r="K757" s="25" t="s">
        <v>1102</v>
      </c>
      <c r="L757" s="25" t="s">
        <v>73</v>
      </c>
      <c r="M757" s="25" t="s">
        <v>616</v>
      </c>
      <c r="N757" s="25" t="s">
        <v>465</v>
      </c>
      <c r="O757" s="25" t="s">
        <v>2319</v>
      </c>
      <c r="P757" s="25" t="s">
        <v>63</v>
      </c>
    </row>
    <row r="758" ht="20" customHeight="1" spans="1:16" x14ac:dyDescent="0.25">
      <c r="A758" s="21" t="s">
        <v>583</v>
      </c>
      <c r="B758" s="21" t="s">
        <v>2320</v>
      </c>
      <c r="C758" s="21" t="s">
        <v>2321</v>
      </c>
      <c r="D758" s="21" t="s">
        <v>2320</v>
      </c>
      <c r="E758" s="21" t="s">
        <v>815</v>
      </c>
      <c r="F758" s="22" t="s">
        <v>53</v>
      </c>
      <c r="G758" s="21" t="s">
        <v>54</v>
      </c>
      <c r="H758" s="21" t="s">
        <v>1938</v>
      </c>
      <c r="I758" s="22" t="s">
        <v>209</v>
      </c>
      <c r="J758" s="22" t="s">
        <v>57</v>
      </c>
      <c r="K758" s="22" t="s">
        <v>2322</v>
      </c>
      <c r="L758" s="22" t="s">
        <v>2323</v>
      </c>
      <c r="M758" s="22" t="s">
        <v>616</v>
      </c>
      <c r="N758" s="22" t="s">
        <v>465</v>
      </c>
      <c r="O758" s="22" t="s">
        <v>2324</v>
      </c>
      <c r="P758" s="22" t="s">
        <v>63</v>
      </c>
    </row>
    <row r="759" ht="20" customHeight="1" spans="1:16" s="23" customFormat="1" x14ac:dyDescent="0.25">
      <c r="A759" s="24" t="s">
        <v>583</v>
      </c>
      <c r="B759" s="24" t="s">
        <v>2320</v>
      </c>
      <c r="C759" s="24" t="s">
        <v>778</v>
      </c>
      <c r="D759" s="24" t="s">
        <v>2320</v>
      </c>
      <c r="E759" s="24" t="s">
        <v>2325</v>
      </c>
      <c r="F759" s="25" t="s">
        <v>2326</v>
      </c>
      <c r="G759" s="24" t="s">
        <v>1725</v>
      </c>
      <c r="H759" s="24" t="s">
        <v>988</v>
      </c>
      <c r="I759" s="25" t="s">
        <v>186</v>
      </c>
      <c r="J759" s="25" t="s">
        <v>57</v>
      </c>
      <c r="K759" s="25" t="s">
        <v>1299</v>
      </c>
      <c r="L759" s="25" t="s">
        <v>2327</v>
      </c>
      <c r="M759" s="25" t="s">
        <v>616</v>
      </c>
      <c r="N759" s="25" t="s">
        <v>465</v>
      </c>
      <c r="O759" s="25" t="s">
        <v>2328</v>
      </c>
      <c r="P759" s="25" t="s">
        <v>63</v>
      </c>
    </row>
    <row r="760" ht="20" customHeight="1" spans="1:16" x14ac:dyDescent="0.25">
      <c r="A760" s="21" t="s">
        <v>583</v>
      </c>
      <c r="B760" s="21" t="s">
        <v>2320</v>
      </c>
      <c r="C760" s="21" t="s">
        <v>199</v>
      </c>
      <c r="D760" s="21" t="s">
        <v>2320</v>
      </c>
      <c r="E760" s="21" t="s">
        <v>1267</v>
      </c>
      <c r="F760" s="22" t="s">
        <v>53</v>
      </c>
      <c r="G760" s="21" t="s">
        <v>1674</v>
      </c>
      <c r="H760" s="21" t="s">
        <v>610</v>
      </c>
      <c r="I760" s="22" t="s">
        <v>140</v>
      </c>
      <c r="J760" s="22" t="s">
        <v>57</v>
      </c>
      <c r="K760" s="22" t="s">
        <v>1102</v>
      </c>
      <c r="L760" s="22" t="s">
        <v>73</v>
      </c>
      <c r="M760" s="22" t="s">
        <v>616</v>
      </c>
      <c r="N760" s="22" t="s">
        <v>465</v>
      </c>
      <c r="O760" s="22" t="s">
        <v>2329</v>
      </c>
      <c r="P760" s="22" t="s">
        <v>63</v>
      </c>
    </row>
    <row r="761" ht="20" customHeight="1" spans="1:16" s="23" customFormat="1" x14ac:dyDescent="0.25">
      <c r="A761" s="24" t="s">
        <v>583</v>
      </c>
      <c r="B761" s="24" t="s">
        <v>2320</v>
      </c>
      <c r="C761" s="24" t="s">
        <v>1048</v>
      </c>
      <c r="D761" s="24" t="s">
        <v>2320</v>
      </c>
      <c r="E761" s="24" t="s">
        <v>2330</v>
      </c>
      <c r="F761" s="25" t="s">
        <v>68</v>
      </c>
      <c r="G761" s="24" t="s">
        <v>1594</v>
      </c>
      <c r="H761" s="24" t="s">
        <v>70</v>
      </c>
      <c r="I761" s="25" t="s">
        <v>118</v>
      </c>
      <c r="J761" s="25" t="s">
        <v>57</v>
      </c>
      <c r="K761" s="25" t="s">
        <v>260</v>
      </c>
      <c r="L761" s="25" t="s">
        <v>196</v>
      </c>
      <c r="M761" s="25" t="s">
        <v>420</v>
      </c>
      <c r="N761" s="25" t="s">
        <v>465</v>
      </c>
      <c r="O761" s="25" t="s">
        <v>2331</v>
      </c>
      <c r="P761" s="25" t="s">
        <v>63</v>
      </c>
    </row>
    <row r="762" ht="20" customHeight="1" spans="1:16" x14ac:dyDescent="0.25">
      <c r="A762" s="21" t="s">
        <v>583</v>
      </c>
      <c r="B762" s="21" t="s">
        <v>2320</v>
      </c>
      <c r="C762" s="21" t="s">
        <v>1066</v>
      </c>
      <c r="D762" s="21" t="s">
        <v>2320</v>
      </c>
      <c r="E762" s="21" t="s">
        <v>1449</v>
      </c>
      <c r="F762" s="22" t="s">
        <v>53</v>
      </c>
      <c r="G762" s="21" t="s">
        <v>1674</v>
      </c>
      <c r="H762" s="21" t="s">
        <v>55</v>
      </c>
      <c r="I762" s="22" t="s">
        <v>1205</v>
      </c>
      <c r="J762" s="22" t="s">
        <v>57</v>
      </c>
      <c r="K762" s="22" t="s">
        <v>2332</v>
      </c>
      <c r="L762" s="22" t="s">
        <v>73</v>
      </c>
      <c r="M762" s="22" t="s">
        <v>420</v>
      </c>
      <c r="N762" s="22" t="s">
        <v>465</v>
      </c>
      <c r="O762" s="22" t="s">
        <v>2333</v>
      </c>
      <c r="P762" s="22" t="s">
        <v>63</v>
      </c>
    </row>
    <row r="763" ht="20" customHeight="1" spans="1:16" s="23" customFormat="1" x14ac:dyDescent="0.25">
      <c r="A763" s="24" t="s">
        <v>2334</v>
      </c>
      <c r="B763" s="24" t="s">
        <v>2320</v>
      </c>
      <c r="C763" s="24" t="s">
        <v>2005</v>
      </c>
      <c r="D763" s="24" t="s">
        <v>2320</v>
      </c>
      <c r="E763" s="24" t="s">
        <v>1204</v>
      </c>
      <c r="F763" s="25" t="s">
        <v>85</v>
      </c>
      <c r="G763" s="24" t="s">
        <v>86</v>
      </c>
      <c r="H763" s="24" t="s">
        <v>87</v>
      </c>
      <c r="I763" s="25" t="s">
        <v>80</v>
      </c>
      <c r="J763" s="25" t="s">
        <v>57</v>
      </c>
      <c r="K763" s="25" t="s">
        <v>96</v>
      </c>
      <c r="L763" s="25" t="s">
        <v>1023</v>
      </c>
      <c r="M763" s="25" t="s">
        <v>60</v>
      </c>
      <c r="N763" s="25" t="s">
        <v>61</v>
      </c>
      <c r="O763" s="25" t="s">
        <v>2335</v>
      </c>
      <c r="P763" s="25" t="s">
        <v>63</v>
      </c>
    </row>
    <row r="764" ht="20" customHeight="1" spans="1:16" x14ac:dyDescent="0.25">
      <c r="A764" s="21" t="s">
        <v>583</v>
      </c>
      <c r="B764" s="21" t="s">
        <v>2320</v>
      </c>
      <c r="C764" s="21" t="s">
        <v>145</v>
      </c>
      <c r="D764" s="21" t="s">
        <v>2320</v>
      </c>
      <c r="E764" s="21" t="s">
        <v>1684</v>
      </c>
      <c r="F764" s="22" t="s">
        <v>68</v>
      </c>
      <c r="G764" s="21" t="s">
        <v>978</v>
      </c>
      <c r="H764" s="21" t="s">
        <v>610</v>
      </c>
      <c r="I764" s="22" t="s">
        <v>482</v>
      </c>
      <c r="J764" s="22" t="s">
        <v>57</v>
      </c>
      <c r="K764" s="22" t="s">
        <v>217</v>
      </c>
      <c r="L764" s="22" t="s">
        <v>73</v>
      </c>
      <c r="M764" s="22" t="s">
        <v>420</v>
      </c>
      <c r="N764" s="22" t="s">
        <v>465</v>
      </c>
      <c r="O764" s="22" t="s">
        <v>2336</v>
      </c>
      <c r="P764" s="22" t="s">
        <v>63</v>
      </c>
    </row>
    <row r="765" ht="20" customHeight="1" spans="1:16" s="23" customFormat="1" x14ac:dyDescent="0.25">
      <c r="A765" s="24" t="s">
        <v>583</v>
      </c>
      <c r="B765" s="24" t="s">
        <v>2337</v>
      </c>
      <c r="C765" s="24" t="s">
        <v>491</v>
      </c>
      <c r="D765" s="24" t="s">
        <v>2337</v>
      </c>
      <c r="E765" s="24" t="s">
        <v>164</v>
      </c>
      <c r="F765" s="25" t="s">
        <v>53</v>
      </c>
      <c r="G765" s="24" t="s">
        <v>54</v>
      </c>
      <c r="H765" s="24" t="s">
        <v>1938</v>
      </c>
      <c r="I765" s="25" t="s">
        <v>140</v>
      </c>
      <c r="J765" s="25" t="s">
        <v>57</v>
      </c>
      <c r="K765" s="25" t="s">
        <v>1354</v>
      </c>
      <c r="L765" s="25" t="s">
        <v>2338</v>
      </c>
      <c r="M765" s="25" t="s">
        <v>201</v>
      </c>
      <c r="N765" s="25" t="s">
        <v>974</v>
      </c>
      <c r="O765" s="25" t="s">
        <v>2339</v>
      </c>
      <c r="P765" s="25" t="s">
        <v>63</v>
      </c>
    </row>
    <row r="766" ht="20" customHeight="1" spans="1:16" x14ac:dyDescent="0.25">
      <c r="A766" s="21" t="s">
        <v>593</v>
      </c>
      <c r="B766" s="21" t="s">
        <v>2337</v>
      </c>
      <c r="C766" s="21" t="s">
        <v>1756</v>
      </c>
      <c r="D766" s="21" t="s">
        <v>2337</v>
      </c>
      <c r="E766" s="21" t="s">
        <v>693</v>
      </c>
      <c r="F766" s="22" t="s">
        <v>436</v>
      </c>
      <c r="G766" s="21" t="s">
        <v>437</v>
      </c>
      <c r="H766" s="21" t="s">
        <v>1688</v>
      </c>
      <c r="I766" s="22" t="s">
        <v>160</v>
      </c>
      <c r="J766" s="22" t="s">
        <v>57</v>
      </c>
      <c r="K766" s="22" t="s">
        <v>2340</v>
      </c>
      <c r="L766" s="22" t="s">
        <v>1824</v>
      </c>
      <c r="M766" s="22" t="s">
        <v>160</v>
      </c>
      <c r="N766" s="22" t="s">
        <v>426</v>
      </c>
      <c r="O766" s="22" t="s">
        <v>2341</v>
      </c>
      <c r="P766" s="22" t="s">
        <v>63</v>
      </c>
    </row>
    <row r="767" ht="20" customHeight="1" spans="1:16" s="23" customFormat="1" x14ac:dyDescent="0.25">
      <c r="A767" s="24" t="s">
        <v>593</v>
      </c>
      <c r="B767" s="24" t="s">
        <v>2337</v>
      </c>
      <c r="C767" s="24" t="s">
        <v>1756</v>
      </c>
      <c r="D767" s="24" t="s">
        <v>2337</v>
      </c>
      <c r="E767" s="24" t="s">
        <v>693</v>
      </c>
      <c r="F767" s="25" t="s">
        <v>2342</v>
      </c>
      <c r="G767" s="24" t="s">
        <v>2343</v>
      </c>
      <c r="H767" s="24" t="s">
        <v>610</v>
      </c>
      <c r="I767" s="25" t="s">
        <v>246</v>
      </c>
      <c r="J767" s="25" t="s">
        <v>57</v>
      </c>
      <c r="K767" s="25" t="s">
        <v>2340</v>
      </c>
      <c r="L767" s="25" t="s">
        <v>1538</v>
      </c>
      <c r="M767" s="25" t="s">
        <v>160</v>
      </c>
      <c r="N767" s="25" t="s">
        <v>426</v>
      </c>
      <c r="O767" s="25" t="s">
        <v>2344</v>
      </c>
      <c r="P767" s="25" t="s">
        <v>63</v>
      </c>
    </row>
    <row r="768" ht="20" customHeight="1" spans="1:16" x14ac:dyDescent="0.25">
      <c r="A768" s="21" t="s">
        <v>583</v>
      </c>
      <c r="B768" s="21" t="s">
        <v>2337</v>
      </c>
      <c r="C768" s="21" t="s">
        <v>504</v>
      </c>
      <c r="D768" s="21" t="s">
        <v>2337</v>
      </c>
      <c r="E768" s="21" t="s">
        <v>522</v>
      </c>
      <c r="F768" s="22" t="s">
        <v>1685</v>
      </c>
      <c r="G768" s="21" t="s">
        <v>2345</v>
      </c>
      <c r="H768" s="21" t="s">
        <v>2346</v>
      </c>
      <c r="I768" s="22" t="s">
        <v>259</v>
      </c>
      <c r="J768" s="22" t="s">
        <v>57</v>
      </c>
      <c r="K768" s="22" t="s">
        <v>72</v>
      </c>
      <c r="L768" s="22" t="s">
        <v>73</v>
      </c>
      <c r="M768" s="22" t="s">
        <v>464</v>
      </c>
      <c r="N768" s="22" t="s">
        <v>465</v>
      </c>
      <c r="O768" s="22" t="s">
        <v>2347</v>
      </c>
      <c r="P768" s="22" t="s">
        <v>294</v>
      </c>
    </row>
    <row r="769" ht="20" customHeight="1" spans="1:16" s="23" customFormat="1" x14ac:dyDescent="0.25">
      <c r="A769" s="24" t="s">
        <v>583</v>
      </c>
      <c r="B769" s="24" t="s">
        <v>2337</v>
      </c>
      <c r="C769" s="24" t="s">
        <v>1477</v>
      </c>
      <c r="D769" s="24" t="s">
        <v>2337</v>
      </c>
      <c r="E769" s="24" t="s">
        <v>320</v>
      </c>
      <c r="F769" s="25" t="s">
        <v>53</v>
      </c>
      <c r="G769" s="24" t="s">
        <v>1674</v>
      </c>
      <c r="H769" s="24" t="s">
        <v>55</v>
      </c>
      <c r="I769" s="25" t="s">
        <v>88</v>
      </c>
      <c r="J769" s="25" t="s">
        <v>57</v>
      </c>
      <c r="K769" s="25" t="s">
        <v>72</v>
      </c>
      <c r="L769" s="25" t="s">
        <v>2348</v>
      </c>
      <c r="M769" s="25" t="s">
        <v>464</v>
      </c>
      <c r="N769" s="25" t="s">
        <v>465</v>
      </c>
      <c r="O769" s="25" t="s">
        <v>2349</v>
      </c>
      <c r="P769" s="25" t="s">
        <v>63</v>
      </c>
    </row>
    <row r="770" ht="20" customHeight="1" spans="1:16" x14ac:dyDescent="0.25">
      <c r="A770" s="21" t="s">
        <v>2350</v>
      </c>
      <c r="B770" s="21" t="s">
        <v>2337</v>
      </c>
      <c r="C770" s="21" t="s">
        <v>574</v>
      </c>
      <c r="D770" s="21" t="s">
        <v>1961</v>
      </c>
      <c r="E770" s="21" t="s">
        <v>956</v>
      </c>
      <c r="F770" s="22" t="s">
        <v>68</v>
      </c>
      <c r="G770" s="21" t="s">
        <v>1594</v>
      </c>
      <c r="H770" s="21" t="s">
        <v>1409</v>
      </c>
      <c r="I770" s="22" t="s">
        <v>80</v>
      </c>
      <c r="J770" s="22" t="s">
        <v>57</v>
      </c>
      <c r="K770" s="22" t="s">
        <v>81</v>
      </c>
      <c r="L770" s="22" t="s">
        <v>513</v>
      </c>
      <c r="M770" s="22" t="s">
        <v>60</v>
      </c>
      <c r="N770" s="22" t="s">
        <v>61</v>
      </c>
      <c r="O770" s="22" t="s">
        <v>2351</v>
      </c>
      <c r="P770" s="22" t="s">
        <v>63</v>
      </c>
    </row>
    <row r="771" ht="20" customHeight="1" spans="1:16" s="23" customFormat="1" x14ac:dyDescent="0.25">
      <c r="A771" s="24" t="s">
        <v>583</v>
      </c>
      <c r="B771" s="24" t="s">
        <v>2337</v>
      </c>
      <c r="C771" s="24" t="s">
        <v>656</v>
      </c>
      <c r="D771" s="24" t="s">
        <v>2352</v>
      </c>
      <c r="E771" s="24" t="s">
        <v>2353</v>
      </c>
      <c r="F771" s="25" t="s">
        <v>68</v>
      </c>
      <c r="G771" s="24" t="s">
        <v>1725</v>
      </c>
      <c r="H771" s="24" t="s">
        <v>988</v>
      </c>
      <c r="I771" s="25" t="s">
        <v>331</v>
      </c>
      <c r="J771" s="25" t="s">
        <v>57</v>
      </c>
      <c r="K771" s="25" t="s">
        <v>227</v>
      </c>
      <c r="L771" s="25" t="s">
        <v>73</v>
      </c>
      <c r="M771" s="25" t="s">
        <v>616</v>
      </c>
      <c r="N771" s="25" t="s">
        <v>465</v>
      </c>
      <c r="O771" s="25" t="s">
        <v>2354</v>
      </c>
      <c r="P771" s="25" t="s">
        <v>63</v>
      </c>
    </row>
    <row r="772" ht="20" customHeight="1" spans="1:16" x14ac:dyDescent="0.25">
      <c r="A772" s="21" t="s">
        <v>583</v>
      </c>
      <c r="B772" s="21" t="s">
        <v>2355</v>
      </c>
      <c r="C772" s="21" t="s">
        <v>865</v>
      </c>
      <c r="D772" s="21" t="s">
        <v>2355</v>
      </c>
      <c r="E772" s="21" t="s">
        <v>84</v>
      </c>
      <c r="F772" s="22" t="s">
        <v>1794</v>
      </c>
      <c r="G772" s="21" t="s">
        <v>1769</v>
      </c>
      <c r="H772" s="21" t="s">
        <v>87</v>
      </c>
      <c r="I772" s="22" t="s">
        <v>534</v>
      </c>
      <c r="J772" s="22" t="s">
        <v>57</v>
      </c>
      <c r="K772" s="22" t="s">
        <v>817</v>
      </c>
      <c r="L772" s="22" t="s">
        <v>2356</v>
      </c>
      <c r="M772" s="22" t="s">
        <v>464</v>
      </c>
      <c r="N772" s="22" t="s">
        <v>465</v>
      </c>
      <c r="O772" s="22" t="s">
        <v>2357</v>
      </c>
      <c r="P772" s="22" t="s">
        <v>63</v>
      </c>
    </row>
    <row r="773" ht="20" customHeight="1" spans="1:16" s="23" customFormat="1" x14ac:dyDescent="0.25">
      <c r="A773" s="24" t="s">
        <v>593</v>
      </c>
      <c r="B773" s="24" t="s">
        <v>2358</v>
      </c>
      <c r="C773" s="24" t="s">
        <v>855</v>
      </c>
      <c r="D773" s="24" t="s">
        <v>2358</v>
      </c>
      <c r="E773" s="24" t="s">
        <v>1040</v>
      </c>
      <c r="F773" s="25" t="s">
        <v>2359</v>
      </c>
      <c r="G773" s="24" t="s">
        <v>138</v>
      </c>
      <c r="H773" s="24" t="s">
        <v>2360</v>
      </c>
      <c r="I773" s="25" t="s">
        <v>88</v>
      </c>
      <c r="J773" s="25" t="s">
        <v>57</v>
      </c>
      <c r="K773" s="25" t="s">
        <v>133</v>
      </c>
      <c r="L773" s="25" t="s">
        <v>2361</v>
      </c>
      <c r="M773" s="25" t="s">
        <v>160</v>
      </c>
      <c r="N773" s="25" t="s">
        <v>426</v>
      </c>
      <c r="O773" s="25" t="s">
        <v>2362</v>
      </c>
      <c r="P773" s="25" t="s">
        <v>63</v>
      </c>
    </row>
    <row r="774" ht="20" customHeight="1" spans="1:16" x14ac:dyDescent="0.25">
      <c r="A774" s="21" t="s">
        <v>583</v>
      </c>
      <c r="B774" s="21" t="s">
        <v>2358</v>
      </c>
      <c r="C774" s="21" t="s">
        <v>798</v>
      </c>
      <c r="D774" s="21" t="s">
        <v>2358</v>
      </c>
      <c r="E774" s="21" t="s">
        <v>520</v>
      </c>
      <c r="F774" s="22" t="s">
        <v>68</v>
      </c>
      <c r="G774" s="21" t="s">
        <v>1725</v>
      </c>
      <c r="H774" s="21" t="s">
        <v>87</v>
      </c>
      <c r="I774" s="22" t="s">
        <v>118</v>
      </c>
      <c r="J774" s="22" t="s">
        <v>57</v>
      </c>
      <c r="K774" s="22" t="s">
        <v>260</v>
      </c>
      <c r="L774" s="22" t="s">
        <v>2338</v>
      </c>
      <c r="M774" s="22" t="s">
        <v>420</v>
      </c>
      <c r="N774" s="22" t="s">
        <v>465</v>
      </c>
      <c r="O774" s="22" t="s">
        <v>2363</v>
      </c>
      <c r="P774" s="22" t="s">
        <v>63</v>
      </c>
    </row>
    <row r="775" ht="20" customHeight="1" spans="1:16" s="23" customFormat="1" x14ac:dyDescent="0.25">
      <c r="A775" s="24" t="s">
        <v>583</v>
      </c>
      <c r="B775" s="24" t="s">
        <v>2364</v>
      </c>
      <c r="C775" s="24" t="s">
        <v>2365</v>
      </c>
      <c r="D775" s="24" t="s">
        <v>2364</v>
      </c>
      <c r="E775" s="24" t="s">
        <v>2366</v>
      </c>
      <c r="F775" s="25" t="s">
        <v>53</v>
      </c>
      <c r="G775" s="24" t="s">
        <v>54</v>
      </c>
      <c r="H775" s="24" t="s">
        <v>1938</v>
      </c>
      <c r="I775" s="25" t="s">
        <v>691</v>
      </c>
      <c r="J775" s="25" t="s">
        <v>57</v>
      </c>
      <c r="K775" s="25" t="s">
        <v>1994</v>
      </c>
      <c r="L775" s="25" t="s">
        <v>2367</v>
      </c>
      <c r="M775" s="25" t="s">
        <v>201</v>
      </c>
      <c r="N775" s="25" t="s">
        <v>974</v>
      </c>
      <c r="O775" s="25" t="s">
        <v>2368</v>
      </c>
      <c r="P775" s="25" t="s">
        <v>63</v>
      </c>
    </row>
    <row r="776" ht="20" customHeight="1" spans="1:16" x14ac:dyDescent="0.25">
      <c r="A776" s="21" t="s">
        <v>583</v>
      </c>
      <c r="B776" s="21" t="s">
        <v>2364</v>
      </c>
      <c r="C776" s="21" t="s">
        <v>2325</v>
      </c>
      <c r="D776" s="21" t="s">
        <v>2364</v>
      </c>
      <c r="E776" s="21" t="s">
        <v>2366</v>
      </c>
      <c r="F776" s="22" t="s">
        <v>68</v>
      </c>
      <c r="G776" s="21" t="s">
        <v>1725</v>
      </c>
      <c r="H776" s="21" t="s">
        <v>733</v>
      </c>
      <c r="I776" s="22" t="s">
        <v>259</v>
      </c>
      <c r="J776" s="22" t="s">
        <v>57</v>
      </c>
      <c r="K776" s="22" t="s">
        <v>1994</v>
      </c>
      <c r="L776" s="22" t="s">
        <v>1694</v>
      </c>
      <c r="M776" s="22" t="s">
        <v>63</v>
      </c>
      <c r="N776" s="22" t="s">
        <v>63</v>
      </c>
      <c r="O776" s="22" t="s">
        <v>63</v>
      </c>
      <c r="P776" s="22" t="s">
        <v>63</v>
      </c>
    </row>
    <row r="777" ht="20" customHeight="1" spans="1:16" s="23" customFormat="1" x14ac:dyDescent="0.25">
      <c r="A777" s="24" t="s">
        <v>583</v>
      </c>
      <c r="B777" s="24" t="s">
        <v>2364</v>
      </c>
      <c r="C777" s="24" t="s">
        <v>2369</v>
      </c>
      <c r="D777" s="24" t="s">
        <v>2364</v>
      </c>
      <c r="E777" s="24" t="s">
        <v>1329</v>
      </c>
      <c r="F777" s="25" t="s">
        <v>53</v>
      </c>
      <c r="G777" s="24" t="s">
        <v>54</v>
      </c>
      <c r="H777" s="24" t="s">
        <v>1938</v>
      </c>
      <c r="I777" s="25" t="s">
        <v>1694</v>
      </c>
      <c r="J777" s="25" t="s">
        <v>57</v>
      </c>
      <c r="K777" s="25" t="s">
        <v>1354</v>
      </c>
      <c r="L777" s="25" t="s">
        <v>73</v>
      </c>
      <c r="M777" s="25" t="s">
        <v>160</v>
      </c>
      <c r="N777" s="25" t="s">
        <v>426</v>
      </c>
      <c r="O777" s="25" t="s">
        <v>2370</v>
      </c>
      <c r="P777" s="25" t="s">
        <v>63</v>
      </c>
    </row>
    <row r="778" ht="20" customHeight="1" spans="1:16" x14ac:dyDescent="0.25">
      <c r="A778" s="21" t="s">
        <v>583</v>
      </c>
      <c r="B778" s="21" t="s">
        <v>2364</v>
      </c>
      <c r="C778" s="21" t="s">
        <v>1331</v>
      </c>
      <c r="D778" s="21" t="s">
        <v>2364</v>
      </c>
      <c r="E778" s="21" t="s">
        <v>2371</v>
      </c>
      <c r="F778" s="22" t="s">
        <v>2205</v>
      </c>
      <c r="G778" s="21" t="s">
        <v>2246</v>
      </c>
      <c r="H778" s="21" t="s">
        <v>2036</v>
      </c>
      <c r="I778" s="22" t="s">
        <v>209</v>
      </c>
      <c r="J778" s="22" t="s">
        <v>57</v>
      </c>
      <c r="K778" s="22" t="s">
        <v>966</v>
      </c>
      <c r="L778" s="22" t="s">
        <v>73</v>
      </c>
      <c r="M778" s="22" t="s">
        <v>868</v>
      </c>
      <c r="N778" s="22" t="s">
        <v>465</v>
      </c>
      <c r="O778" s="22" t="s">
        <v>2372</v>
      </c>
      <c r="P778" s="22" t="s">
        <v>63</v>
      </c>
    </row>
    <row r="779" ht="20" customHeight="1" spans="1:16" s="23" customFormat="1" x14ac:dyDescent="0.25">
      <c r="A779" s="24" t="s">
        <v>583</v>
      </c>
      <c r="B779" s="24" t="s">
        <v>2364</v>
      </c>
      <c r="C779" s="24" t="s">
        <v>1331</v>
      </c>
      <c r="D779" s="24" t="s">
        <v>1970</v>
      </c>
      <c r="E779" s="24" t="s">
        <v>1369</v>
      </c>
      <c r="F779" s="25" t="s">
        <v>923</v>
      </c>
      <c r="G779" s="24" t="s">
        <v>1674</v>
      </c>
      <c r="H779" s="24" t="s">
        <v>2036</v>
      </c>
      <c r="I779" s="25" t="s">
        <v>100</v>
      </c>
      <c r="J779" s="25" t="s">
        <v>57</v>
      </c>
      <c r="K779" s="25" t="s">
        <v>247</v>
      </c>
      <c r="L779" s="25" t="s">
        <v>73</v>
      </c>
      <c r="M779" s="25" t="s">
        <v>868</v>
      </c>
      <c r="N779" s="25" t="s">
        <v>465</v>
      </c>
      <c r="O779" s="25" t="s">
        <v>2373</v>
      </c>
      <c r="P779" s="25" t="s">
        <v>63</v>
      </c>
    </row>
    <row r="780" ht="20" customHeight="1" spans="1:16" x14ac:dyDescent="0.25">
      <c r="A780" s="21" t="s">
        <v>2036</v>
      </c>
      <c r="B780" s="21" t="s">
        <v>2364</v>
      </c>
      <c r="C780" s="21" t="s">
        <v>1073</v>
      </c>
      <c r="D780" s="21" t="s">
        <v>2364</v>
      </c>
      <c r="E780" s="21" t="s">
        <v>1800</v>
      </c>
      <c r="F780" s="22" t="s">
        <v>85</v>
      </c>
      <c r="G780" s="21" t="s">
        <v>86</v>
      </c>
      <c r="H780" s="21" t="s">
        <v>87</v>
      </c>
      <c r="I780" s="22" t="s">
        <v>100</v>
      </c>
      <c r="J780" s="22" t="s">
        <v>57</v>
      </c>
      <c r="K780" s="22" t="s">
        <v>1994</v>
      </c>
      <c r="L780" s="22" t="s">
        <v>73</v>
      </c>
      <c r="M780" s="22" t="s">
        <v>100</v>
      </c>
      <c r="N780" s="22" t="s">
        <v>2374</v>
      </c>
      <c r="O780" s="22" t="s">
        <v>2375</v>
      </c>
      <c r="P780" s="22" t="s">
        <v>63</v>
      </c>
    </row>
    <row r="781" ht="20" customHeight="1" spans="1:16" s="23" customFormat="1" x14ac:dyDescent="0.25">
      <c r="A781" s="24" t="s">
        <v>583</v>
      </c>
      <c r="B781" s="24" t="s">
        <v>2364</v>
      </c>
      <c r="C781" s="24" t="s">
        <v>84</v>
      </c>
      <c r="D781" s="24" t="s">
        <v>2364</v>
      </c>
      <c r="E781" s="24" t="s">
        <v>1059</v>
      </c>
      <c r="F781" s="25" t="s">
        <v>53</v>
      </c>
      <c r="G781" s="24" t="s">
        <v>54</v>
      </c>
      <c r="H781" s="24" t="s">
        <v>1938</v>
      </c>
      <c r="I781" s="25" t="s">
        <v>1205</v>
      </c>
      <c r="J781" s="25" t="s">
        <v>57</v>
      </c>
      <c r="K781" s="25" t="s">
        <v>1994</v>
      </c>
      <c r="L781" s="25" t="s">
        <v>73</v>
      </c>
      <c r="M781" s="25" t="s">
        <v>201</v>
      </c>
      <c r="N781" s="25" t="s">
        <v>974</v>
      </c>
      <c r="O781" s="25" t="s">
        <v>2376</v>
      </c>
      <c r="P781" s="25" t="s">
        <v>63</v>
      </c>
    </row>
    <row r="782" ht="20" customHeight="1" spans="1:16" x14ac:dyDescent="0.25">
      <c r="A782" s="21" t="s">
        <v>583</v>
      </c>
      <c r="B782" s="21" t="s">
        <v>2377</v>
      </c>
      <c r="C782" s="21" t="s">
        <v>682</v>
      </c>
      <c r="D782" s="21" t="s">
        <v>2377</v>
      </c>
      <c r="E782" s="21" t="s">
        <v>793</v>
      </c>
      <c r="F782" s="22" t="s">
        <v>923</v>
      </c>
      <c r="G782" s="21" t="s">
        <v>1773</v>
      </c>
      <c r="H782" s="21" t="s">
        <v>610</v>
      </c>
      <c r="I782" s="22" t="s">
        <v>1205</v>
      </c>
      <c r="J782" s="22" t="s">
        <v>57</v>
      </c>
      <c r="K782" s="22" t="s">
        <v>1887</v>
      </c>
      <c r="L782" s="22" t="s">
        <v>73</v>
      </c>
      <c r="M782" s="22" t="s">
        <v>420</v>
      </c>
      <c r="N782" s="22" t="s">
        <v>465</v>
      </c>
      <c r="O782" s="22" t="s">
        <v>2378</v>
      </c>
      <c r="P782" s="22" t="s">
        <v>63</v>
      </c>
    </row>
    <row r="783" ht="20" customHeight="1" spans="1:16" s="23" customFormat="1" x14ac:dyDescent="0.25">
      <c r="A783" s="24" t="s">
        <v>583</v>
      </c>
      <c r="B783" s="24" t="s">
        <v>2377</v>
      </c>
      <c r="C783" s="24" t="s">
        <v>121</v>
      </c>
      <c r="D783" s="24" t="s">
        <v>2377</v>
      </c>
      <c r="E783" s="24" t="s">
        <v>2379</v>
      </c>
      <c r="F783" s="25" t="s">
        <v>68</v>
      </c>
      <c r="G783" s="24" t="s">
        <v>1725</v>
      </c>
      <c r="H783" s="24" t="s">
        <v>87</v>
      </c>
      <c r="I783" s="25" t="s">
        <v>118</v>
      </c>
      <c r="J783" s="25" t="s">
        <v>57</v>
      </c>
      <c r="K783" s="25" t="s">
        <v>260</v>
      </c>
      <c r="L783" s="25" t="s">
        <v>353</v>
      </c>
      <c r="M783" s="25" t="s">
        <v>235</v>
      </c>
      <c r="N783" s="25" t="s">
        <v>389</v>
      </c>
      <c r="O783" s="25" t="s">
        <v>2380</v>
      </c>
      <c r="P783" s="25" t="s">
        <v>63</v>
      </c>
    </row>
    <row r="784" ht="20" customHeight="1" spans="1:16" x14ac:dyDescent="0.25">
      <c r="A784" s="21" t="s">
        <v>583</v>
      </c>
      <c r="B784" s="21" t="s">
        <v>2377</v>
      </c>
      <c r="C784" s="21" t="s">
        <v>766</v>
      </c>
      <c r="D784" s="21" t="s">
        <v>2377</v>
      </c>
      <c r="E784" s="21" t="s">
        <v>977</v>
      </c>
      <c r="F784" s="22" t="s">
        <v>1847</v>
      </c>
      <c r="G784" s="21" t="s">
        <v>270</v>
      </c>
      <c r="H784" s="21" t="s">
        <v>55</v>
      </c>
      <c r="I784" s="22" t="s">
        <v>118</v>
      </c>
      <c r="J784" s="22" t="s">
        <v>57</v>
      </c>
      <c r="K784" s="22" t="s">
        <v>1757</v>
      </c>
      <c r="L784" s="22" t="s">
        <v>73</v>
      </c>
      <c r="M784" s="22" t="s">
        <v>420</v>
      </c>
      <c r="N784" s="22" t="s">
        <v>465</v>
      </c>
      <c r="O784" s="22" t="s">
        <v>2381</v>
      </c>
      <c r="P784" s="22" t="s">
        <v>63</v>
      </c>
    </row>
    <row r="785" ht="20" customHeight="1" spans="1:16" s="23" customFormat="1" x14ac:dyDescent="0.25">
      <c r="A785" s="24" t="s">
        <v>583</v>
      </c>
      <c r="B785" s="24" t="s">
        <v>2377</v>
      </c>
      <c r="C785" s="24" t="s">
        <v>1284</v>
      </c>
      <c r="D785" s="24" t="s">
        <v>2377</v>
      </c>
      <c r="E785" s="24" t="s">
        <v>2382</v>
      </c>
      <c r="F785" s="25" t="s">
        <v>53</v>
      </c>
      <c r="G785" s="24" t="s">
        <v>54</v>
      </c>
      <c r="H785" s="24" t="s">
        <v>1938</v>
      </c>
      <c r="I785" s="25" t="s">
        <v>153</v>
      </c>
      <c r="J785" s="25" t="s">
        <v>57</v>
      </c>
      <c r="K785" s="25" t="s">
        <v>2383</v>
      </c>
      <c r="L785" s="25" t="s">
        <v>2384</v>
      </c>
      <c r="M785" s="25" t="s">
        <v>60</v>
      </c>
      <c r="N785" s="25" t="s">
        <v>61</v>
      </c>
      <c r="O785" s="25" t="s">
        <v>2385</v>
      </c>
      <c r="P785" s="25" t="s">
        <v>63</v>
      </c>
    </row>
    <row r="786" ht="20" customHeight="1" spans="1:16" x14ac:dyDescent="0.25">
      <c r="A786" s="21" t="s">
        <v>583</v>
      </c>
      <c r="B786" s="21" t="s">
        <v>2386</v>
      </c>
      <c r="C786" s="21" t="s">
        <v>164</v>
      </c>
      <c r="D786" s="21" t="s">
        <v>2386</v>
      </c>
      <c r="E786" s="21" t="s">
        <v>808</v>
      </c>
      <c r="F786" s="22" t="s">
        <v>436</v>
      </c>
      <c r="G786" s="21" t="s">
        <v>437</v>
      </c>
      <c r="H786" s="21" t="s">
        <v>1688</v>
      </c>
      <c r="I786" s="22" t="s">
        <v>186</v>
      </c>
      <c r="J786" s="22" t="s">
        <v>57</v>
      </c>
      <c r="K786" s="22" t="s">
        <v>2387</v>
      </c>
      <c r="L786" s="22" t="s">
        <v>73</v>
      </c>
      <c r="M786" s="22" t="s">
        <v>201</v>
      </c>
      <c r="N786" s="22" t="s">
        <v>974</v>
      </c>
      <c r="O786" s="22" t="s">
        <v>2388</v>
      </c>
      <c r="P786" s="22" t="s">
        <v>63</v>
      </c>
    </row>
    <row r="787" ht="20" customHeight="1" spans="1:16" s="23" customFormat="1" x14ac:dyDescent="0.25">
      <c r="A787" s="24" t="s">
        <v>2389</v>
      </c>
      <c r="B787" s="24" t="s">
        <v>2386</v>
      </c>
      <c r="C787" s="24" t="s">
        <v>739</v>
      </c>
      <c r="D787" s="24" t="s">
        <v>2386</v>
      </c>
      <c r="E787" s="24" t="s">
        <v>574</v>
      </c>
      <c r="F787" s="25" t="s">
        <v>53</v>
      </c>
      <c r="G787" s="24" t="s">
        <v>54</v>
      </c>
      <c r="H787" s="24" t="s">
        <v>1938</v>
      </c>
      <c r="I787" s="25" t="s">
        <v>80</v>
      </c>
      <c r="J787" s="25" t="s">
        <v>57</v>
      </c>
      <c r="K787" s="25" t="s">
        <v>81</v>
      </c>
      <c r="L787" s="25" t="s">
        <v>73</v>
      </c>
      <c r="M787" s="25" t="s">
        <v>60</v>
      </c>
      <c r="N787" s="25" t="s">
        <v>61</v>
      </c>
      <c r="O787" s="25" t="s">
        <v>2390</v>
      </c>
      <c r="P787" s="25" t="s">
        <v>63</v>
      </c>
    </row>
    <row r="788" ht="20" customHeight="1" spans="1:16" x14ac:dyDescent="0.25">
      <c r="A788" s="21" t="s">
        <v>2389</v>
      </c>
      <c r="B788" s="21" t="s">
        <v>2386</v>
      </c>
      <c r="C788" s="21" t="s">
        <v>2391</v>
      </c>
      <c r="D788" s="21" t="s">
        <v>2386</v>
      </c>
      <c r="E788" s="21" t="s">
        <v>67</v>
      </c>
      <c r="F788" s="22" t="s">
        <v>68</v>
      </c>
      <c r="G788" s="21" t="s">
        <v>1725</v>
      </c>
      <c r="H788" s="21" t="s">
        <v>139</v>
      </c>
      <c r="I788" s="22" t="s">
        <v>233</v>
      </c>
      <c r="J788" s="22" t="s">
        <v>57</v>
      </c>
      <c r="K788" s="22" t="s">
        <v>81</v>
      </c>
      <c r="L788" s="22" t="s">
        <v>1201</v>
      </c>
      <c r="M788" s="22" t="s">
        <v>201</v>
      </c>
      <c r="N788" s="22" t="s">
        <v>974</v>
      </c>
      <c r="O788" s="22" t="s">
        <v>2392</v>
      </c>
      <c r="P788" s="22" t="s">
        <v>63</v>
      </c>
    </row>
    <row r="789" ht="20" customHeight="1" spans="1:16" s="23" customFormat="1" x14ac:dyDescent="0.25">
      <c r="A789" s="24" t="s">
        <v>2389</v>
      </c>
      <c r="B789" s="24" t="s">
        <v>2386</v>
      </c>
      <c r="C789" s="24" t="s">
        <v>1317</v>
      </c>
      <c r="D789" s="24" t="s">
        <v>2386</v>
      </c>
      <c r="E789" s="24" t="s">
        <v>320</v>
      </c>
      <c r="F789" s="25" t="s">
        <v>137</v>
      </c>
      <c r="G789" s="24" t="s">
        <v>138</v>
      </c>
      <c r="H789" s="24" t="s">
        <v>87</v>
      </c>
      <c r="I789" s="25" t="s">
        <v>113</v>
      </c>
      <c r="J789" s="25" t="s">
        <v>57</v>
      </c>
      <c r="K789" s="25" t="s">
        <v>147</v>
      </c>
      <c r="L789" s="25" t="s">
        <v>2393</v>
      </c>
      <c r="M789" s="25" t="s">
        <v>60</v>
      </c>
      <c r="N789" s="25" t="s">
        <v>61</v>
      </c>
      <c r="O789" s="25" t="s">
        <v>2394</v>
      </c>
      <c r="P789" s="25" t="s">
        <v>63</v>
      </c>
    </row>
    <row r="790" ht="20" customHeight="1" spans="1:16" x14ac:dyDescent="0.25">
      <c r="A790" s="21" t="s">
        <v>2395</v>
      </c>
      <c r="B790" s="21" t="s">
        <v>2386</v>
      </c>
      <c r="C790" s="21" t="s">
        <v>1317</v>
      </c>
      <c r="D790" s="21" t="s">
        <v>2386</v>
      </c>
      <c r="E790" s="21" t="s">
        <v>825</v>
      </c>
      <c r="F790" s="22" t="s">
        <v>85</v>
      </c>
      <c r="G790" s="21" t="s">
        <v>86</v>
      </c>
      <c r="H790" s="21" t="s">
        <v>87</v>
      </c>
      <c r="I790" s="22" t="s">
        <v>100</v>
      </c>
      <c r="J790" s="22" t="s">
        <v>57</v>
      </c>
      <c r="K790" s="22" t="s">
        <v>247</v>
      </c>
      <c r="L790" s="22" t="s">
        <v>73</v>
      </c>
      <c r="M790" s="22" t="s">
        <v>100</v>
      </c>
      <c r="N790" s="22" t="s">
        <v>2374</v>
      </c>
      <c r="O790" s="22" t="s">
        <v>2396</v>
      </c>
      <c r="P790" s="22" t="s">
        <v>63</v>
      </c>
    </row>
    <row r="791" ht="20" customHeight="1" spans="1:16" s="23" customFormat="1" x14ac:dyDescent="0.25">
      <c r="A791" s="24" t="s">
        <v>2061</v>
      </c>
      <c r="B791" s="24" t="s">
        <v>2386</v>
      </c>
      <c r="C791" s="24" t="s">
        <v>1004</v>
      </c>
      <c r="D791" s="24" t="s">
        <v>2386</v>
      </c>
      <c r="E791" s="24" t="s">
        <v>1380</v>
      </c>
      <c r="F791" s="25" t="s">
        <v>68</v>
      </c>
      <c r="G791" s="24" t="s">
        <v>1787</v>
      </c>
      <c r="H791" s="24" t="s">
        <v>2020</v>
      </c>
      <c r="I791" s="25" t="s">
        <v>2397</v>
      </c>
      <c r="J791" s="25" t="s">
        <v>57</v>
      </c>
      <c r="K791" s="25" t="s">
        <v>2398</v>
      </c>
      <c r="L791" s="25" t="s">
        <v>2399</v>
      </c>
      <c r="M791" s="25" t="s">
        <v>201</v>
      </c>
      <c r="N791" s="25" t="s">
        <v>974</v>
      </c>
      <c r="O791" s="25" t="s">
        <v>2400</v>
      </c>
      <c r="P791" s="25" t="s">
        <v>63</v>
      </c>
    </row>
    <row r="792" ht="20" customHeight="1" spans="1:16" x14ac:dyDescent="0.25">
      <c r="A792" s="21" t="s">
        <v>583</v>
      </c>
      <c r="B792" s="21" t="s">
        <v>2401</v>
      </c>
      <c r="C792" s="21" t="s">
        <v>2402</v>
      </c>
      <c r="D792" s="21" t="s">
        <v>2401</v>
      </c>
      <c r="E792" s="21" t="s">
        <v>2403</v>
      </c>
      <c r="F792" s="22" t="s">
        <v>53</v>
      </c>
      <c r="G792" s="21" t="s">
        <v>1674</v>
      </c>
      <c r="H792" s="21" t="s">
        <v>610</v>
      </c>
      <c r="I792" s="22" t="s">
        <v>331</v>
      </c>
      <c r="J792" s="22" t="s">
        <v>57</v>
      </c>
      <c r="K792" s="22" t="s">
        <v>1102</v>
      </c>
      <c r="L792" s="22" t="s">
        <v>73</v>
      </c>
      <c r="M792" s="22" t="s">
        <v>616</v>
      </c>
      <c r="N792" s="22" t="s">
        <v>465</v>
      </c>
      <c r="O792" s="22" t="s">
        <v>2404</v>
      </c>
      <c r="P792" s="22" t="s">
        <v>63</v>
      </c>
    </row>
    <row r="793" ht="20" customHeight="1" spans="1:16" s="23" customFormat="1" x14ac:dyDescent="0.25">
      <c r="A793" s="24" t="s">
        <v>583</v>
      </c>
      <c r="B793" s="24" t="s">
        <v>2401</v>
      </c>
      <c r="C793" s="24" t="s">
        <v>396</v>
      </c>
      <c r="D793" s="24" t="s">
        <v>2401</v>
      </c>
      <c r="E793" s="24" t="s">
        <v>2405</v>
      </c>
      <c r="F793" s="25" t="s">
        <v>1847</v>
      </c>
      <c r="G793" s="24" t="s">
        <v>270</v>
      </c>
      <c r="H793" s="24" t="s">
        <v>55</v>
      </c>
      <c r="I793" s="25" t="s">
        <v>80</v>
      </c>
      <c r="J793" s="25" t="s">
        <v>57</v>
      </c>
      <c r="K793" s="25" t="s">
        <v>596</v>
      </c>
      <c r="L793" s="25" t="s">
        <v>2406</v>
      </c>
      <c r="M793" s="25" t="s">
        <v>235</v>
      </c>
      <c r="N793" s="25" t="s">
        <v>389</v>
      </c>
      <c r="O793" s="25" t="s">
        <v>2407</v>
      </c>
      <c r="P793" s="25" t="s">
        <v>63</v>
      </c>
    </row>
    <row r="794" ht="20" customHeight="1" spans="1:16" x14ac:dyDescent="0.25">
      <c r="A794" s="21" t="s">
        <v>2408</v>
      </c>
      <c r="B794" s="21" t="s">
        <v>2401</v>
      </c>
      <c r="C794" s="21" t="s">
        <v>2409</v>
      </c>
      <c r="D794" s="21" t="s">
        <v>2401</v>
      </c>
      <c r="E794" s="21" t="s">
        <v>1073</v>
      </c>
      <c r="F794" s="22" t="s">
        <v>53</v>
      </c>
      <c r="G794" s="21" t="s">
        <v>54</v>
      </c>
      <c r="H794" s="21" t="s">
        <v>1938</v>
      </c>
      <c r="I794" s="22" t="s">
        <v>80</v>
      </c>
      <c r="J794" s="22" t="s">
        <v>57</v>
      </c>
      <c r="K794" s="22" t="s">
        <v>591</v>
      </c>
      <c r="L794" s="22" t="s">
        <v>73</v>
      </c>
      <c r="M794" s="22" t="s">
        <v>60</v>
      </c>
      <c r="N794" s="22" t="s">
        <v>61</v>
      </c>
      <c r="O794" s="22" t="s">
        <v>2410</v>
      </c>
      <c r="P794" s="22" t="s">
        <v>63</v>
      </c>
    </row>
    <row r="795" ht="20" customHeight="1" spans="1:16" s="23" customFormat="1" x14ac:dyDescent="0.25">
      <c r="A795" s="24" t="s">
        <v>593</v>
      </c>
      <c r="B795" s="24" t="s">
        <v>2401</v>
      </c>
      <c r="C795" s="24" t="s">
        <v>2411</v>
      </c>
      <c r="D795" s="24" t="s">
        <v>2401</v>
      </c>
      <c r="E795" s="24" t="s">
        <v>1971</v>
      </c>
      <c r="F795" s="25" t="s">
        <v>53</v>
      </c>
      <c r="G795" s="24" t="s">
        <v>1674</v>
      </c>
      <c r="H795" s="24" t="s">
        <v>610</v>
      </c>
      <c r="I795" s="25" t="s">
        <v>160</v>
      </c>
      <c r="J795" s="25" t="s">
        <v>57</v>
      </c>
      <c r="K795" s="25" t="s">
        <v>772</v>
      </c>
      <c r="L795" s="25" t="s">
        <v>73</v>
      </c>
      <c r="M795" s="25" t="s">
        <v>160</v>
      </c>
      <c r="N795" s="25" t="s">
        <v>426</v>
      </c>
      <c r="O795" s="25" t="s">
        <v>2412</v>
      </c>
      <c r="P795" s="25" t="s">
        <v>63</v>
      </c>
    </row>
    <row r="796" ht="20" customHeight="1" spans="1:16" x14ac:dyDescent="0.25">
      <c r="A796" s="21" t="s">
        <v>583</v>
      </c>
      <c r="B796" s="21" t="s">
        <v>2401</v>
      </c>
      <c r="C796" s="21" t="s">
        <v>2413</v>
      </c>
      <c r="D796" s="21" t="s">
        <v>2401</v>
      </c>
      <c r="E796" s="21" t="s">
        <v>801</v>
      </c>
      <c r="F796" s="22" t="s">
        <v>68</v>
      </c>
      <c r="G796" s="21" t="s">
        <v>1769</v>
      </c>
      <c r="H796" s="21" t="s">
        <v>2020</v>
      </c>
      <c r="I796" s="22" t="s">
        <v>113</v>
      </c>
      <c r="J796" s="22" t="s">
        <v>57</v>
      </c>
      <c r="K796" s="22" t="s">
        <v>101</v>
      </c>
      <c r="L796" s="22" t="s">
        <v>2139</v>
      </c>
      <c r="M796" s="22" t="s">
        <v>235</v>
      </c>
      <c r="N796" s="22" t="s">
        <v>389</v>
      </c>
      <c r="O796" s="22" t="s">
        <v>2414</v>
      </c>
      <c r="P796" s="22" t="s">
        <v>63</v>
      </c>
    </row>
    <row r="797" ht="20" customHeight="1" spans="1:16" s="23" customFormat="1" x14ac:dyDescent="0.25">
      <c r="A797" s="24" t="s">
        <v>583</v>
      </c>
      <c r="B797" s="24" t="s">
        <v>2415</v>
      </c>
      <c r="C797" s="24" t="s">
        <v>164</v>
      </c>
      <c r="D797" s="24" t="s">
        <v>2415</v>
      </c>
      <c r="E797" s="24" t="s">
        <v>1013</v>
      </c>
      <c r="F797" s="25" t="s">
        <v>53</v>
      </c>
      <c r="G797" s="24" t="s">
        <v>1674</v>
      </c>
      <c r="H797" s="24" t="s">
        <v>610</v>
      </c>
      <c r="I797" s="25" t="s">
        <v>866</v>
      </c>
      <c r="J797" s="25" t="s">
        <v>57</v>
      </c>
      <c r="K797" s="25" t="s">
        <v>2416</v>
      </c>
      <c r="L797" s="25" t="s">
        <v>73</v>
      </c>
      <c r="M797" s="25" t="s">
        <v>60</v>
      </c>
      <c r="N797" s="25" t="s">
        <v>61</v>
      </c>
      <c r="O797" s="25" t="s">
        <v>2417</v>
      </c>
      <c r="P797" s="25" t="s">
        <v>63</v>
      </c>
    </row>
    <row r="798" ht="20" customHeight="1" spans="1:16" x14ac:dyDescent="0.25">
      <c r="A798" s="21" t="s">
        <v>2108</v>
      </c>
      <c r="B798" s="21" t="s">
        <v>2415</v>
      </c>
      <c r="C798" s="21" t="s">
        <v>135</v>
      </c>
      <c r="D798" s="21" t="s">
        <v>2415</v>
      </c>
      <c r="E798" s="21" t="s">
        <v>1283</v>
      </c>
      <c r="F798" s="22" t="s">
        <v>2418</v>
      </c>
      <c r="G798" s="21" t="s">
        <v>138</v>
      </c>
      <c r="H798" s="21" t="s">
        <v>988</v>
      </c>
      <c r="I798" s="22" t="s">
        <v>181</v>
      </c>
      <c r="J798" s="22" t="s">
        <v>57</v>
      </c>
      <c r="K798" s="22" t="s">
        <v>2419</v>
      </c>
      <c r="L798" s="22" t="s">
        <v>73</v>
      </c>
      <c r="M798" s="22" t="s">
        <v>201</v>
      </c>
      <c r="N798" s="22" t="s">
        <v>974</v>
      </c>
      <c r="O798" s="22" t="s">
        <v>2420</v>
      </c>
      <c r="P798" s="22" t="s">
        <v>63</v>
      </c>
    </row>
    <row r="799" ht="20" customHeight="1" spans="1:16" s="23" customFormat="1" x14ac:dyDescent="0.25">
      <c r="A799" s="24" t="s">
        <v>2421</v>
      </c>
      <c r="B799" s="24" t="s">
        <v>2415</v>
      </c>
      <c r="C799" s="24" t="s">
        <v>142</v>
      </c>
      <c r="D799" s="24" t="s">
        <v>2415</v>
      </c>
      <c r="E799" s="24" t="s">
        <v>828</v>
      </c>
      <c r="F799" s="25" t="s">
        <v>53</v>
      </c>
      <c r="G799" s="24" t="s">
        <v>54</v>
      </c>
      <c r="H799" s="24" t="s">
        <v>1938</v>
      </c>
      <c r="I799" s="25" t="s">
        <v>80</v>
      </c>
      <c r="J799" s="25" t="s">
        <v>57</v>
      </c>
      <c r="K799" s="25" t="s">
        <v>217</v>
      </c>
      <c r="L799" s="25" t="s">
        <v>73</v>
      </c>
      <c r="M799" s="25" t="s">
        <v>60</v>
      </c>
      <c r="N799" s="25" t="s">
        <v>61</v>
      </c>
      <c r="O799" s="25" t="s">
        <v>2422</v>
      </c>
      <c r="P799" s="25" t="s">
        <v>63</v>
      </c>
    </row>
    <row r="800" ht="20" customHeight="1" spans="1:16" x14ac:dyDescent="0.25">
      <c r="A800" s="21" t="s">
        <v>2108</v>
      </c>
      <c r="B800" s="21" t="s">
        <v>2415</v>
      </c>
      <c r="C800" s="21" t="s">
        <v>1680</v>
      </c>
      <c r="D800" s="21" t="s">
        <v>2415</v>
      </c>
      <c r="E800" s="21" t="s">
        <v>109</v>
      </c>
      <c r="F800" s="22" t="s">
        <v>68</v>
      </c>
      <c r="G800" s="21" t="s">
        <v>1725</v>
      </c>
      <c r="H800" s="21" t="s">
        <v>988</v>
      </c>
      <c r="I800" s="22" t="s">
        <v>186</v>
      </c>
      <c r="J800" s="22" t="s">
        <v>57</v>
      </c>
      <c r="K800" s="22" t="s">
        <v>1994</v>
      </c>
      <c r="L800" s="22" t="s">
        <v>2423</v>
      </c>
      <c r="M800" s="22" t="s">
        <v>201</v>
      </c>
      <c r="N800" s="22" t="s">
        <v>974</v>
      </c>
      <c r="O800" s="22" t="s">
        <v>2424</v>
      </c>
      <c r="P800" s="22" t="s">
        <v>63</v>
      </c>
    </row>
    <row r="801" ht="20" customHeight="1" spans="1:16" s="23" customFormat="1" x14ac:dyDescent="0.25">
      <c r="A801" s="24" t="s">
        <v>2421</v>
      </c>
      <c r="B801" s="24" t="s">
        <v>2415</v>
      </c>
      <c r="C801" s="24" t="s">
        <v>212</v>
      </c>
      <c r="D801" s="24" t="s">
        <v>2415</v>
      </c>
      <c r="E801" s="24" t="s">
        <v>1310</v>
      </c>
      <c r="F801" s="25" t="s">
        <v>53</v>
      </c>
      <c r="G801" s="24" t="s">
        <v>54</v>
      </c>
      <c r="H801" s="24" t="s">
        <v>1938</v>
      </c>
      <c r="I801" s="25" t="s">
        <v>1140</v>
      </c>
      <c r="J801" s="25" t="s">
        <v>57</v>
      </c>
      <c r="K801" s="25" t="s">
        <v>217</v>
      </c>
      <c r="L801" s="25" t="s">
        <v>2068</v>
      </c>
      <c r="M801" s="25" t="s">
        <v>60</v>
      </c>
      <c r="N801" s="25" t="s">
        <v>61</v>
      </c>
      <c r="O801" s="25" t="s">
        <v>2425</v>
      </c>
      <c r="P801" s="25" t="s">
        <v>63</v>
      </c>
    </row>
    <row r="802" ht="20" customHeight="1" spans="1:16" x14ac:dyDescent="0.25">
      <c r="A802" s="21" t="s">
        <v>1783</v>
      </c>
      <c r="B802" s="21" t="s">
        <v>2415</v>
      </c>
      <c r="C802" s="21" t="s">
        <v>238</v>
      </c>
      <c r="D802" s="21" t="s">
        <v>2415</v>
      </c>
      <c r="E802" s="21" t="s">
        <v>328</v>
      </c>
      <c r="F802" s="22" t="s">
        <v>53</v>
      </c>
      <c r="G802" s="21" t="s">
        <v>1674</v>
      </c>
      <c r="H802" s="21" t="s">
        <v>55</v>
      </c>
      <c r="I802" s="22" t="s">
        <v>360</v>
      </c>
      <c r="J802" s="22" t="s">
        <v>57</v>
      </c>
      <c r="K802" s="22" t="s">
        <v>928</v>
      </c>
      <c r="L802" s="22" t="s">
        <v>73</v>
      </c>
      <c r="M802" s="22" t="s">
        <v>354</v>
      </c>
      <c r="N802" s="22" t="s">
        <v>355</v>
      </c>
      <c r="O802" s="22" t="s">
        <v>2426</v>
      </c>
      <c r="P802" s="22" t="s">
        <v>63</v>
      </c>
    </row>
    <row r="803" ht="20" customHeight="1" spans="1:16" s="23" customFormat="1" x14ac:dyDescent="0.25">
      <c r="A803" s="24" t="s">
        <v>583</v>
      </c>
      <c r="B803" s="24" t="s">
        <v>2415</v>
      </c>
      <c r="C803" s="24" t="s">
        <v>1210</v>
      </c>
      <c r="D803" s="24" t="s">
        <v>2415</v>
      </c>
      <c r="E803" s="24" t="s">
        <v>2427</v>
      </c>
      <c r="F803" s="25" t="s">
        <v>68</v>
      </c>
      <c r="G803" s="24" t="s">
        <v>1725</v>
      </c>
      <c r="H803" s="24" t="s">
        <v>988</v>
      </c>
      <c r="I803" s="25" t="s">
        <v>331</v>
      </c>
      <c r="J803" s="25" t="s">
        <v>57</v>
      </c>
      <c r="K803" s="25" t="s">
        <v>2102</v>
      </c>
      <c r="L803" s="25" t="s">
        <v>2428</v>
      </c>
      <c r="M803" s="25" t="s">
        <v>616</v>
      </c>
      <c r="N803" s="25" t="s">
        <v>465</v>
      </c>
      <c r="O803" s="25" t="s">
        <v>2429</v>
      </c>
      <c r="P803" s="25" t="s">
        <v>63</v>
      </c>
    </row>
    <row r="804" ht="20" customHeight="1" spans="1:16" x14ac:dyDescent="0.25">
      <c r="A804" s="21" t="s">
        <v>583</v>
      </c>
      <c r="B804" s="21" t="s">
        <v>2430</v>
      </c>
      <c r="C804" s="21" t="s">
        <v>1154</v>
      </c>
      <c r="D804" s="21" t="s">
        <v>2430</v>
      </c>
      <c r="E804" s="21" t="s">
        <v>1814</v>
      </c>
      <c r="F804" s="22" t="s">
        <v>53</v>
      </c>
      <c r="G804" s="21" t="s">
        <v>1674</v>
      </c>
      <c r="H804" s="21" t="s">
        <v>610</v>
      </c>
      <c r="I804" s="22" t="s">
        <v>712</v>
      </c>
      <c r="J804" s="22" t="s">
        <v>57</v>
      </c>
      <c r="K804" s="22" t="s">
        <v>2431</v>
      </c>
      <c r="L804" s="22" t="s">
        <v>73</v>
      </c>
      <c r="M804" s="22" t="s">
        <v>616</v>
      </c>
      <c r="N804" s="22" t="s">
        <v>465</v>
      </c>
      <c r="O804" s="22" t="s">
        <v>2432</v>
      </c>
      <c r="P804" s="22" t="s">
        <v>63</v>
      </c>
    </row>
    <row r="805" ht="20" customHeight="1" spans="1:16" s="23" customFormat="1" x14ac:dyDescent="0.25">
      <c r="A805" s="24" t="s">
        <v>583</v>
      </c>
      <c r="B805" s="24" t="s">
        <v>2430</v>
      </c>
      <c r="C805" s="24" t="s">
        <v>121</v>
      </c>
      <c r="D805" s="24" t="s">
        <v>2430</v>
      </c>
      <c r="E805" s="24" t="s">
        <v>1227</v>
      </c>
      <c r="F805" s="25" t="s">
        <v>53</v>
      </c>
      <c r="G805" s="24" t="s">
        <v>54</v>
      </c>
      <c r="H805" s="24" t="s">
        <v>1938</v>
      </c>
      <c r="I805" s="25" t="s">
        <v>246</v>
      </c>
      <c r="J805" s="25" t="s">
        <v>57</v>
      </c>
      <c r="K805" s="25" t="s">
        <v>2433</v>
      </c>
      <c r="L805" s="25" t="s">
        <v>2434</v>
      </c>
      <c r="M805" s="25" t="s">
        <v>616</v>
      </c>
      <c r="N805" s="25" t="s">
        <v>465</v>
      </c>
      <c r="O805" s="25" t="s">
        <v>2435</v>
      </c>
      <c r="P805" s="25" t="s">
        <v>63</v>
      </c>
    </row>
    <row r="806" ht="20" customHeight="1" spans="1:16" x14ac:dyDescent="0.25">
      <c r="A806" s="21" t="s">
        <v>583</v>
      </c>
      <c r="B806" s="21" t="s">
        <v>2436</v>
      </c>
      <c r="C806" s="21" t="s">
        <v>491</v>
      </c>
      <c r="D806" s="21" t="s">
        <v>2436</v>
      </c>
      <c r="E806" s="21" t="s">
        <v>1522</v>
      </c>
      <c r="F806" s="22" t="s">
        <v>2194</v>
      </c>
      <c r="G806" s="21" t="s">
        <v>1488</v>
      </c>
      <c r="H806" s="21" t="s">
        <v>583</v>
      </c>
      <c r="I806" s="22" t="s">
        <v>80</v>
      </c>
      <c r="J806" s="22" t="s">
        <v>57</v>
      </c>
      <c r="K806" s="22" t="s">
        <v>162</v>
      </c>
      <c r="L806" s="22" t="s">
        <v>1819</v>
      </c>
      <c r="M806" s="22" t="s">
        <v>160</v>
      </c>
      <c r="N806" s="22" t="s">
        <v>426</v>
      </c>
      <c r="O806" s="22" t="s">
        <v>2437</v>
      </c>
      <c r="P806" s="22" t="s">
        <v>63</v>
      </c>
    </row>
    <row r="807" ht="20" customHeight="1" spans="1:16" s="23" customFormat="1" x14ac:dyDescent="0.25">
      <c r="A807" s="24" t="s">
        <v>2438</v>
      </c>
      <c r="B807" s="24" t="s">
        <v>2436</v>
      </c>
      <c r="C807" s="24" t="s">
        <v>1328</v>
      </c>
      <c r="D807" s="24" t="s">
        <v>2436</v>
      </c>
      <c r="E807" s="24" t="s">
        <v>320</v>
      </c>
      <c r="F807" s="25" t="s">
        <v>53</v>
      </c>
      <c r="G807" s="24" t="s">
        <v>1674</v>
      </c>
      <c r="H807" s="24" t="s">
        <v>610</v>
      </c>
      <c r="I807" s="25" t="s">
        <v>1140</v>
      </c>
      <c r="J807" s="25" t="s">
        <v>57</v>
      </c>
      <c r="K807" s="25" t="s">
        <v>133</v>
      </c>
      <c r="L807" s="25" t="s">
        <v>2439</v>
      </c>
      <c r="M807" s="25" t="s">
        <v>63</v>
      </c>
      <c r="N807" s="25" t="s">
        <v>63</v>
      </c>
      <c r="O807" s="25" t="s">
        <v>63</v>
      </c>
      <c r="P807" s="25" t="s">
        <v>63</v>
      </c>
    </row>
    <row r="808" ht="20" customHeight="1" spans="1:16" x14ac:dyDescent="0.25">
      <c r="A808" s="21" t="s">
        <v>593</v>
      </c>
      <c r="B808" s="21" t="s">
        <v>2436</v>
      </c>
      <c r="C808" s="21" t="s">
        <v>2440</v>
      </c>
      <c r="D808" s="21" t="s">
        <v>2436</v>
      </c>
      <c r="E808" s="21" t="s">
        <v>793</v>
      </c>
      <c r="F808" s="22" t="s">
        <v>85</v>
      </c>
      <c r="G808" s="21" t="s">
        <v>86</v>
      </c>
      <c r="H808" s="21" t="s">
        <v>87</v>
      </c>
      <c r="I808" s="22" t="s">
        <v>160</v>
      </c>
      <c r="J808" s="22" t="s">
        <v>57</v>
      </c>
      <c r="K808" s="22" t="s">
        <v>101</v>
      </c>
      <c r="L808" s="22" t="s">
        <v>1201</v>
      </c>
      <c r="M808" s="22" t="s">
        <v>160</v>
      </c>
      <c r="N808" s="22" t="s">
        <v>426</v>
      </c>
      <c r="O808" s="22" t="s">
        <v>2441</v>
      </c>
      <c r="P808" s="22" t="s">
        <v>63</v>
      </c>
    </row>
    <row r="809" ht="20" customHeight="1" spans="1:16" s="23" customFormat="1" x14ac:dyDescent="0.25">
      <c r="A809" s="24" t="s">
        <v>583</v>
      </c>
      <c r="B809" s="24" t="s">
        <v>2436</v>
      </c>
      <c r="C809" s="24" t="s">
        <v>1690</v>
      </c>
      <c r="D809" s="24" t="s">
        <v>2436</v>
      </c>
      <c r="E809" s="24" t="s">
        <v>145</v>
      </c>
      <c r="F809" s="25" t="s">
        <v>2205</v>
      </c>
      <c r="G809" s="24" t="s">
        <v>2246</v>
      </c>
      <c r="H809" s="24" t="s">
        <v>2036</v>
      </c>
      <c r="I809" s="25" t="s">
        <v>113</v>
      </c>
      <c r="J809" s="25" t="s">
        <v>57</v>
      </c>
      <c r="K809" s="25" t="s">
        <v>247</v>
      </c>
      <c r="L809" s="25" t="s">
        <v>73</v>
      </c>
      <c r="M809" s="25" t="s">
        <v>868</v>
      </c>
      <c r="N809" s="25" t="s">
        <v>465</v>
      </c>
      <c r="O809" s="25" t="s">
        <v>2442</v>
      </c>
      <c r="P809" s="25" t="s">
        <v>63</v>
      </c>
    </row>
    <row r="810" ht="20" customHeight="1" spans="1:16" x14ac:dyDescent="0.25">
      <c r="A810" s="21" t="s">
        <v>583</v>
      </c>
      <c r="B810" s="21" t="s">
        <v>2436</v>
      </c>
      <c r="C810" s="21" t="s">
        <v>849</v>
      </c>
      <c r="D810" s="21" t="s">
        <v>2436</v>
      </c>
      <c r="E810" s="21" t="s">
        <v>1170</v>
      </c>
      <c r="F810" s="22" t="s">
        <v>53</v>
      </c>
      <c r="G810" s="21" t="s">
        <v>1674</v>
      </c>
      <c r="H810" s="21" t="s">
        <v>610</v>
      </c>
      <c r="I810" s="22" t="s">
        <v>223</v>
      </c>
      <c r="J810" s="22" t="s">
        <v>57</v>
      </c>
      <c r="K810" s="22" t="s">
        <v>227</v>
      </c>
      <c r="L810" s="22" t="s">
        <v>73</v>
      </c>
      <c r="M810" s="22" t="s">
        <v>616</v>
      </c>
      <c r="N810" s="22" t="s">
        <v>465</v>
      </c>
      <c r="O810" s="22" t="s">
        <v>2443</v>
      </c>
      <c r="P810" s="22" t="s">
        <v>63</v>
      </c>
    </row>
    <row r="811" ht="20" customHeight="1" spans="1:16" s="23" customFormat="1" x14ac:dyDescent="0.25">
      <c r="A811" s="24" t="s">
        <v>583</v>
      </c>
      <c r="B811" s="24" t="s">
        <v>2444</v>
      </c>
      <c r="C811" s="24" t="s">
        <v>2445</v>
      </c>
      <c r="D811" s="24" t="s">
        <v>2444</v>
      </c>
      <c r="E811" s="24" t="s">
        <v>1109</v>
      </c>
      <c r="F811" s="25" t="s">
        <v>53</v>
      </c>
      <c r="G811" s="24" t="s">
        <v>1674</v>
      </c>
      <c r="H811" s="24" t="s">
        <v>55</v>
      </c>
      <c r="I811" s="25" t="s">
        <v>2446</v>
      </c>
      <c r="J811" s="25" t="s">
        <v>57</v>
      </c>
      <c r="K811" s="25" t="s">
        <v>133</v>
      </c>
      <c r="L811" s="25" t="s">
        <v>73</v>
      </c>
      <c r="M811" s="25" t="s">
        <v>616</v>
      </c>
      <c r="N811" s="25" t="s">
        <v>465</v>
      </c>
      <c r="O811" s="25" t="s">
        <v>2447</v>
      </c>
      <c r="P811" s="25" t="s">
        <v>63</v>
      </c>
    </row>
    <row r="812" ht="20" customHeight="1" spans="1:16" x14ac:dyDescent="0.25">
      <c r="A812" s="21" t="s">
        <v>583</v>
      </c>
      <c r="B812" s="21" t="s">
        <v>2444</v>
      </c>
      <c r="C812" s="21" t="s">
        <v>1218</v>
      </c>
      <c r="D812" s="21" t="s">
        <v>2444</v>
      </c>
      <c r="E812" s="21" t="s">
        <v>149</v>
      </c>
      <c r="F812" s="22" t="s">
        <v>923</v>
      </c>
      <c r="G812" s="21" t="s">
        <v>54</v>
      </c>
      <c r="H812" s="21" t="s">
        <v>610</v>
      </c>
      <c r="I812" s="22" t="s">
        <v>307</v>
      </c>
      <c r="J812" s="22" t="s">
        <v>57</v>
      </c>
      <c r="K812" s="22" t="s">
        <v>2448</v>
      </c>
      <c r="L812" s="22" t="s">
        <v>73</v>
      </c>
      <c r="M812" s="22" t="s">
        <v>420</v>
      </c>
      <c r="N812" s="22" t="s">
        <v>465</v>
      </c>
      <c r="O812" s="22" t="s">
        <v>2449</v>
      </c>
      <c r="P812" s="22" t="s">
        <v>63</v>
      </c>
    </row>
    <row r="813" ht="20" customHeight="1" spans="1:16" s="23" customFormat="1" x14ac:dyDescent="0.25">
      <c r="A813" s="24" t="s">
        <v>593</v>
      </c>
      <c r="B813" s="24" t="s">
        <v>2444</v>
      </c>
      <c r="C813" s="24" t="s">
        <v>1302</v>
      </c>
      <c r="D813" s="24" t="s">
        <v>1961</v>
      </c>
      <c r="E813" s="24" t="s">
        <v>956</v>
      </c>
      <c r="F813" s="25" t="s">
        <v>1450</v>
      </c>
      <c r="G813" s="24" t="s">
        <v>69</v>
      </c>
      <c r="H813" s="24" t="s">
        <v>1451</v>
      </c>
      <c r="I813" s="25" t="s">
        <v>160</v>
      </c>
      <c r="J813" s="25" t="s">
        <v>57</v>
      </c>
      <c r="K813" s="25" t="s">
        <v>349</v>
      </c>
      <c r="L813" s="25" t="s">
        <v>1824</v>
      </c>
      <c r="M813" s="25" t="s">
        <v>160</v>
      </c>
      <c r="N813" s="25" t="s">
        <v>426</v>
      </c>
      <c r="O813" s="25" t="s">
        <v>2450</v>
      </c>
      <c r="P813" s="25" t="s">
        <v>63</v>
      </c>
    </row>
    <row r="814" ht="20" customHeight="1" spans="1:16" x14ac:dyDescent="0.25">
      <c r="A814" s="21" t="s">
        <v>2451</v>
      </c>
      <c r="B814" s="21" t="s">
        <v>1720</v>
      </c>
      <c r="C814" s="21" t="s">
        <v>567</v>
      </c>
      <c r="D814" s="21" t="s">
        <v>1720</v>
      </c>
      <c r="E814" s="21" t="s">
        <v>1836</v>
      </c>
      <c r="F814" s="22" t="s">
        <v>53</v>
      </c>
      <c r="G814" s="21" t="s">
        <v>54</v>
      </c>
      <c r="H814" s="21" t="s">
        <v>55</v>
      </c>
      <c r="I814" s="22" t="s">
        <v>71</v>
      </c>
      <c r="J814" s="22" t="s">
        <v>57</v>
      </c>
      <c r="K814" s="22" t="s">
        <v>2452</v>
      </c>
      <c r="L814" s="22" t="s">
        <v>73</v>
      </c>
      <c r="M814" s="22" t="s">
        <v>420</v>
      </c>
      <c r="N814" s="22" t="s">
        <v>465</v>
      </c>
      <c r="O814" s="22" t="s">
        <v>63</v>
      </c>
      <c r="P814" s="22" t="s">
        <v>63</v>
      </c>
    </row>
    <row r="815" ht="20" customHeight="1" spans="1:16" s="23" customFormat="1" x14ac:dyDescent="0.25">
      <c r="A815" s="24" t="s">
        <v>2453</v>
      </c>
      <c r="B815" s="24" t="s">
        <v>2454</v>
      </c>
      <c r="C815" s="24" t="s">
        <v>135</v>
      </c>
      <c r="D815" s="24" t="s">
        <v>2454</v>
      </c>
      <c r="E815" s="24" t="s">
        <v>1130</v>
      </c>
      <c r="F815" s="25" t="s">
        <v>85</v>
      </c>
      <c r="G815" s="24" t="s">
        <v>86</v>
      </c>
      <c r="H815" s="24" t="s">
        <v>87</v>
      </c>
      <c r="I815" s="25" t="s">
        <v>186</v>
      </c>
      <c r="J815" s="25" t="s">
        <v>57</v>
      </c>
      <c r="K815" s="25" t="s">
        <v>2455</v>
      </c>
      <c r="L815" s="25" t="s">
        <v>1110</v>
      </c>
      <c r="M815" s="25" t="s">
        <v>201</v>
      </c>
      <c r="N815" s="25" t="s">
        <v>974</v>
      </c>
      <c r="O815" s="25" t="s">
        <v>2456</v>
      </c>
      <c r="P815" s="25" t="s">
        <v>63</v>
      </c>
    </row>
    <row r="816" ht="20" customHeight="1" spans="1:16" x14ac:dyDescent="0.25">
      <c r="A816" s="21" t="s">
        <v>2457</v>
      </c>
      <c r="B816" s="21" t="s">
        <v>2454</v>
      </c>
      <c r="C816" s="21" t="s">
        <v>135</v>
      </c>
      <c r="D816" s="21" t="s">
        <v>1961</v>
      </c>
      <c r="E816" s="21" t="s">
        <v>956</v>
      </c>
      <c r="F816" s="22" t="s">
        <v>53</v>
      </c>
      <c r="G816" s="21" t="s">
        <v>1674</v>
      </c>
      <c r="H816" s="21" t="s">
        <v>55</v>
      </c>
      <c r="I816" s="22" t="s">
        <v>1140</v>
      </c>
      <c r="J816" s="22" t="s">
        <v>57</v>
      </c>
      <c r="K816" s="22" t="s">
        <v>2458</v>
      </c>
      <c r="L816" s="22" t="s">
        <v>2068</v>
      </c>
      <c r="M816" s="22" t="s">
        <v>60</v>
      </c>
      <c r="N816" s="22" t="s">
        <v>61</v>
      </c>
      <c r="O816" s="22" t="s">
        <v>2459</v>
      </c>
      <c r="P816" s="22" t="s">
        <v>63</v>
      </c>
    </row>
    <row r="817" ht="20" customHeight="1" spans="1:16" s="23" customFormat="1" x14ac:dyDescent="0.25">
      <c r="A817" s="24" t="s">
        <v>1856</v>
      </c>
      <c r="B817" s="24" t="s">
        <v>2454</v>
      </c>
      <c r="C817" s="24" t="s">
        <v>1806</v>
      </c>
      <c r="D817" s="24" t="s">
        <v>1961</v>
      </c>
      <c r="E817" s="24" t="s">
        <v>1025</v>
      </c>
      <c r="F817" s="25" t="s">
        <v>53</v>
      </c>
      <c r="G817" s="24" t="s">
        <v>54</v>
      </c>
      <c r="H817" s="24" t="s">
        <v>1938</v>
      </c>
      <c r="I817" s="25" t="s">
        <v>482</v>
      </c>
      <c r="J817" s="25" t="s">
        <v>57</v>
      </c>
      <c r="K817" s="25" t="s">
        <v>147</v>
      </c>
      <c r="L817" s="25" t="s">
        <v>2460</v>
      </c>
      <c r="M817" s="25" t="s">
        <v>60</v>
      </c>
      <c r="N817" s="25" t="s">
        <v>61</v>
      </c>
      <c r="O817" s="25" t="s">
        <v>2461</v>
      </c>
      <c r="P817" s="25" t="s">
        <v>63</v>
      </c>
    </row>
    <row r="818" ht="20" customHeight="1" spans="1:16" x14ac:dyDescent="0.25">
      <c r="A818" s="21" t="s">
        <v>583</v>
      </c>
      <c r="B818" s="21" t="s">
        <v>2454</v>
      </c>
      <c r="C818" s="21" t="s">
        <v>1495</v>
      </c>
      <c r="D818" s="21" t="s">
        <v>1961</v>
      </c>
      <c r="E818" s="21" t="s">
        <v>320</v>
      </c>
      <c r="F818" s="22" t="s">
        <v>68</v>
      </c>
      <c r="G818" s="21" t="s">
        <v>1769</v>
      </c>
      <c r="H818" s="21" t="s">
        <v>2020</v>
      </c>
      <c r="I818" s="22" t="s">
        <v>113</v>
      </c>
      <c r="J818" s="22" t="s">
        <v>57</v>
      </c>
      <c r="K818" s="22" t="s">
        <v>752</v>
      </c>
      <c r="L818" s="22" t="s">
        <v>2074</v>
      </c>
      <c r="M818" s="22" t="s">
        <v>235</v>
      </c>
      <c r="N818" s="22" t="s">
        <v>389</v>
      </c>
      <c r="O818" s="22" t="s">
        <v>2462</v>
      </c>
      <c r="P818" s="22" t="s">
        <v>63</v>
      </c>
    </row>
    <row r="819" ht="20" customHeight="1" spans="1:16" s="23" customFormat="1" x14ac:dyDescent="0.25">
      <c r="A819" s="24" t="s">
        <v>2438</v>
      </c>
      <c r="B819" s="24" t="s">
        <v>2454</v>
      </c>
      <c r="C819" s="24" t="s">
        <v>956</v>
      </c>
      <c r="D819" s="24" t="s">
        <v>1961</v>
      </c>
      <c r="E819" s="24" t="s">
        <v>956</v>
      </c>
      <c r="F819" s="25" t="s">
        <v>53</v>
      </c>
      <c r="G819" s="24" t="s">
        <v>1674</v>
      </c>
      <c r="H819" s="24" t="s">
        <v>55</v>
      </c>
      <c r="I819" s="25" t="s">
        <v>160</v>
      </c>
      <c r="J819" s="25" t="s">
        <v>57</v>
      </c>
      <c r="K819" s="25" t="s">
        <v>817</v>
      </c>
      <c r="L819" s="25" t="s">
        <v>73</v>
      </c>
      <c r="M819" s="25" t="s">
        <v>63</v>
      </c>
      <c r="N819" s="25" t="s">
        <v>63</v>
      </c>
      <c r="O819" s="25" t="s">
        <v>63</v>
      </c>
      <c r="P819" s="25" t="s">
        <v>63</v>
      </c>
    </row>
    <row r="820" ht="20" customHeight="1" spans="1:16" x14ac:dyDescent="0.25">
      <c r="A820" s="21" t="s">
        <v>583</v>
      </c>
      <c r="B820" s="21" t="s">
        <v>2454</v>
      </c>
      <c r="C820" s="21" t="s">
        <v>461</v>
      </c>
      <c r="D820" s="21" t="s">
        <v>2454</v>
      </c>
      <c r="E820" s="21" t="s">
        <v>2463</v>
      </c>
      <c r="F820" s="22" t="s">
        <v>68</v>
      </c>
      <c r="G820" s="21" t="s">
        <v>1725</v>
      </c>
      <c r="H820" s="21" t="s">
        <v>988</v>
      </c>
      <c r="I820" s="22" t="s">
        <v>132</v>
      </c>
      <c r="J820" s="22" t="s">
        <v>57</v>
      </c>
      <c r="K820" s="22" t="s">
        <v>2464</v>
      </c>
      <c r="L820" s="22" t="s">
        <v>73</v>
      </c>
      <c r="M820" s="22" t="s">
        <v>616</v>
      </c>
      <c r="N820" s="22" t="s">
        <v>465</v>
      </c>
      <c r="O820" s="22" t="s">
        <v>2465</v>
      </c>
      <c r="P820" s="22" t="s">
        <v>63</v>
      </c>
    </row>
    <row r="821" ht="20" customHeight="1" spans="1:16" s="23" customFormat="1" x14ac:dyDescent="0.25">
      <c r="A821" s="24" t="s">
        <v>583</v>
      </c>
      <c r="B821" s="24" t="s">
        <v>2454</v>
      </c>
      <c r="C821" s="24" t="s">
        <v>942</v>
      </c>
      <c r="D821" s="24" t="s">
        <v>2454</v>
      </c>
      <c r="E821" s="24" t="s">
        <v>2466</v>
      </c>
      <c r="F821" s="25" t="s">
        <v>68</v>
      </c>
      <c r="G821" s="24" t="s">
        <v>1725</v>
      </c>
      <c r="H821" s="24" t="s">
        <v>988</v>
      </c>
      <c r="I821" s="25" t="s">
        <v>616</v>
      </c>
      <c r="J821" s="25" t="s">
        <v>57</v>
      </c>
      <c r="K821" s="25" t="s">
        <v>1618</v>
      </c>
      <c r="L821" s="25" t="s">
        <v>132</v>
      </c>
      <c r="M821" s="25" t="s">
        <v>616</v>
      </c>
      <c r="N821" s="25" t="s">
        <v>465</v>
      </c>
      <c r="O821" s="25" t="s">
        <v>2467</v>
      </c>
      <c r="P821" s="25" t="s">
        <v>63</v>
      </c>
    </row>
    <row r="822" ht="20" customHeight="1" spans="1:16" x14ac:dyDescent="0.25">
      <c r="A822" s="21" t="s">
        <v>1856</v>
      </c>
      <c r="B822" s="21" t="s">
        <v>1961</v>
      </c>
      <c r="C822" s="21" t="s">
        <v>1203</v>
      </c>
      <c r="D822" s="21" t="s">
        <v>1961</v>
      </c>
      <c r="E822" s="21" t="s">
        <v>632</v>
      </c>
      <c r="F822" s="22" t="s">
        <v>53</v>
      </c>
      <c r="G822" s="21" t="s">
        <v>1674</v>
      </c>
      <c r="H822" s="21" t="s">
        <v>610</v>
      </c>
      <c r="I822" s="22" t="s">
        <v>80</v>
      </c>
      <c r="J822" s="22" t="s">
        <v>57</v>
      </c>
      <c r="K822" s="22" t="s">
        <v>151</v>
      </c>
      <c r="L822" s="22" t="s">
        <v>73</v>
      </c>
      <c r="M822" s="22" t="s">
        <v>60</v>
      </c>
      <c r="N822" s="22" t="s">
        <v>61</v>
      </c>
      <c r="O822" s="22" t="s">
        <v>2468</v>
      </c>
      <c r="P822" s="22" t="s">
        <v>63</v>
      </c>
    </row>
    <row r="823" ht="20" customHeight="1" spans="1:16" s="23" customFormat="1" x14ac:dyDescent="0.25">
      <c r="A823" s="24" t="s">
        <v>1856</v>
      </c>
      <c r="B823" s="24" t="s">
        <v>1961</v>
      </c>
      <c r="C823" s="24" t="s">
        <v>956</v>
      </c>
      <c r="D823" s="24" t="s">
        <v>63</v>
      </c>
      <c r="E823" s="24" t="s">
        <v>63</v>
      </c>
      <c r="F823" s="25" t="s">
        <v>137</v>
      </c>
      <c r="G823" s="24" t="s">
        <v>138</v>
      </c>
      <c r="H823" s="24" t="s">
        <v>139</v>
      </c>
      <c r="I823" s="25" t="s">
        <v>113</v>
      </c>
      <c r="J823" s="25" t="s">
        <v>57</v>
      </c>
      <c r="K823" s="25" t="s">
        <v>1027</v>
      </c>
      <c r="L823" s="25" t="s">
        <v>73</v>
      </c>
      <c r="M823" s="25" t="s">
        <v>60</v>
      </c>
      <c r="N823" s="25" t="s">
        <v>61</v>
      </c>
      <c r="O823" s="25" t="s">
        <v>2469</v>
      </c>
      <c r="P823" s="25" t="s">
        <v>63</v>
      </c>
    </row>
    <row r="824" ht="20" customHeight="1" spans="1:16" x14ac:dyDescent="0.25">
      <c r="A824" s="21" t="s">
        <v>583</v>
      </c>
      <c r="B824" s="21" t="s">
        <v>1961</v>
      </c>
      <c r="C824" s="21" t="s">
        <v>63</v>
      </c>
      <c r="D824" s="21" t="s">
        <v>63</v>
      </c>
      <c r="E824" s="21" t="s">
        <v>63</v>
      </c>
      <c r="F824" s="22" t="s">
        <v>1733</v>
      </c>
      <c r="G824" s="21" t="s">
        <v>1725</v>
      </c>
      <c r="H824" s="21" t="s">
        <v>1726</v>
      </c>
      <c r="I824" s="22" t="s">
        <v>118</v>
      </c>
      <c r="J824" s="22" t="s">
        <v>57</v>
      </c>
      <c r="K824" s="22" t="s">
        <v>260</v>
      </c>
      <c r="L824" s="22" t="s">
        <v>2308</v>
      </c>
      <c r="M824" s="22" t="s">
        <v>420</v>
      </c>
      <c r="N824" s="22" t="s">
        <v>465</v>
      </c>
      <c r="O824" s="22" t="s">
        <v>2470</v>
      </c>
      <c r="P824" s="22" t="s">
        <v>63</v>
      </c>
    </row>
    <row r="825" ht="20" customHeight="1" spans="1:16" s="23" customFormat="1" x14ac:dyDescent="0.25">
      <c r="A825" s="24" t="s">
        <v>1856</v>
      </c>
      <c r="B825" s="24" t="s">
        <v>1961</v>
      </c>
      <c r="C825" s="24" t="s">
        <v>1369</v>
      </c>
      <c r="D825" s="24" t="s">
        <v>1961</v>
      </c>
      <c r="E825" s="24" t="s">
        <v>1439</v>
      </c>
      <c r="F825" s="25" t="s">
        <v>53</v>
      </c>
      <c r="G825" s="24" t="s">
        <v>54</v>
      </c>
      <c r="H825" s="24" t="s">
        <v>1938</v>
      </c>
      <c r="I825" s="25" t="s">
        <v>80</v>
      </c>
      <c r="J825" s="25" t="s">
        <v>57</v>
      </c>
      <c r="K825" s="25" t="s">
        <v>72</v>
      </c>
      <c r="L825" s="25" t="s">
        <v>73</v>
      </c>
      <c r="M825" s="25" t="s">
        <v>60</v>
      </c>
      <c r="N825" s="25" t="s">
        <v>61</v>
      </c>
      <c r="O825" s="25" t="s">
        <v>2471</v>
      </c>
      <c r="P825" s="25" t="s">
        <v>63</v>
      </c>
    </row>
    <row r="826" ht="20" customHeight="1" spans="1:16" x14ac:dyDescent="0.25">
      <c r="A826" s="21" t="s">
        <v>1856</v>
      </c>
      <c r="B826" s="21" t="s">
        <v>2454</v>
      </c>
      <c r="C826" s="21" t="s">
        <v>1608</v>
      </c>
      <c r="D826" s="21" t="s">
        <v>2454</v>
      </c>
      <c r="E826" s="21" t="s">
        <v>769</v>
      </c>
      <c r="F826" s="22" t="s">
        <v>1450</v>
      </c>
      <c r="G826" s="21" t="s">
        <v>69</v>
      </c>
      <c r="H826" s="21" t="s">
        <v>1451</v>
      </c>
      <c r="I826" s="22" t="s">
        <v>201</v>
      </c>
      <c r="J826" s="22" t="s">
        <v>57</v>
      </c>
      <c r="K826" s="22" t="s">
        <v>81</v>
      </c>
      <c r="L826" s="22" t="s">
        <v>73</v>
      </c>
      <c r="M826" s="22" t="s">
        <v>60</v>
      </c>
      <c r="N826" s="22" t="s">
        <v>61</v>
      </c>
      <c r="O826" s="22" t="s">
        <v>2472</v>
      </c>
      <c r="P826" s="22" t="s">
        <v>63</v>
      </c>
    </row>
    <row r="827" ht="20" customHeight="1" spans="1:16" s="23" customFormat="1" x14ac:dyDescent="0.25">
      <c r="A827" s="24" t="s">
        <v>583</v>
      </c>
      <c r="B827" s="24" t="s">
        <v>2473</v>
      </c>
      <c r="C827" s="24" t="s">
        <v>1181</v>
      </c>
      <c r="D827" s="24" t="s">
        <v>2473</v>
      </c>
      <c r="E827" s="24" t="s">
        <v>790</v>
      </c>
      <c r="F827" s="25" t="s">
        <v>2474</v>
      </c>
      <c r="G827" s="24" t="s">
        <v>2246</v>
      </c>
      <c r="H827" s="24" t="s">
        <v>1350</v>
      </c>
      <c r="I827" s="25" t="s">
        <v>113</v>
      </c>
      <c r="J827" s="25" t="s">
        <v>57</v>
      </c>
      <c r="K827" s="25" t="s">
        <v>2475</v>
      </c>
      <c r="L827" s="25" t="s">
        <v>2476</v>
      </c>
      <c r="M827" s="25" t="s">
        <v>499</v>
      </c>
      <c r="N827" s="25" t="s">
        <v>465</v>
      </c>
      <c r="O827" s="25" t="s">
        <v>2477</v>
      </c>
      <c r="P827" s="25" t="s">
        <v>63</v>
      </c>
    </row>
    <row r="828" ht="20" customHeight="1" spans="1:16" x14ac:dyDescent="0.25">
      <c r="A828" s="21" t="s">
        <v>583</v>
      </c>
      <c r="B828" s="21" t="s">
        <v>2473</v>
      </c>
      <c r="C828" s="21" t="s">
        <v>855</v>
      </c>
      <c r="D828" s="21" t="s">
        <v>2473</v>
      </c>
      <c r="E828" s="21" t="s">
        <v>1512</v>
      </c>
      <c r="F828" s="22" t="s">
        <v>53</v>
      </c>
      <c r="G828" s="21" t="s">
        <v>54</v>
      </c>
      <c r="H828" s="21" t="s">
        <v>1938</v>
      </c>
      <c r="I828" s="22" t="s">
        <v>80</v>
      </c>
      <c r="J828" s="22" t="s">
        <v>57</v>
      </c>
      <c r="K828" s="22" t="s">
        <v>2478</v>
      </c>
      <c r="L828" s="22" t="s">
        <v>353</v>
      </c>
      <c r="M828" s="22" t="s">
        <v>60</v>
      </c>
      <c r="N828" s="22" t="s">
        <v>61</v>
      </c>
      <c r="O828" s="22" t="s">
        <v>2479</v>
      </c>
      <c r="P828" s="22" t="s">
        <v>63</v>
      </c>
    </row>
    <row r="829" ht="20" customHeight="1" spans="1:16" s="23" customFormat="1" x14ac:dyDescent="0.25">
      <c r="A829" s="24" t="s">
        <v>2480</v>
      </c>
      <c r="B829" s="24" t="s">
        <v>2473</v>
      </c>
      <c r="C829" s="24" t="s">
        <v>1357</v>
      </c>
      <c r="D829" s="24" t="s">
        <v>2473</v>
      </c>
      <c r="E829" s="24" t="s">
        <v>1657</v>
      </c>
      <c r="F829" s="25" t="s">
        <v>137</v>
      </c>
      <c r="G829" s="24" t="s">
        <v>166</v>
      </c>
      <c r="H829" s="24" t="s">
        <v>2242</v>
      </c>
      <c r="I829" s="25" t="s">
        <v>209</v>
      </c>
      <c r="J829" s="25" t="s">
        <v>57</v>
      </c>
      <c r="K829" s="25" t="s">
        <v>1994</v>
      </c>
      <c r="L829" s="25" t="s">
        <v>73</v>
      </c>
      <c r="M829" s="25" t="s">
        <v>201</v>
      </c>
      <c r="N829" s="25" t="s">
        <v>974</v>
      </c>
      <c r="O829" s="25" t="s">
        <v>2481</v>
      </c>
      <c r="P829" s="25" t="s">
        <v>63</v>
      </c>
    </row>
    <row r="830" ht="20" customHeight="1" spans="1:16" x14ac:dyDescent="0.25">
      <c r="A830" s="21" t="s">
        <v>2480</v>
      </c>
      <c r="B830" s="21" t="s">
        <v>2473</v>
      </c>
      <c r="C830" s="21" t="s">
        <v>63</v>
      </c>
      <c r="D830" s="21" t="s">
        <v>2473</v>
      </c>
      <c r="E830" s="21" t="s">
        <v>2155</v>
      </c>
      <c r="F830" s="22" t="s">
        <v>137</v>
      </c>
      <c r="G830" s="21" t="s">
        <v>138</v>
      </c>
      <c r="H830" s="21" t="s">
        <v>583</v>
      </c>
      <c r="I830" s="22" t="s">
        <v>113</v>
      </c>
      <c r="J830" s="22" t="s">
        <v>57</v>
      </c>
      <c r="K830" s="22" t="s">
        <v>1994</v>
      </c>
      <c r="L830" s="22" t="s">
        <v>73</v>
      </c>
      <c r="M830" s="22" t="s">
        <v>201</v>
      </c>
      <c r="N830" s="22" t="s">
        <v>974</v>
      </c>
      <c r="O830" s="22" t="s">
        <v>2482</v>
      </c>
      <c r="P830" s="22" t="s">
        <v>63</v>
      </c>
    </row>
    <row r="831" ht="20" customHeight="1" spans="1:16" s="23" customFormat="1" x14ac:dyDescent="0.25">
      <c r="A831" s="24" t="s">
        <v>583</v>
      </c>
      <c r="B831" s="24" t="s">
        <v>2483</v>
      </c>
      <c r="C831" s="24" t="s">
        <v>1296</v>
      </c>
      <c r="D831" s="24" t="s">
        <v>63</v>
      </c>
      <c r="E831" s="24" t="s">
        <v>63</v>
      </c>
      <c r="F831" s="25" t="s">
        <v>1733</v>
      </c>
      <c r="G831" s="24" t="s">
        <v>1725</v>
      </c>
      <c r="H831" s="24" t="s">
        <v>1726</v>
      </c>
      <c r="I831" s="25" t="s">
        <v>118</v>
      </c>
      <c r="J831" s="25" t="s">
        <v>57</v>
      </c>
      <c r="K831" s="25" t="s">
        <v>943</v>
      </c>
      <c r="L831" s="25" t="s">
        <v>2484</v>
      </c>
      <c r="M831" s="25" t="s">
        <v>616</v>
      </c>
      <c r="N831" s="25" t="s">
        <v>465</v>
      </c>
      <c r="O831" s="25" t="s">
        <v>2485</v>
      </c>
      <c r="P831" s="25" t="s">
        <v>63</v>
      </c>
    </row>
    <row r="832" ht="20" customHeight="1" spans="1:16" x14ac:dyDescent="0.25">
      <c r="A832" s="21" t="s">
        <v>583</v>
      </c>
      <c r="B832" s="21" t="s">
        <v>2483</v>
      </c>
      <c r="C832" s="21" t="s">
        <v>623</v>
      </c>
      <c r="D832" s="21" t="s">
        <v>2483</v>
      </c>
      <c r="E832" s="21" t="s">
        <v>1683</v>
      </c>
      <c r="F832" s="22" t="s">
        <v>2359</v>
      </c>
      <c r="G832" s="21" t="s">
        <v>138</v>
      </c>
      <c r="H832" s="21" t="s">
        <v>988</v>
      </c>
      <c r="I832" s="22" t="s">
        <v>1848</v>
      </c>
      <c r="J832" s="22" t="s">
        <v>57</v>
      </c>
      <c r="K832" s="22" t="s">
        <v>2486</v>
      </c>
      <c r="L832" s="22" t="s">
        <v>2487</v>
      </c>
      <c r="M832" s="22" t="s">
        <v>616</v>
      </c>
      <c r="N832" s="22" t="s">
        <v>465</v>
      </c>
      <c r="O832" s="22" t="s">
        <v>2488</v>
      </c>
      <c r="P832" s="22" t="s">
        <v>63</v>
      </c>
    </row>
    <row r="833" ht="20" customHeight="1" spans="1:16" s="23" customFormat="1" x14ac:dyDescent="0.25">
      <c r="A833" s="24" t="s">
        <v>583</v>
      </c>
      <c r="B833" s="24" t="s">
        <v>2483</v>
      </c>
      <c r="C833" s="24" t="s">
        <v>1135</v>
      </c>
      <c r="D833" s="24" t="s">
        <v>2483</v>
      </c>
      <c r="E833" s="24" t="s">
        <v>67</v>
      </c>
      <c r="F833" s="25" t="s">
        <v>85</v>
      </c>
      <c r="G833" s="24" t="s">
        <v>2073</v>
      </c>
      <c r="H833" s="24" t="s">
        <v>988</v>
      </c>
      <c r="I833" s="25" t="s">
        <v>275</v>
      </c>
      <c r="J833" s="25" t="s">
        <v>57</v>
      </c>
      <c r="K833" s="25" t="s">
        <v>2489</v>
      </c>
      <c r="L833" s="25" t="s">
        <v>73</v>
      </c>
      <c r="M833" s="25" t="s">
        <v>235</v>
      </c>
      <c r="N833" s="25" t="s">
        <v>389</v>
      </c>
      <c r="O833" s="25" t="s">
        <v>2490</v>
      </c>
      <c r="P833" s="25" t="s">
        <v>63</v>
      </c>
    </row>
    <row r="834" ht="20" customHeight="1" spans="1:16" x14ac:dyDescent="0.25">
      <c r="A834" s="21" t="s">
        <v>583</v>
      </c>
      <c r="B834" s="21" t="s">
        <v>2483</v>
      </c>
      <c r="C834" s="21" t="s">
        <v>2080</v>
      </c>
      <c r="D834" s="21" t="s">
        <v>2483</v>
      </c>
      <c r="E834" s="21" t="s">
        <v>1391</v>
      </c>
      <c r="F834" s="22" t="s">
        <v>53</v>
      </c>
      <c r="G834" s="21" t="s">
        <v>1674</v>
      </c>
      <c r="H834" s="21" t="s">
        <v>610</v>
      </c>
      <c r="I834" s="22" t="s">
        <v>360</v>
      </c>
      <c r="J834" s="22" t="s">
        <v>57</v>
      </c>
      <c r="K834" s="22" t="s">
        <v>260</v>
      </c>
      <c r="L834" s="22" t="s">
        <v>73</v>
      </c>
      <c r="M834" s="22" t="s">
        <v>420</v>
      </c>
      <c r="N834" s="22" t="s">
        <v>465</v>
      </c>
      <c r="O834" s="22" t="s">
        <v>2491</v>
      </c>
      <c r="P834" s="22" t="s">
        <v>63</v>
      </c>
    </row>
    <row r="835" ht="20" customHeight="1" spans="1:16" s="23" customFormat="1" x14ac:dyDescent="0.25">
      <c r="A835" s="24" t="s">
        <v>583</v>
      </c>
      <c r="B835" s="24" t="s">
        <v>2483</v>
      </c>
      <c r="C835" s="24" t="s">
        <v>1135</v>
      </c>
      <c r="D835" s="24" t="s">
        <v>2483</v>
      </c>
      <c r="E835" s="24" t="s">
        <v>1645</v>
      </c>
      <c r="F835" s="25" t="s">
        <v>85</v>
      </c>
      <c r="G835" s="24" t="s">
        <v>86</v>
      </c>
      <c r="H835" s="24" t="s">
        <v>87</v>
      </c>
      <c r="I835" s="25" t="s">
        <v>275</v>
      </c>
      <c r="J835" s="25" t="s">
        <v>57</v>
      </c>
      <c r="K835" s="25" t="s">
        <v>2492</v>
      </c>
      <c r="L835" s="25" t="s">
        <v>73</v>
      </c>
      <c r="M835" s="25" t="s">
        <v>275</v>
      </c>
      <c r="N835" s="25" t="s">
        <v>795</v>
      </c>
      <c r="O835" s="25" t="s">
        <v>2493</v>
      </c>
      <c r="P835" s="25" t="s">
        <v>63</v>
      </c>
    </row>
    <row r="836" ht="20" customHeight="1" spans="1:16" x14ac:dyDescent="0.25">
      <c r="A836" s="21" t="s">
        <v>583</v>
      </c>
      <c r="B836" s="21" t="s">
        <v>2494</v>
      </c>
      <c r="C836" s="21" t="s">
        <v>75</v>
      </c>
      <c r="D836" s="21" t="s">
        <v>2494</v>
      </c>
      <c r="E836" s="21" t="s">
        <v>319</v>
      </c>
      <c r="F836" s="22" t="s">
        <v>1847</v>
      </c>
      <c r="G836" s="21" t="s">
        <v>1674</v>
      </c>
      <c r="H836" s="21" t="s">
        <v>55</v>
      </c>
      <c r="I836" s="22" t="s">
        <v>186</v>
      </c>
      <c r="J836" s="22" t="s">
        <v>57</v>
      </c>
      <c r="K836" s="22" t="s">
        <v>596</v>
      </c>
      <c r="L836" s="22" t="s">
        <v>73</v>
      </c>
      <c r="M836" s="22" t="s">
        <v>235</v>
      </c>
      <c r="N836" s="22" t="s">
        <v>389</v>
      </c>
      <c r="O836" s="22" t="s">
        <v>2495</v>
      </c>
      <c r="P836" s="22" t="s">
        <v>63</v>
      </c>
    </row>
    <row r="837" ht="20" customHeight="1" spans="1:16" s="23" customFormat="1" x14ac:dyDescent="0.25">
      <c r="A837" s="24" t="s">
        <v>583</v>
      </c>
      <c r="B837" s="24" t="s">
        <v>2494</v>
      </c>
      <c r="C837" s="24" t="s">
        <v>63</v>
      </c>
      <c r="D837" s="24" t="s">
        <v>63</v>
      </c>
      <c r="E837" s="24" t="s">
        <v>63</v>
      </c>
      <c r="F837" s="25" t="s">
        <v>85</v>
      </c>
      <c r="G837" s="24" t="s">
        <v>2073</v>
      </c>
      <c r="H837" s="24" t="s">
        <v>2020</v>
      </c>
      <c r="I837" s="25" t="s">
        <v>113</v>
      </c>
      <c r="J837" s="25" t="s">
        <v>57</v>
      </c>
      <c r="K837" s="25" t="s">
        <v>101</v>
      </c>
      <c r="L837" s="25" t="s">
        <v>1848</v>
      </c>
      <c r="M837" s="25" t="s">
        <v>235</v>
      </c>
      <c r="N837" s="25" t="s">
        <v>389</v>
      </c>
      <c r="O837" s="25" t="s">
        <v>2496</v>
      </c>
      <c r="P837" s="25" t="s">
        <v>63</v>
      </c>
    </row>
  </sheetData>
  <autoFilter ref="A3:P837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1"/>
  <sheetViews>
    <sheetView workbookViewId="0"/>
  </sheetViews>
  <sheetFormatPr defaultRowHeight="15" outlineLevelRow="0" outlineLevelCol="0" x14ac:dyDescent="55"/>
  <cols>
    <col min="1" max="14" width="50" customWidth="1"/>
  </cols>
  <sheetData>
    <row r="1" ht="30" customHeight="1" spans="1:14" s="26" customFormat="1" x14ac:dyDescent="0.25">
      <c r="A1" s="26" t="s">
        <v>2497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ht="18" customHeight="1" spans="1:14" s="27" customFormat="1" x14ac:dyDescent="0.25">
      <c r="A2" s="27" t="s">
        <v>2498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ht="28" customHeight="1" spans="1:14" s="28" customFormat="1" x14ac:dyDescent="0.25">
      <c r="A3" s="29" t="s">
        <v>2499</v>
      </c>
      <c r="B3" s="29" t="s">
        <v>2500</v>
      </c>
      <c r="C3" s="29" t="s">
        <v>2501</v>
      </c>
      <c r="D3" s="29" t="s">
        <v>2502</v>
      </c>
      <c r="E3" s="29" t="s">
        <v>2503</v>
      </c>
      <c r="F3" s="29" t="s">
        <v>2504</v>
      </c>
      <c r="G3" s="29" t="s">
        <v>2505</v>
      </c>
      <c r="H3" s="29" t="s">
        <v>2506</v>
      </c>
      <c r="I3" s="29" t="s">
        <v>2507</v>
      </c>
      <c r="J3" s="29" t="s">
        <v>2508</v>
      </c>
      <c r="K3" s="29" t="s">
        <v>2509</v>
      </c>
      <c r="L3" s="29" t="s">
        <v>2510</v>
      </c>
      <c r="M3" s="29" t="s">
        <v>2511</v>
      </c>
      <c r="N3" s="29" t="s">
        <v>2512</v>
      </c>
    </row>
    <row r="4" ht="20" customHeight="1" spans="1:14" x14ac:dyDescent="0.25">
      <c r="A4" s="21" t="s">
        <v>2513</v>
      </c>
      <c r="B4" s="21" t="s">
        <v>2514</v>
      </c>
      <c r="C4" s="22" t="s">
        <v>2515</v>
      </c>
      <c r="D4" s="30">
        <v>200</v>
      </c>
      <c r="E4" s="31">
        <v>856</v>
      </c>
      <c r="F4" s="22" t="s">
        <v>2516</v>
      </c>
      <c r="G4" s="21" t="s">
        <v>2517</v>
      </c>
      <c r="H4" s="21" t="s">
        <v>2518</v>
      </c>
      <c r="I4" s="21" t="s">
        <v>2519</v>
      </c>
      <c r="J4" s="21">
        <f>SE(I4="","-",SE(DATA.VALOR(I4)&lt;HOJE(),"VENCIDO",SE(DATA.VALOR(I4)-HOJE()&lt;=30,"CRÍTICO (&lt;=30D)","REGULAR")))</f>
      </c>
      <c r="K4" s="22" t="s">
        <v>2520</v>
      </c>
      <c r="L4" s="22" t="s">
        <v>2521</v>
      </c>
      <c r="M4" s="22" t="s">
        <v>2522</v>
      </c>
      <c r="N4" s="22" t="s">
        <v>2523</v>
      </c>
    </row>
    <row r="5" ht="20" customHeight="1" spans="1:14" s="23" customFormat="1" x14ac:dyDescent="0.25">
      <c r="A5" s="24" t="s">
        <v>2524</v>
      </c>
      <c r="B5" s="24" t="s">
        <v>2514</v>
      </c>
      <c r="C5" s="25" t="s">
        <v>2525</v>
      </c>
      <c r="D5" s="32">
        <v>175</v>
      </c>
      <c r="E5" s="33">
        <v>1046.5</v>
      </c>
      <c r="F5" s="25" t="s">
        <v>2516</v>
      </c>
      <c r="G5" s="24" t="s">
        <v>2517</v>
      </c>
      <c r="H5" s="24" t="s">
        <v>2526</v>
      </c>
      <c r="I5" s="24" t="s">
        <v>1961</v>
      </c>
      <c r="J5" s="24">
        <f>SE(I5="","-",SE(DATA.VALOR(I5)&lt;HOJE(),"VENCIDO",SE(DATA.VALOR(I5)-HOJE()&lt;=30,"CRÍTICO (&lt;=30D)","REGULAR")))</f>
      </c>
      <c r="K5" s="25" t="s">
        <v>2520</v>
      </c>
      <c r="L5" s="25" t="s">
        <v>2521</v>
      </c>
      <c r="M5" s="25" t="s">
        <v>2522</v>
      </c>
      <c r="N5" s="25" t="s">
        <v>2527</v>
      </c>
    </row>
    <row r="6" ht="20" customHeight="1" spans="1:14" x14ac:dyDescent="0.25">
      <c r="A6" s="21" t="s">
        <v>2528</v>
      </c>
      <c r="B6" s="21" t="s">
        <v>63</v>
      </c>
      <c r="C6" s="22" t="s">
        <v>2529</v>
      </c>
      <c r="D6" s="30">
        <v>100</v>
      </c>
      <c r="E6" s="31">
        <v>0</v>
      </c>
      <c r="F6" s="22" t="s">
        <v>2530</v>
      </c>
      <c r="G6" s="21" t="s">
        <v>2531</v>
      </c>
      <c r="H6" s="21" t="s">
        <v>2532</v>
      </c>
      <c r="I6" s="21" t="s">
        <v>1498</v>
      </c>
      <c r="J6" s="21">
        <f>SE(I6="","-",SE(DATA.VALOR(I6)&lt;HOJE(),"VENCIDO",SE(DATA.VALOR(I6)-HOJE()&lt;=30,"CRÍTICO (&lt;=30D)","REGULAR")))</f>
      </c>
      <c r="K6" s="22" t="s">
        <v>63</v>
      </c>
      <c r="L6" s="22" t="s">
        <v>63</v>
      </c>
      <c r="M6" s="22" t="s">
        <v>63</v>
      </c>
      <c r="N6" s="22" t="s">
        <v>2533</v>
      </c>
    </row>
    <row r="7" ht="20" customHeight="1" spans="1:14" s="23" customFormat="1" x14ac:dyDescent="0.25">
      <c r="A7" s="24" t="s">
        <v>2534</v>
      </c>
      <c r="B7" s="24" t="s">
        <v>63</v>
      </c>
      <c r="C7" s="25" t="s">
        <v>2535</v>
      </c>
      <c r="D7" s="32">
        <v>192</v>
      </c>
      <c r="E7" s="33">
        <v>0</v>
      </c>
      <c r="F7" s="25" t="s">
        <v>2530</v>
      </c>
      <c r="G7" s="24" t="s">
        <v>2531</v>
      </c>
      <c r="H7" s="24" t="s">
        <v>2536</v>
      </c>
      <c r="I7" s="24" t="s">
        <v>2537</v>
      </c>
      <c r="J7" s="24">
        <f>SE(I7="","-",SE(DATA.VALOR(I7)&lt;HOJE(),"VENCIDO",SE(DATA.VALOR(I7)-HOJE()&lt;=30,"CRÍTICO (&lt;=30D)","REGULAR")))</f>
      </c>
      <c r="K7" s="25" t="s">
        <v>63</v>
      </c>
      <c r="L7" s="25" t="s">
        <v>63</v>
      </c>
      <c r="M7" s="25" t="s">
        <v>63</v>
      </c>
      <c r="N7" s="25" t="s">
        <v>2538</v>
      </c>
    </row>
    <row r="8" ht="20" customHeight="1" spans="1:14" x14ac:dyDescent="0.25">
      <c r="A8" s="21" t="s">
        <v>2539</v>
      </c>
      <c r="B8" s="21" t="s">
        <v>63</v>
      </c>
      <c r="C8" s="22" t="s">
        <v>2540</v>
      </c>
      <c r="D8" s="30">
        <v>1065</v>
      </c>
      <c r="E8" s="31">
        <v>0</v>
      </c>
      <c r="F8" s="22" t="s">
        <v>2530</v>
      </c>
      <c r="G8" s="21" t="s">
        <v>2531</v>
      </c>
      <c r="H8" s="21" t="s">
        <v>2541</v>
      </c>
      <c r="I8" s="21" t="s">
        <v>2542</v>
      </c>
      <c r="J8" s="21">
        <f>SE(I8="","-",SE(DATA.VALOR(I8)&lt;HOJE(),"VENCIDO",SE(DATA.VALOR(I8)-HOJE()&lt;=30,"CRÍTICO (&lt;=30D)","REGULAR")))</f>
      </c>
      <c r="K8" s="22" t="s">
        <v>63</v>
      </c>
      <c r="L8" s="22" t="s">
        <v>63</v>
      </c>
      <c r="M8" s="22" t="s">
        <v>63</v>
      </c>
      <c r="N8" s="22" t="s">
        <v>2543</v>
      </c>
    </row>
    <row r="9" ht="20" customHeight="1" spans="1:14" s="23" customFormat="1" x14ac:dyDescent="0.25">
      <c r="A9" s="24" t="s">
        <v>2544</v>
      </c>
      <c r="B9" s="24" t="s">
        <v>63</v>
      </c>
      <c r="C9" s="25" t="s">
        <v>2545</v>
      </c>
      <c r="D9" s="32">
        <v>35</v>
      </c>
      <c r="E9" s="33">
        <v>0</v>
      </c>
      <c r="F9" s="25" t="s">
        <v>2530</v>
      </c>
      <c r="G9" s="24" t="s">
        <v>2531</v>
      </c>
      <c r="H9" s="24" t="s">
        <v>2546</v>
      </c>
      <c r="I9" s="24" t="s">
        <v>2547</v>
      </c>
      <c r="J9" s="24">
        <f>SE(I9="","-",SE(DATA.VALOR(I9)&lt;HOJE(),"VENCIDO",SE(DATA.VALOR(I9)-HOJE()&lt;=30,"CRÍTICO (&lt;=30D)","REGULAR")))</f>
      </c>
      <c r="K9" s="25" t="s">
        <v>63</v>
      </c>
      <c r="L9" s="25" t="s">
        <v>63</v>
      </c>
      <c r="M9" s="25" t="s">
        <v>63</v>
      </c>
      <c r="N9" s="25" t="s">
        <v>2548</v>
      </c>
    </row>
    <row r="10" ht="20" customHeight="1" spans="1:14" x14ac:dyDescent="0.25">
      <c r="A10" s="21" t="s">
        <v>2549</v>
      </c>
      <c r="B10" s="21" t="s">
        <v>2550</v>
      </c>
      <c r="C10" s="22" t="s">
        <v>2551</v>
      </c>
      <c r="D10" s="30">
        <v>1500</v>
      </c>
      <c r="E10" s="31">
        <v>6300</v>
      </c>
      <c r="F10" s="22" t="s">
        <v>2552</v>
      </c>
      <c r="G10" s="21" t="s">
        <v>2553</v>
      </c>
      <c r="H10" s="21" t="s">
        <v>2554</v>
      </c>
      <c r="I10" s="21" t="s">
        <v>1659</v>
      </c>
      <c r="J10" s="21">
        <f>SE(I10="","-",SE(DATA.VALOR(I10)&lt;HOJE(),"VENCIDO",SE(DATA.VALOR(I10)-HOJE()&lt;=30,"CRÍTICO (&lt;=30D)","REGULAR")))</f>
      </c>
      <c r="K10" s="22" t="s">
        <v>2555</v>
      </c>
      <c r="L10" s="22" t="s">
        <v>2556</v>
      </c>
      <c r="M10" s="22" t="s">
        <v>2557</v>
      </c>
      <c r="N10" s="22" t="s">
        <v>2558</v>
      </c>
    </row>
    <row r="11" ht="20" customHeight="1" spans="1:14" s="23" customFormat="1" x14ac:dyDescent="0.25">
      <c r="A11" s="24" t="s">
        <v>2559</v>
      </c>
      <c r="B11" s="24" t="s">
        <v>63</v>
      </c>
      <c r="C11" s="25" t="s">
        <v>2560</v>
      </c>
      <c r="D11" s="32">
        <v>250</v>
      </c>
      <c r="E11" s="33">
        <v>0</v>
      </c>
      <c r="F11" s="25" t="s">
        <v>2561</v>
      </c>
      <c r="G11" s="24" t="s">
        <v>2562</v>
      </c>
      <c r="H11" s="24" t="s">
        <v>2563</v>
      </c>
      <c r="I11" s="24" t="s">
        <v>2564</v>
      </c>
      <c r="J11" s="24">
        <f>SE(I11="","-",SE(DATA.VALOR(I11)&lt;HOJE(),"VENCIDO",SE(DATA.VALOR(I11)-HOJE()&lt;=30,"CRÍTICO (&lt;=30D)","REGULAR")))</f>
      </c>
      <c r="K11" s="25" t="s">
        <v>63</v>
      </c>
      <c r="L11" s="25" t="s">
        <v>63</v>
      </c>
      <c r="M11" s="25" t="s">
        <v>63</v>
      </c>
      <c r="N11" s="25" t="s">
        <v>2565</v>
      </c>
    </row>
    <row r="12" ht="20" customHeight="1" spans="1:14" x14ac:dyDescent="0.25">
      <c r="A12" s="21" t="s">
        <v>2566</v>
      </c>
      <c r="B12" s="21" t="s">
        <v>63</v>
      </c>
      <c r="C12" s="22" t="s">
        <v>2560</v>
      </c>
      <c r="D12" s="30">
        <v>250</v>
      </c>
      <c r="E12" s="31">
        <v>0</v>
      </c>
      <c r="F12" s="22" t="s">
        <v>2561</v>
      </c>
      <c r="G12" s="21" t="s">
        <v>2567</v>
      </c>
      <c r="H12" s="21" t="s">
        <v>2568</v>
      </c>
      <c r="I12" s="21" t="s">
        <v>2569</v>
      </c>
      <c r="J12" s="21">
        <f>SE(I12="","-",SE(DATA.VALOR(I12)&lt;HOJE(),"VENCIDO",SE(DATA.VALOR(I12)-HOJE()&lt;=30,"CRÍTICO (&lt;=30D)","REGULAR")))</f>
      </c>
      <c r="K12" s="22" t="s">
        <v>63</v>
      </c>
      <c r="L12" s="22" t="s">
        <v>63</v>
      </c>
      <c r="M12" s="22" t="s">
        <v>63</v>
      </c>
      <c r="N12" s="22" t="s">
        <v>2570</v>
      </c>
    </row>
    <row r="13" ht="20" customHeight="1" spans="1:14" s="23" customFormat="1" x14ac:dyDescent="0.25">
      <c r="A13" s="24" t="s">
        <v>2571</v>
      </c>
      <c r="B13" s="24" t="s">
        <v>63</v>
      </c>
      <c r="C13" s="25" t="s">
        <v>2572</v>
      </c>
      <c r="D13" s="32">
        <v>200</v>
      </c>
      <c r="E13" s="33">
        <v>0</v>
      </c>
      <c r="F13" s="25" t="s">
        <v>2561</v>
      </c>
      <c r="G13" s="24" t="s">
        <v>2567</v>
      </c>
      <c r="H13" s="24" t="s">
        <v>2563</v>
      </c>
      <c r="I13" s="24" t="s">
        <v>2564</v>
      </c>
      <c r="J13" s="24">
        <f>SE(I13="","-",SE(DATA.VALOR(I13)&lt;HOJE(),"VENCIDO",SE(DATA.VALOR(I13)-HOJE()&lt;=30,"CRÍTICO (&lt;=30D)","REGULAR")))</f>
      </c>
      <c r="K13" s="25" t="s">
        <v>63</v>
      </c>
      <c r="L13" s="25" t="s">
        <v>63</v>
      </c>
      <c r="M13" s="25" t="s">
        <v>63</v>
      </c>
      <c r="N13" s="25" t="s">
        <v>2573</v>
      </c>
    </row>
    <row r="14" ht="20" customHeight="1" spans="1:14" x14ac:dyDescent="0.25">
      <c r="A14" s="21" t="s">
        <v>2574</v>
      </c>
      <c r="B14" s="21" t="s">
        <v>2575</v>
      </c>
      <c r="C14" s="22" t="s">
        <v>2572</v>
      </c>
      <c r="D14" s="30">
        <v>200</v>
      </c>
      <c r="E14" s="31">
        <v>0</v>
      </c>
      <c r="F14" s="22" t="s">
        <v>2561</v>
      </c>
      <c r="G14" s="21" t="s">
        <v>2562</v>
      </c>
      <c r="H14" s="21" t="s">
        <v>2563</v>
      </c>
      <c r="I14" s="21" t="s">
        <v>2564</v>
      </c>
      <c r="J14" s="21">
        <f>SE(I14="","-",SE(DATA.VALOR(I14)&lt;HOJE(),"VENCIDO",SE(DATA.VALOR(I14)-HOJE()&lt;=30,"CRÍTICO (&lt;=30D)","REGULAR")))</f>
      </c>
      <c r="K14" s="22" t="s">
        <v>63</v>
      </c>
      <c r="L14" s="22" t="s">
        <v>63</v>
      </c>
      <c r="M14" s="22" t="s">
        <v>63</v>
      </c>
      <c r="N14" s="22" t="s">
        <v>2576</v>
      </c>
    </row>
    <row r="15" ht="20" customHeight="1" spans="1:14" s="23" customFormat="1" x14ac:dyDescent="0.25">
      <c r="A15" s="24" t="s">
        <v>2577</v>
      </c>
      <c r="B15" s="24" t="s">
        <v>63</v>
      </c>
      <c r="C15" s="25" t="s">
        <v>2578</v>
      </c>
      <c r="D15" s="32">
        <v>845</v>
      </c>
      <c r="E15" s="33">
        <v>0</v>
      </c>
      <c r="F15" s="25" t="s">
        <v>2579</v>
      </c>
      <c r="G15" s="24" t="s">
        <v>2580</v>
      </c>
      <c r="H15" s="24" t="s">
        <v>2581</v>
      </c>
      <c r="I15" s="24" t="s">
        <v>2582</v>
      </c>
      <c r="J15" s="24">
        <f>SE(I15="","-",SE(DATA.VALOR(I15)&lt;HOJE(),"VENCIDO",SE(DATA.VALOR(I15)-HOJE()&lt;=30,"CRÍTICO (&lt;=30D)","REGULAR")))</f>
      </c>
      <c r="K15" s="25" t="s">
        <v>63</v>
      </c>
      <c r="L15" s="25" t="s">
        <v>63</v>
      </c>
      <c r="M15" s="25" t="s">
        <v>63</v>
      </c>
      <c r="N15" s="25" t="s">
        <v>2583</v>
      </c>
    </row>
    <row r="16" ht="20" customHeight="1" spans="1:14" x14ac:dyDescent="0.25">
      <c r="A16" s="21" t="s">
        <v>2584</v>
      </c>
      <c r="B16" s="21" t="s">
        <v>2585</v>
      </c>
      <c r="C16" s="22" t="s">
        <v>2586</v>
      </c>
      <c r="D16" s="30">
        <v>2016</v>
      </c>
      <c r="E16" s="31">
        <v>13305.599999999999</v>
      </c>
      <c r="F16" s="22" t="s">
        <v>2587</v>
      </c>
      <c r="G16" s="21" t="s">
        <v>2588</v>
      </c>
      <c r="H16" s="21" t="s">
        <v>2589</v>
      </c>
      <c r="I16" s="21" t="s">
        <v>2590</v>
      </c>
      <c r="J16" s="21">
        <f>SE(I16="","-",SE(DATA.VALOR(I16)&lt;HOJE(),"VENCIDO",SE(DATA.VALOR(I16)-HOJE()&lt;=30,"CRÍTICO (&lt;=30D)","REGULAR")))</f>
      </c>
      <c r="K16" s="22" t="s">
        <v>2591</v>
      </c>
      <c r="L16" s="22" t="s">
        <v>2592</v>
      </c>
      <c r="M16" s="22" t="s">
        <v>2593</v>
      </c>
      <c r="N16" s="22" t="s">
        <v>2594</v>
      </c>
    </row>
    <row r="17" ht="20" customHeight="1" spans="1:14" s="23" customFormat="1" x14ac:dyDescent="0.25">
      <c r="A17" s="24" t="s">
        <v>2595</v>
      </c>
      <c r="B17" s="24" t="s">
        <v>2585</v>
      </c>
      <c r="C17" s="25" t="s">
        <v>2596</v>
      </c>
      <c r="D17" s="32">
        <v>1206</v>
      </c>
      <c r="E17" s="33">
        <v>6488.28</v>
      </c>
      <c r="F17" s="25" t="s">
        <v>2587</v>
      </c>
      <c r="G17" s="24" t="s">
        <v>2588</v>
      </c>
      <c r="H17" s="24" t="s">
        <v>2597</v>
      </c>
      <c r="I17" s="24" t="s">
        <v>1877</v>
      </c>
      <c r="J17" s="24">
        <f>SE(I17="","-",SE(DATA.VALOR(I17)&lt;HOJE(),"VENCIDO",SE(DATA.VALOR(I17)-HOJE()&lt;=30,"CRÍTICO (&lt;=30D)","REGULAR")))</f>
      </c>
      <c r="K17" s="25" t="s">
        <v>2591</v>
      </c>
      <c r="L17" s="25" t="s">
        <v>2592</v>
      </c>
      <c r="M17" s="25" t="s">
        <v>2598</v>
      </c>
      <c r="N17" s="25" t="s">
        <v>2599</v>
      </c>
    </row>
    <row r="18" ht="20" customHeight="1" spans="1:14" x14ac:dyDescent="0.25">
      <c r="A18" s="21" t="s">
        <v>2600</v>
      </c>
      <c r="B18" s="21" t="s">
        <v>63</v>
      </c>
      <c r="C18" s="22" t="s">
        <v>2578</v>
      </c>
      <c r="D18" s="30">
        <v>5000</v>
      </c>
      <c r="E18" s="31">
        <v>0</v>
      </c>
      <c r="F18" s="22" t="s">
        <v>2601</v>
      </c>
      <c r="G18" s="21" t="s">
        <v>2602</v>
      </c>
      <c r="H18" s="21" t="s">
        <v>2603</v>
      </c>
      <c r="I18" s="21" t="s">
        <v>1325</v>
      </c>
      <c r="J18" s="21">
        <f>SE(I18="","-",SE(DATA.VALOR(I18)&lt;HOJE(),"VENCIDO",SE(DATA.VALOR(I18)-HOJE()&lt;=30,"CRÍTICO (&lt;=30D)","REGULAR")))</f>
      </c>
      <c r="K18" s="22" t="s">
        <v>63</v>
      </c>
      <c r="L18" s="22" t="s">
        <v>63</v>
      </c>
      <c r="M18" s="22" t="s">
        <v>63</v>
      </c>
      <c r="N18" s="22" t="s">
        <v>2599</v>
      </c>
    </row>
    <row r="19" ht="20" customHeight="1" spans="1:14" s="23" customFormat="1" x14ac:dyDescent="0.25">
      <c r="A19" s="24" t="s">
        <v>2604</v>
      </c>
      <c r="B19" s="24" t="s">
        <v>2605</v>
      </c>
      <c r="C19" s="25" t="s">
        <v>2606</v>
      </c>
      <c r="D19" s="32">
        <v>1000</v>
      </c>
      <c r="E19" s="33">
        <v>26550</v>
      </c>
      <c r="F19" s="25" t="s">
        <v>2607</v>
      </c>
      <c r="G19" s="24" t="s">
        <v>2608</v>
      </c>
      <c r="H19" s="24" t="s">
        <v>2609</v>
      </c>
      <c r="I19" s="24" t="s">
        <v>671</v>
      </c>
      <c r="J19" s="24">
        <f>SE(I19="","-",SE(DATA.VALOR(I19)&lt;HOJE(),"VENCIDO",SE(DATA.VALOR(I19)-HOJE()&lt;=30,"CRÍTICO (&lt;=30D)","REGULAR")))</f>
      </c>
      <c r="K19" s="25" t="s">
        <v>2610</v>
      </c>
      <c r="L19" s="25" t="s">
        <v>2611</v>
      </c>
      <c r="M19" s="25" t="s">
        <v>2612</v>
      </c>
      <c r="N19" s="25" t="s">
        <v>2613</v>
      </c>
    </row>
    <row r="20" ht="20" customHeight="1" spans="1:14" x14ac:dyDescent="0.25">
      <c r="A20" s="21" t="s">
        <v>2614</v>
      </c>
      <c r="B20" s="21" t="s">
        <v>63</v>
      </c>
      <c r="C20" s="22" t="s">
        <v>2615</v>
      </c>
      <c r="D20" s="30">
        <v>190</v>
      </c>
      <c r="E20" s="31">
        <v>0</v>
      </c>
      <c r="F20" s="22" t="s">
        <v>2616</v>
      </c>
      <c r="G20" s="21" t="s">
        <v>2617</v>
      </c>
      <c r="H20" s="21" t="s">
        <v>2618</v>
      </c>
      <c r="I20" s="21" t="s">
        <v>2619</v>
      </c>
      <c r="J20" s="21">
        <f>SE(I20="","-",SE(DATA.VALOR(I20)&lt;HOJE(),"VENCIDO",SE(DATA.VALOR(I20)-HOJE()&lt;=30,"CRÍTICO (&lt;=30D)","REGULAR")))</f>
      </c>
      <c r="K20" s="22" t="s">
        <v>63</v>
      </c>
      <c r="L20" s="22" t="s">
        <v>63</v>
      </c>
      <c r="M20" s="22" t="s">
        <v>63</v>
      </c>
      <c r="N20" s="22" t="s">
        <v>2620</v>
      </c>
    </row>
    <row r="21" ht="20" customHeight="1" spans="1:14" s="23" customFormat="1" x14ac:dyDescent="0.25">
      <c r="A21" s="24" t="s">
        <v>2621</v>
      </c>
      <c r="B21" s="24" t="s">
        <v>63</v>
      </c>
      <c r="C21" s="25" t="s">
        <v>2622</v>
      </c>
      <c r="D21" s="32">
        <v>10</v>
      </c>
      <c r="E21" s="33">
        <v>0</v>
      </c>
      <c r="F21" s="25" t="s">
        <v>2616</v>
      </c>
      <c r="G21" s="24" t="s">
        <v>2617</v>
      </c>
      <c r="H21" s="24" t="s">
        <v>2618</v>
      </c>
      <c r="I21" s="24" t="s">
        <v>2619</v>
      </c>
      <c r="J21" s="24">
        <f>SE(I21="","-",SE(DATA.VALOR(I21)&lt;HOJE(),"VENCIDO",SE(DATA.VALOR(I21)-HOJE()&lt;=30,"CRÍTICO (&lt;=30D)","REGULAR")))</f>
      </c>
      <c r="K21" s="25" t="s">
        <v>63</v>
      </c>
      <c r="L21" s="25" t="s">
        <v>63</v>
      </c>
      <c r="M21" s="25" t="s">
        <v>63</v>
      </c>
      <c r="N21" s="25" t="s">
        <v>2620</v>
      </c>
    </row>
    <row r="22" ht="20" customHeight="1" spans="1:14" x14ac:dyDescent="0.25">
      <c r="A22" s="21" t="s">
        <v>2623</v>
      </c>
      <c r="B22" s="21" t="s">
        <v>2605</v>
      </c>
      <c r="C22" s="22" t="s">
        <v>2624</v>
      </c>
      <c r="D22" s="30">
        <v>1200</v>
      </c>
      <c r="E22" s="31">
        <v>26460</v>
      </c>
      <c r="F22" s="22" t="s">
        <v>2607</v>
      </c>
      <c r="G22" s="21" t="s">
        <v>2625</v>
      </c>
      <c r="H22" s="21" t="s">
        <v>2626</v>
      </c>
      <c r="I22" s="21" t="s">
        <v>694</v>
      </c>
      <c r="J22" s="21">
        <f>SE(I22="","-",SE(DATA.VALOR(I22)&lt;HOJE(),"VENCIDO",SE(DATA.VALOR(I22)-HOJE()&lt;=30,"CRÍTICO (&lt;=30D)","REGULAR")))</f>
      </c>
      <c r="K22" s="22" t="s">
        <v>2627</v>
      </c>
      <c r="L22" s="22" t="s">
        <v>2611</v>
      </c>
      <c r="M22" s="22" t="s">
        <v>2628</v>
      </c>
      <c r="N22" s="22" t="s">
        <v>2629</v>
      </c>
    </row>
    <row r="23" ht="20" customHeight="1" spans="1:14" s="23" customFormat="1" x14ac:dyDescent="0.25">
      <c r="A23" s="24" t="s">
        <v>2630</v>
      </c>
      <c r="B23" s="24" t="s">
        <v>2631</v>
      </c>
      <c r="C23" s="25" t="s">
        <v>2632</v>
      </c>
      <c r="D23" s="32">
        <v>400</v>
      </c>
      <c r="E23" s="33">
        <v>1400</v>
      </c>
      <c r="F23" s="25" t="s">
        <v>2633</v>
      </c>
      <c r="G23" s="24" t="s">
        <v>2634</v>
      </c>
      <c r="H23" s="24" t="s">
        <v>2635</v>
      </c>
      <c r="I23" s="24" t="s">
        <v>2636</v>
      </c>
      <c r="J23" s="24">
        <f>SE(I23="","-",SE(DATA.VALOR(I23)&lt;HOJE(),"VENCIDO",SE(DATA.VALOR(I23)-HOJE()&lt;=30,"CRÍTICO (&lt;=30D)","REGULAR")))</f>
      </c>
      <c r="K23" s="25" t="s">
        <v>2637</v>
      </c>
      <c r="L23" s="25" t="s">
        <v>2638</v>
      </c>
      <c r="M23" s="25" t="s">
        <v>63</v>
      </c>
      <c r="N23" s="25" t="s">
        <v>2639</v>
      </c>
    </row>
    <row r="24" ht="20" customHeight="1" spans="1:14" x14ac:dyDescent="0.25">
      <c r="A24" s="21" t="s">
        <v>2640</v>
      </c>
      <c r="B24" s="21" t="s">
        <v>2641</v>
      </c>
      <c r="C24" s="22" t="s">
        <v>2642</v>
      </c>
      <c r="D24" s="30">
        <v>76</v>
      </c>
      <c r="E24" s="31">
        <v>220.4</v>
      </c>
      <c r="F24" s="22" t="s">
        <v>2643</v>
      </c>
      <c r="G24" s="21" t="s">
        <v>2644</v>
      </c>
      <c r="H24" s="21" t="s">
        <v>2645</v>
      </c>
      <c r="I24" s="21" t="s">
        <v>2646</v>
      </c>
      <c r="J24" s="21">
        <f>SE(I24="","-",SE(DATA.VALOR(I24)&lt;HOJE(),"VENCIDO",SE(DATA.VALOR(I24)-HOJE()&lt;=30,"CRÍTICO (&lt;=30D)","REGULAR")))</f>
      </c>
      <c r="K24" s="22" t="s">
        <v>2647</v>
      </c>
      <c r="L24" s="22" t="s">
        <v>2648</v>
      </c>
      <c r="M24" s="22" t="s">
        <v>2649</v>
      </c>
      <c r="N24" s="22" t="s">
        <v>2650</v>
      </c>
    </row>
    <row r="25" ht="20" customHeight="1" spans="1:14" s="23" customFormat="1" x14ac:dyDescent="0.25">
      <c r="A25" s="24" t="s">
        <v>2651</v>
      </c>
      <c r="B25" s="24" t="s">
        <v>63</v>
      </c>
      <c r="C25" s="25" t="s">
        <v>2578</v>
      </c>
      <c r="D25" s="32">
        <v>800</v>
      </c>
      <c r="E25" s="33">
        <v>0</v>
      </c>
      <c r="F25" s="25" t="s">
        <v>2652</v>
      </c>
      <c r="G25" s="24" t="s">
        <v>2653</v>
      </c>
      <c r="H25" s="24" t="s">
        <v>63</v>
      </c>
      <c r="I25" s="24" t="s">
        <v>2654</v>
      </c>
      <c r="J25" s="24">
        <f>SE(I25="","-",SE(DATA.VALOR(I25)&lt;HOJE(),"VENCIDO",SE(DATA.VALOR(I25)-HOJE()&lt;=30,"CRÍTICO (&lt;=30D)","REGULAR")))</f>
      </c>
      <c r="K25" s="25" t="s">
        <v>63</v>
      </c>
      <c r="L25" s="25" t="s">
        <v>63</v>
      </c>
      <c r="M25" s="25" t="s">
        <v>63</v>
      </c>
      <c r="N25" s="25" t="s">
        <v>2650</v>
      </c>
    </row>
    <row r="26" ht="20" customHeight="1" spans="1:14" x14ac:dyDescent="0.25">
      <c r="A26" s="21" t="s">
        <v>2655</v>
      </c>
      <c r="B26" s="21" t="s">
        <v>2631</v>
      </c>
      <c r="C26" s="22" t="s">
        <v>2656</v>
      </c>
      <c r="D26" s="30">
        <v>200</v>
      </c>
      <c r="E26" s="31">
        <v>580</v>
      </c>
      <c r="F26" s="22" t="s">
        <v>2633</v>
      </c>
      <c r="G26" s="21" t="s">
        <v>2634</v>
      </c>
      <c r="H26" s="21" t="s">
        <v>2657</v>
      </c>
      <c r="I26" s="21" t="s">
        <v>1961</v>
      </c>
      <c r="J26" s="21">
        <f>SE(I26="","-",SE(DATA.VALOR(I26)&lt;HOJE(),"VENCIDO",SE(DATA.VALOR(I26)-HOJE()&lt;=30,"CRÍTICO (&lt;=30D)","REGULAR")))</f>
      </c>
      <c r="K26" s="22" t="s">
        <v>2637</v>
      </c>
      <c r="L26" s="22" t="s">
        <v>2638</v>
      </c>
      <c r="M26" s="22" t="s">
        <v>63</v>
      </c>
      <c r="N26" s="22" t="s">
        <v>2658</v>
      </c>
    </row>
    <row r="27" ht="20" customHeight="1" spans="1:14" s="23" customFormat="1" x14ac:dyDescent="0.25">
      <c r="A27" s="24" t="s">
        <v>2659</v>
      </c>
      <c r="B27" s="24" t="s">
        <v>2631</v>
      </c>
      <c r="C27" s="25" t="s">
        <v>2660</v>
      </c>
      <c r="D27" s="32">
        <v>1800</v>
      </c>
      <c r="E27" s="33">
        <v>3582</v>
      </c>
      <c r="F27" s="25" t="s">
        <v>2633</v>
      </c>
      <c r="G27" s="24" t="s">
        <v>2634</v>
      </c>
      <c r="H27" s="24" t="s">
        <v>2661</v>
      </c>
      <c r="I27" s="24" t="s">
        <v>2662</v>
      </c>
      <c r="J27" s="24">
        <f>SE(I27="","-",SE(DATA.VALOR(I27)&lt;HOJE(),"VENCIDO",SE(DATA.VALOR(I27)-HOJE()&lt;=30,"CRÍTICO (&lt;=30D)","REGULAR")))</f>
      </c>
      <c r="K27" s="25" t="s">
        <v>2637</v>
      </c>
      <c r="L27" s="25" t="s">
        <v>2638</v>
      </c>
      <c r="M27" s="25" t="s">
        <v>2663</v>
      </c>
      <c r="N27" s="25" t="s">
        <v>2658</v>
      </c>
    </row>
    <row r="28" ht="20" customHeight="1" spans="1:14" x14ac:dyDescent="0.25">
      <c r="A28" s="21" t="s">
        <v>2664</v>
      </c>
      <c r="B28" s="21" t="s">
        <v>2665</v>
      </c>
      <c r="C28" s="22" t="s">
        <v>2666</v>
      </c>
      <c r="D28" s="30">
        <v>68.18</v>
      </c>
      <c r="E28" s="31">
        <v>214.77</v>
      </c>
      <c r="F28" s="22" t="s">
        <v>2667</v>
      </c>
      <c r="G28" s="21" t="s">
        <v>2668</v>
      </c>
      <c r="H28" s="21" t="s">
        <v>2669</v>
      </c>
      <c r="I28" s="21" t="s">
        <v>2654</v>
      </c>
      <c r="J28" s="21">
        <f>SE(I28="","-",SE(DATA.VALOR(I28)&lt;HOJE(),"VENCIDO",SE(DATA.VALOR(I28)-HOJE()&lt;=30,"CRÍTICO (&lt;=30D)","REGULAR")))</f>
      </c>
      <c r="K28" s="22" t="s">
        <v>2670</v>
      </c>
      <c r="L28" s="22" t="s">
        <v>2671</v>
      </c>
      <c r="M28" s="22" t="s">
        <v>2672</v>
      </c>
      <c r="N28" s="22" t="s">
        <v>2673</v>
      </c>
    </row>
    <row r="29" ht="20" customHeight="1" spans="1:14" s="23" customFormat="1" x14ac:dyDescent="0.25">
      <c r="A29" s="24" t="s">
        <v>2674</v>
      </c>
      <c r="B29" s="24" t="s">
        <v>2665</v>
      </c>
      <c r="C29" s="25" t="s">
        <v>2675</v>
      </c>
      <c r="D29" s="32">
        <v>150</v>
      </c>
      <c r="E29" s="33">
        <v>592.5</v>
      </c>
      <c r="F29" s="25" t="s">
        <v>2667</v>
      </c>
      <c r="G29" s="24" t="s">
        <v>2668</v>
      </c>
      <c r="H29" s="24" t="s">
        <v>2676</v>
      </c>
      <c r="I29" s="24" t="s">
        <v>2654</v>
      </c>
      <c r="J29" s="24">
        <f>SE(I29="","-",SE(DATA.VALOR(I29)&lt;HOJE(),"VENCIDO",SE(DATA.VALOR(I29)-HOJE()&lt;=30,"CRÍTICO (&lt;=30D)","REGULAR")))</f>
      </c>
      <c r="K29" s="25" t="s">
        <v>2670</v>
      </c>
      <c r="L29" s="25" t="s">
        <v>2671</v>
      </c>
      <c r="M29" s="25" t="s">
        <v>63</v>
      </c>
      <c r="N29" s="25" t="s">
        <v>2677</v>
      </c>
    </row>
    <row r="30" ht="20" customHeight="1" spans="1:14" x14ac:dyDescent="0.25">
      <c r="A30" s="21" t="s">
        <v>2678</v>
      </c>
      <c r="B30" s="21" t="s">
        <v>2665</v>
      </c>
      <c r="C30" s="22" t="s">
        <v>2679</v>
      </c>
      <c r="D30" s="30">
        <v>33.33</v>
      </c>
      <c r="E30" s="31">
        <v>182.65</v>
      </c>
      <c r="F30" s="22" t="s">
        <v>2667</v>
      </c>
      <c r="G30" s="21" t="s">
        <v>2668</v>
      </c>
      <c r="H30" s="21" t="s">
        <v>2676</v>
      </c>
      <c r="I30" s="21" t="s">
        <v>2654</v>
      </c>
      <c r="J30" s="21">
        <f>SE(I30="","-",SE(DATA.VALOR(I30)&lt;HOJE(),"VENCIDO",SE(DATA.VALOR(I30)-HOJE()&lt;=30,"CRÍTICO (&lt;=30D)","REGULAR")))</f>
      </c>
      <c r="K30" s="22" t="s">
        <v>2670</v>
      </c>
      <c r="L30" s="22" t="s">
        <v>2671</v>
      </c>
      <c r="M30" s="22" t="s">
        <v>63</v>
      </c>
      <c r="N30" s="22" t="s">
        <v>2677</v>
      </c>
    </row>
    <row r="31" ht="20" customHeight="1" spans="1:14" s="23" customFormat="1" x14ac:dyDescent="0.25">
      <c r="A31" s="24" t="s">
        <v>2680</v>
      </c>
      <c r="B31" s="24" t="s">
        <v>2641</v>
      </c>
      <c r="C31" s="25" t="s">
        <v>2681</v>
      </c>
      <c r="D31" s="32">
        <v>92</v>
      </c>
      <c r="E31" s="33">
        <v>598</v>
      </c>
      <c r="F31" s="25" t="s">
        <v>2643</v>
      </c>
      <c r="G31" s="24" t="s">
        <v>2644</v>
      </c>
      <c r="H31" s="24" t="s">
        <v>2645</v>
      </c>
      <c r="I31" s="24" t="s">
        <v>2646</v>
      </c>
      <c r="J31" s="24">
        <f>SE(I31="","-",SE(DATA.VALOR(I31)&lt;HOJE(),"VENCIDO",SE(DATA.VALOR(I31)-HOJE()&lt;=30,"CRÍTICO (&lt;=30D)","REGULAR")))</f>
      </c>
      <c r="K31" s="25" t="s">
        <v>2647</v>
      </c>
      <c r="L31" s="25" t="s">
        <v>2648</v>
      </c>
      <c r="M31" s="25" t="s">
        <v>2649</v>
      </c>
      <c r="N31" s="25" t="s">
        <v>2677</v>
      </c>
    </row>
    <row r="32" ht="20" customHeight="1" spans="1:14" x14ac:dyDescent="0.25">
      <c r="A32" s="21" t="s">
        <v>2682</v>
      </c>
      <c r="B32" s="21" t="s">
        <v>2683</v>
      </c>
      <c r="C32" s="22" t="s">
        <v>2684</v>
      </c>
      <c r="D32" s="30">
        <v>273.1</v>
      </c>
      <c r="E32" s="31">
        <v>0</v>
      </c>
      <c r="F32" s="22" t="s">
        <v>2685</v>
      </c>
      <c r="G32" s="21" t="s">
        <v>2686</v>
      </c>
      <c r="H32" s="21" t="s">
        <v>2687</v>
      </c>
      <c r="I32" s="21" t="s">
        <v>2688</v>
      </c>
      <c r="J32" s="21">
        <f>SE(I32="","-",SE(DATA.VALOR(I32)&lt;HOJE(),"VENCIDO",SE(DATA.VALOR(I32)-HOJE()&lt;=30,"CRÍTICO (&lt;=30D)","REGULAR")))</f>
      </c>
      <c r="K32" s="22" t="s">
        <v>2689</v>
      </c>
      <c r="L32" s="22" t="s">
        <v>2690</v>
      </c>
      <c r="M32" s="22" t="s">
        <v>2691</v>
      </c>
      <c r="N32" s="22" t="s">
        <v>2692</v>
      </c>
    </row>
    <row r="33" ht="20" customHeight="1" spans="1:14" s="23" customFormat="1" x14ac:dyDescent="0.25">
      <c r="A33" s="24" t="s">
        <v>2693</v>
      </c>
      <c r="B33" s="24" t="s">
        <v>2683</v>
      </c>
      <c r="C33" s="25" t="s">
        <v>2666</v>
      </c>
      <c r="D33" s="32">
        <v>68.2</v>
      </c>
      <c r="E33" s="33">
        <v>0</v>
      </c>
      <c r="F33" s="25" t="s">
        <v>2685</v>
      </c>
      <c r="G33" s="24" t="s">
        <v>2686</v>
      </c>
      <c r="H33" s="24" t="s">
        <v>2687</v>
      </c>
      <c r="I33" s="24" t="s">
        <v>2688</v>
      </c>
      <c r="J33" s="24">
        <f>SE(I33="","-",SE(DATA.VALOR(I33)&lt;HOJE(),"VENCIDO",SE(DATA.VALOR(I33)-HOJE()&lt;=30,"CRÍTICO (&lt;=30D)","REGULAR")))</f>
      </c>
      <c r="K33" s="25" t="s">
        <v>2689</v>
      </c>
      <c r="L33" s="25" t="s">
        <v>2690</v>
      </c>
      <c r="M33" s="25" t="s">
        <v>2691</v>
      </c>
      <c r="N33" s="25" t="s">
        <v>2694</v>
      </c>
    </row>
    <row r="34" ht="20" customHeight="1" spans="1:14" x14ac:dyDescent="0.25">
      <c r="A34" s="21" t="s">
        <v>2695</v>
      </c>
      <c r="B34" s="21" t="s">
        <v>2683</v>
      </c>
      <c r="C34" s="22" t="s">
        <v>2696</v>
      </c>
      <c r="D34" s="30">
        <v>202.7</v>
      </c>
      <c r="E34" s="31">
        <v>0</v>
      </c>
      <c r="F34" s="22" t="s">
        <v>2685</v>
      </c>
      <c r="G34" s="21" t="s">
        <v>2686</v>
      </c>
      <c r="H34" s="21" t="s">
        <v>2687</v>
      </c>
      <c r="I34" s="21" t="s">
        <v>2688</v>
      </c>
      <c r="J34" s="21">
        <f>SE(I34="","-",SE(DATA.VALOR(I34)&lt;HOJE(),"VENCIDO",SE(DATA.VALOR(I34)-HOJE()&lt;=30,"CRÍTICO (&lt;=30D)","REGULAR")))</f>
      </c>
      <c r="K34" s="22" t="s">
        <v>2689</v>
      </c>
      <c r="L34" s="22" t="s">
        <v>2690</v>
      </c>
      <c r="M34" s="22" t="s">
        <v>2691</v>
      </c>
      <c r="N34" s="22" t="s">
        <v>2697</v>
      </c>
    </row>
    <row r="35" ht="20" customHeight="1" spans="1:14" s="23" customFormat="1" x14ac:dyDescent="0.25">
      <c r="A35" s="24" t="s">
        <v>2698</v>
      </c>
      <c r="B35" s="24" t="s">
        <v>2699</v>
      </c>
      <c r="C35" s="25" t="s">
        <v>2666</v>
      </c>
      <c r="D35" s="32">
        <v>23.5</v>
      </c>
      <c r="E35" s="33">
        <v>0</v>
      </c>
      <c r="F35" s="25" t="s">
        <v>2700</v>
      </c>
      <c r="G35" s="24" t="s">
        <v>2701</v>
      </c>
      <c r="H35" s="24" t="s">
        <v>2702</v>
      </c>
      <c r="I35" s="24" t="s">
        <v>2703</v>
      </c>
      <c r="J35" s="24">
        <f>SE(I35="","-",SE(DATA.VALOR(I35)&lt;HOJE(),"VENCIDO",SE(DATA.VALOR(I35)-HOJE()&lt;=30,"CRÍTICO (&lt;=30D)","REGULAR")))</f>
      </c>
      <c r="K35" s="25" t="s">
        <v>2704</v>
      </c>
      <c r="L35" s="25" t="s">
        <v>2705</v>
      </c>
      <c r="M35" s="25" t="s">
        <v>2706</v>
      </c>
      <c r="N35" s="25" t="s">
        <v>2707</v>
      </c>
    </row>
    <row r="36" ht="20" customHeight="1" spans="1:14" x14ac:dyDescent="0.25">
      <c r="A36" s="21" t="s">
        <v>2708</v>
      </c>
      <c r="B36" s="21" t="s">
        <v>2699</v>
      </c>
      <c r="C36" s="22" t="s">
        <v>2709</v>
      </c>
      <c r="D36" s="30">
        <v>407</v>
      </c>
      <c r="E36" s="31">
        <v>1095.2</v>
      </c>
      <c r="F36" s="22" t="s">
        <v>2700</v>
      </c>
      <c r="G36" s="21" t="s">
        <v>2701</v>
      </c>
      <c r="H36" s="21" t="s">
        <v>2702</v>
      </c>
      <c r="I36" s="21" t="s">
        <v>2703</v>
      </c>
      <c r="J36" s="21">
        <f>SE(I36="","-",SE(DATA.VALOR(I36)&lt;HOJE(),"VENCIDO",SE(DATA.VALOR(I36)-HOJE()&lt;=30,"CRÍTICO (&lt;=30D)","REGULAR")))</f>
      </c>
      <c r="K36" s="22" t="s">
        <v>2704</v>
      </c>
      <c r="L36" s="22" t="s">
        <v>2705</v>
      </c>
      <c r="M36" s="22" t="s">
        <v>2706</v>
      </c>
      <c r="N36" s="22" t="s">
        <v>2710</v>
      </c>
    </row>
    <row r="37" ht="20" customHeight="1" spans="1:14" s="23" customFormat="1" x14ac:dyDescent="0.25">
      <c r="A37" s="24" t="s">
        <v>2711</v>
      </c>
      <c r="B37" s="24" t="s">
        <v>2699</v>
      </c>
      <c r="C37" s="25" t="s">
        <v>2712</v>
      </c>
      <c r="D37" s="32">
        <v>149.5</v>
      </c>
      <c r="E37" s="33">
        <v>270</v>
      </c>
      <c r="F37" s="25" t="s">
        <v>2700</v>
      </c>
      <c r="G37" s="24" t="s">
        <v>2701</v>
      </c>
      <c r="H37" s="24" t="s">
        <v>2702</v>
      </c>
      <c r="I37" s="24" t="s">
        <v>2703</v>
      </c>
      <c r="J37" s="24">
        <f>SE(I37="","-",SE(DATA.VALOR(I37)&lt;HOJE(),"VENCIDO",SE(DATA.VALOR(I37)-HOJE()&lt;=30,"CRÍTICO (&lt;=30D)","REGULAR")))</f>
      </c>
      <c r="K37" s="25" t="s">
        <v>2704</v>
      </c>
      <c r="L37" s="25" t="s">
        <v>2705</v>
      </c>
      <c r="M37" s="25" t="s">
        <v>2706</v>
      </c>
      <c r="N37" s="25" t="s">
        <v>2713</v>
      </c>
    </row>
    <row r="38" ht="20" customHeight="1" spans="1:14" x14ac:dyDescent="0.25">
      <c r="A38" s="21" t="s">
        <v>2714</v>
      </c>
      <c r="B38" s="21" t="s">
        <v>2715</v>
      </c>
      <c r="C38" s="22" t="s">
        <v>2716</v>
      </c>
      <c r="D38" s="30">
        <v>240.9</v>
      </c>
      <c r="E38" s="31">
        <v>1115.63</v>
      </c>
      <c r="F38" s="22" t="s">
        <v>2717</v>
      </c>
      <c r="G38" s="21" t="s">
        <v>2718</v>
      </c>
      <c r="H38" s="21" t="s">
        <v>2719</v>
      </c>
      <c r="I38" s="21" t="s">
        <v>2605</v>
      </c>
      <c r="J38" s="21">
        <f>SE(I38="","-",SE(DATA.VALOR(I38)&lt;HOJE(),"VENCIDO",SE(DATA.VALOR(I38)-HOJE()&lt;=30,"CRÍTICO (&lt;=30D)","REGULAR")))</f>
      </c>
      <c r="K38" s="22" t="s">
        <v>2720</v>
      </c>
      <c r="L38" s="22" t="s">
        <v>2721</v>
      </c>
      <c r="M38" s="22" t="s">
        <v>2722</v>
      </c>
      <c r="N38" s="22" t="s">
        <v>2723</v>
      </c>
    </row>
    <row r="39" ht="20" customHeight="1" spans="1:14" s="23" customFormat="1" x14ac:dyDescent="0.25">
      <c r="A39" s="24" t="s">
        <v>2724</v>
      </c>
      <c r="B39" s="24" t="s">
        <v>2715</v>
      </c>
      <c r="C39" s="25" t="s">
        <v>2696</v>
      </c>
      <c r="D39" s="32">
        <v>276.3</v>
      </c>
      <c r="E39" s="33">
        <v>506.25</v>
      </c>
      <c r="F39" s="25" t="s">
        <v>2717</v>
      </c>
      <c r="G39" s="24" t="s">
        <v>2718</v>
      </c>
      <c r="H39" s="24" t="s">
        <v>2719</v>
      </c>
      <c r="I39" s="24" t="s">
        <v>2605</v>
      </c>
      <c r="J39" s="24">
        <f>SE(I39="","-",SE(DATA.VALOR(I39)&lt;HOJE(),"VENCIDO",SE(DATA.VALOR(I39)-HOJE()&lt;=30,"CRÍTICO (&lt;=30D)","REGULAR")))</f>
      </c>
      <c r="K39" s="25" t="s">
        <v>2720</v>
      </c>
      <c r="L39" s="25" t="s">
        <v>2721</v>
      </c>
      <c r="M39" s="25" t="s">
        <v>2722</v>
      </c>
      <c r="N39" s="25" t="s">
        <v>2725</v>
      </c>
    </row>
    <row r="40" ht="20" customHeight="1" spans="1:14" x14ac:dyDescent="0.25">
      <c r="A40" s="21" t="s">
        <v>2726</v>
      </c>
      <c r="B40" s="21" t="s">
        <v>2715</v>
      </c>
      <c r="C40" s="22" t="s">
        <v>2727</v>
      </c>
      <c r="D40" s="30">
        <v>206.3</v>
      </c>
      <c r="E40" s="31">
        <v>993.75</v>
      </c>
      <c r="F40" s="22" t="s">
        <v>2717</v>
      </c>
      <c r="G40" s="21" t="s">
        <v>2718</v>
      </c>
      <c r="H40" s="21" t="s">
        <v>2719</v>
      </c>
      <c r="I40" s="21" t="s">
        <v>2605</v>
      </c>
      <c r="J40" s="21">
        <f>SE(I40="","-",SE(DATA.VALOR(I40)&lt;HOJE(),"VENCIDO",SE(DATA.VALOR(I40)-HOJE()&lt;=30,"CRÍTICO (&lt;=30D)","REGULAR")))</f>
      </c>
      <c r="K40" s="22" t="s">
        <v>2720</v>
      </c>
      <c r="L40" s="22" t="s">
        <v>2721</v>
      </c>
      <c r="M40" s="22" t="s">
        <v>2722</v>
      </c>
      <c r="N40" s="22" t="s">
        <v>2728</v>
      </c>
    </row>
    <row r="41" ht="20" customHeight="1" spans="1:14" s="23" customFormat="1" x14ac:dyDescent="0.25">
      <c r="A41" s="24" t="s">
        <v>2729</v>
      </c>
      <c r="B41" s="24" t="s">
        <v>2715</v>
      </c>
      <c r="C41" s="25" t="s">
        <v>2730</v>
      </c>
      <c r="D41" s="32">
        <v>40</v>
      </c>
      <c r="E41" s="33">
        <v>1575</v>
      </c>
      <c r="F41" s="25" t="s">
        <v>2717</v>
      </c>
      <c r="G41" s="24" t="s">
        <v>2718</v>
      </c>
      <c r="H41" s="24" t="s">
        <v>2719</v>
      </c>
      <c r="I41" s="24" t="s">
        <v>2605</v>
      </c>
      <c r="J41" s="24">
        <f>SE(I41="","-",SE(DATA.VALOR(I41)&lt;HOJE(),"VENCIDO",SE(DATA.VALOR(I41)-HOJE()&lt;=30,"CRÍTICO (&lt;=30D)","REGULAR")))</f>
      </c>
      <c r="K41" s="25" t="s">
        <v>2720</v>
      </c>
      <c r="L41" s="25" t="s">
        <v>2721</v>
      </c>
      <c r="M41" s="25" t="s">
        <v>2722</v>
      </c>
      <c r="N41" s="25" t="s">
        <v>2731</v>
      </c>
    </row>
    <row r="42" ht="20" customHeight="1" spans="1:14" x14ac:dyDescent="0.25">
      <c r="A42" s="21" t="s">
        <v>2732</v>
      </c>
      <c r="B42" s="21" t="s">
        <v>2733</v>
      </c>
      <c r="C42" s="22" t="s">
        <v>2666</v>
      </c>
      <c r="D42" s="30">
        <v>110</v>
      </c>
      <c r="E42" s="31">
        <v>346.5</v>
      </c>
      <c r="F42" s="22" t="s">
        <v>2734</v>
      </c>
      <c r="G42" s="21" t="s">
        <v>2735</v>
      </c>
      <c r="H42" s="21" t="s">
        <v>2736</v>
      </c>
      <c r="I42" s="21" t="s">
        <v>2699</v>
      </c>
      <c r="J42" s="21">
        <f>SE(I42="","-",SE(DATA.VALOR(I42)&lt;HOJE(),"VENCIDO",SE(DATA.VALOR(I42)-HOJE()&lt;=30,"CRÍTICO (&lt;=30D)","REGULAR")))</f>
      </c>
      <c r="K42" s="22" t="s">
        <v>2737</v>
      </c>
      <c r="L42" s="22" t="s">
        <v>2738</v>
      </c>
      <c r="M42" s="22" t="s">
        <v>63</v>
      </c>
      <c r="N42" s="22" t="s">
        <v>2739</v>
      </c>
    </row>
    <row r="43" ht="20" customHeight="1" spans="1:14" s="23" customFormat="1" x14ac:dyDescent="0.25">
      <c r="A43" s="24" t="s">
        <v>2740</v>
      </c>
      <c r="B43" s="24" t="s">
        <v>2733</v>
      </c>
      <c r="C43" s="25" t="s">
        <v>2741</v>
      </c>
      <c r="D43" s="32">
        <v>210</v>
      </c>
      <c r="E43" s="33">
        <v>714</v>
      </c>
      <c r="F43" s="25" t="s">
        <v>2734</v>
      </c>
      <c r="G43" s="24" t="s">
        <v>2735</v>
      </c>
      <c r="H43" s="24" t="s">
        <v>2736</v>
      </c>
      <c r="I43" s="24" t="s">
        <v>2699</v>
      </c>
      <c r="J43" s="24">
        <f>SE(I43="","-",SE(DATA.VALOR(I43)&lt;HOJE(),"VENCIDO",SE(DATA.VALOR(I43)-HOJE()&lt;=30,"CRÍTICO (&lt;=30D)","REGULAR")))</f>
      </c>
      <c r="K43" s="25" t="s">
        <v>2737</v>
      </c>
      <c r="L43" s="25" t="s">
        <v>2738</v>
      </c>
      <c r="M43" s="25" t="s">
        <v>63</v>
      </c>
      <c r="N43" s="25" t="s">
        <v>2742</v>
      </c>
    </row>
    <row r="44" ht="20" customHeight="1" spans="1:14" x14ac:dyDescent="0.25">
      <c r="A44" s="21" t="s">
        <v>2743</v>
      </c>
      <c r="B44" s="21" t="s">
        <v>2733</v>
      </c>
      <c r="C44" s="22" t="s">
        <v>2675</v>
      </c>
      <c r="D44" s="30">
        <v>156.4</v>
      </c>
      <c r="E44" s="31">
        <v>616.2</v>
      </c>
      <c r="F44" s="22" t="s">
        <v>2734</v>
      </c>
      <c r="G44" s="21" t="s">
        <v>2735</v>
      </c>
      <c r="H44" s="21" t="s">
        <v>2736</v>
      </c>
      <c r="I44" s="21" t="s">
        <v>2699</v>
      </c>
      <c r="J44" s="21">
        <f>SE(I44="","-",SE(DATA.VALOR(I44)&lt;HOJE(),"VENCIDO",SE(DATA.VALOR(I44)-HOJE()&lt;=30,"CRÍTICO (&lt;=30D)","REGULAR")))</f>
      </c>
      <c r="K44" s="22" t="s">
        <v>2737</v>
      </c>
      <c r="L44" s="22" t="s">
        <v>2738</v>
      </c>
      <c r="M44" s="22" t="s">
        <v>63</v>
      </c>
      <c r="N44" s="22" t="s">
        <v>2744</v>
      </c>
    </row>
    <row r="45" ht="20" customHeight="1" spans="1:14" s="23" customFormat="1" x14ac:dyDescent="0.25">
      <c r="A45" s="24" t="s">
        <v>2745</v>
      </c>
      <c r="B45" s="24" t="s">
        <v>2733</v>
      </c>
      <c r="C45" s="25" t="s">
        <v>2746</v>
      </c>
      <c r="D45" s="32">
        <v>225.9</v>
      </c>
      <c r="E45" s="33">
        <v>1327.5</v>
      </c>
      <c r="F45" s="25" t="s">
        <v>2734</v>
      </c>
      <c r="G45" s="24" t="s">
        <v>2735</v>
      </c>
      <c r="H45" s="24" t="s">
        <v>2736</v>
      </c>
      <c r="I45" s="24" t="s">
        <v>2699</v>
      </c>
      <c r="J45" s="24">
        <f>SE(I45="","-",SE(DATA.VALOR(I45)&lt;HOJE(),"VENCIDO",SE(DATA.VALOR(I45)-HOJE()&lt;=30,"CRÍTICO (&lt;=30D)","REGULAR")))</f>
      </c>
      <c r="K45" s="25" t="s">
        <v>2737</v>
      </c>
      <c r="L45" s="25" t="s">
        <v>2738</v>
      </c>
      <c r="M45" s="25" t="s">
        <v>63</v>
      </c>
      <c r="N45" s="25" t="s">
        <v>2747</v>
      </c>
    </row>
    <row r="46" ht="20" customHeight="1" spans="1:14" x14ac:dyDescent="0.25">
      <c r="A46" s="21" t="s">
        <v>2748</v>
      </c>
      <c r="B46" s="21" t="s">
        <v>2733</v>
      </c>
      <c r="C46" s="22" t="s">
        <v>2749</v>
      </c>
      <c r="D46" s="30">
        <v>273.4</v>
      </c>
      <c r="E46" s="31">
        <v>870.87</v>
      </c>
      <c r="F46" s="22" t="s">
        <v>2734</v>
      </c>
      <c r="G46" s="21" t="s">
        <v>2735</v>
      </c>
      <c r="H46" s="21" t="s">
        <v>2736</v>
      </c>
      <c r="I46" s="21" t="s">
        <v>2699</v>
      </c>
      <c r="J46" s="21">
        <f>SE(I46="","-",SE(DATA.VALOR(I46)&lt;HOJE(),"VENCIDO",SE(DATA.VALOR(I46)-HOJE()&lt;=30,"CRÍTICO (&lt;=30D)","REGULAR")))</f>
      </c>
      <c r="K46" s="22" t="s">
        <v>2737</v>
      </c>
      <c r="L46" s="22" t="s">
        <v>2738</v>
      </c>
      <c r="M46" s="22" t="s">
        <v>63</v>
      </c>
      <c r="N46" s="22" t="s">
        <v>2750</v>
      </c>
    </row>
    <row r="47" ht="20" customHeight="1" spans="1:14" s="23" customFormat="1" x14ac:dyDescent="0.25">
      <c r="A47" s="24" t="s">
        <v>2751</v>
      </c>
      <c r="B47" s="24" t="s">
        <v>2733</v>
      </c>
      <c r="C47" s="25" t="s">
        <v>2696</v>
      </c>
      <c r="D47" s="32">
        <v>240.4</v>
      </c>
      <c r="E47" s="33">
        <v>864</v>
      </c>
      <c r="F47" s="25" t="s">
        <v>2734</v>
      </c>
      <c r="G47" s="24" t="s">
        <v>2735</v>
      </c>
      <c r="H47" s="24" t="s">
        <v>2736</v>
      </c>
      <c r="I47" s="24" t="s">
        <v>2699</v>
      </c>
      <c r="J47" s="24">
        <f>SE(I47="","-",SE(DATA.VALOR(I47)&lt;HOJE(),"VENCIDO",SE(DATA.VALOR(I47)-HOJE()&lt;=30,"CRÍTICO (&lt;=30D)","REGULAR")))</f>
      </c>
      <c r="K47" s="25" t="s">
        <v>2737</v>
      </c>
      <c r="L47" s="25" t="s">
        <v>2738</v>
      </c>
      <c r="M47" s="25" t="s">
        <v>63</v>
      </c>
      <c r="N47" s="25" t="s">
        <v>2752</v>
      </c>
    </row>
    <row r="48" ht="20" customHeight="1" spans="1:14" x14ac:dyDescent="0.25">
      <c r="A48" s="21" t="s">
        <v>2753</v>
      </c>
      <c r="B48" s="21" t="s">
        <v>2733</v>
      </c>
      <c r="C48" s="22" t="s">
        <v>2679</v>
      </c>
      <c r="D48" s="30">
        <v>30.8</v>
      </c>
      <c r="E48" s="31">
        <v>164.4</v>
      </c>
      <c r="F48" s="22" t="s">
        <v>2734</v>
      </c>
      <c r="G48" s="21" t="s">
        <v>2735</v>
      </c>
      <c r="H48" s="21" t="s">
        <v>2736</v>
      </c>
      <c r="I48" s="21" t="s">
        <v>2699</v>
      </c>
      <c r="J48" s="21">
        <f>SE(I48="","-",SE(DATA.VALOR(I48)&lt;HOJE(),"VENCIDO",SE(DATA.VALOR(I48)-HOJE()&lt;=30,"CRÍTICO (&lt;=30D)","REGULAR")))</f>
      </c>
      <c r="K48" s="22" t="s">
        <v>2737</v>
      </c>
      <c r="L48" s="22" t="s">
        <v>2738</v>
      </c>
      <c r="M48" s="22" t="s">
        <v>63</v>
      </c>
      <c r="N48" s="22" t="s">
        <v>2754</v>
      </c>
    </row>
    <row r="49" ht="20" customHeight="1" spans="1:14" s="23" customFormat="1" x14ac:dyDescent="0.25">
      <c r="A49" s="24" t="s">
        <v>2755</v>
      </c>
      <c r="B49" s="24" t="s">
        <v>2756</v>
      </c>
      <c r="C49" s="25" t="s">
        <v>2679</v>
      </c>
      <c r="D49" s="32">
        <v>33.33</v>
      </c>
      <c r="E49" s="33">
        <v>182.6484</v>
      </c>
      <c r="F49" s="25" t="s">
        <v>2757</v>
      </c>
      <c r="G49" s="24" t="s">
        <v>2758</v>
      </c>
      <c r="H49" s="24" t="s">
        <v>63</v>
      </c>
      <c r="I49" s="24" t="s">
        <v>63</v>
      </c>
      <c r="J49" s="24" t="s">
        <v>20</v>
      </c>
      <c r="K49" s="25" t="s">
        <v>2759</v>
      </c>
      <c r="L49" s="25" t="s">
        <v>2760</v>
      </c>
      <c r="M49" s="25" t="s">
        <v>2761</v>
      </c>
      <c r="N49" s="25" t="s">
        <v>2762</v>
      </c>
    </row>
    <row r="50" ht="20" customHeight="1" spans="1:14" x14ac:dyDescent="0.25">
      <c r="A50" s="21" t="s">
        <v>2763</v>
      </c>
      <c r="B50" s="21" t="s">
        <v>2764</v>
      </c>
      <c r="C50" s="22" t="s">
        <v>2709</v>
      </c>
      <c r="D50" s="30">
        <v>175</v>
      </c>
      <c r="E50" s="31">
        <v>647.5</v>
      </c>
      <c r="F50" s="22" t="s">
        <v>2765</v>
      </c>
      <c r="G50" s="21" t="s">
        <v>2766</v>
      </c>
      <c r="H50" s="21" t="s">
        <v>2767</v>
      </c>
      <c r="I50" s="21" t="s">
        <v>2768</v>
      </c>
      <c r="J50" s="21">
        <f>SE(I50="","-",SE(DATA.VALOR(I50)&lt;HOJE(),"VENCIDO",SE(DATA.VALOR(I50)-HOJE()&lt;=30,"CRÍTICO (&lt;=30D)","REGULAR")))</f>
      </c>
      <c r="K50" s="22" t="s">
        <v>2769</v>
      </c>
      <c r="L50" s="22" t="s">
        <v>2770</v>
      </c>
      <c r="M50" s="22" t="s">
        <v>63</v>
      </c>
      <c r="N50" s="22" t="s">
        <v>2771</v>
      </c>
    </row>
    <row r="51" ht="20" customHeight="1" spans="1:14" s="23" customFormat="1" x14ac:dyDescent="0.25">
      <c r="A51" s="24" t="s">
        <v>2772</v>
      </c>
      <c r="B51" s="24" t="s">
        <v>2665</v>
      </c>
      <c r="C51" s="25" t="s">
        <v>2773</v>
      </c>
      <c r="D51" s="32">
        <v>37.5</v>
      </c>
      <c r="E51" s="33">
        <v>150</v>
      </c>
      <c r="F51" s="25" t="s">
        <v>2774</v>
      </c>
      <c r="G51" s="24" t="s">
        <v>2775</v>
      </c>
      <c r="H51" s="24" t="s">
        <v>2676</v>
      </c>
      <c r="I51" s="24" t="s">
        <v>2654</v>
      </c>
      <c r="J51" s="24">
        <f>SE(I51="","-",SE(DATA.VALOR(I51)&lt;HOJE(),"VENCIDO",SE(DATA.VALOR(I51)-HOJE()&lt;=30,"CRÍTICO (&lt;=30D)","REGULAR")))</f>
      </c>
      <c r="K51" s="25" t="s">
        <v>2776</v>
      </c>
      <c r="L51" s="25" t="s">
        <v>2777</v>
      </c>
      <c r="M51" s="25" t="s">
        <v>63</v>
      </c>
      <c r="N51" s="25" t="s">
        <v>2778</v>
      </c>
    </row>
    <row r="52" ht="20" customHeight="1" spans="1:14" x14ac:dyDescent="0.25">
      <c r="A52" s="21" t="s">
        <v>2779</v>
      </c>
      <c r="B52" s="21" t="s">
        <v>2733</v>
      </c>
      <c r="C52" s="22" t="s">
        <v>2780</v>
      </c>
      <c r="D52" s="30">
        <v>1000</v>
      </c>
      <c r="E52" s="31">
        <v>3800</v>
      </c>
      <c r="F52" s="22" t="s">
        <v>2774</v>
      </c>
      <c r="G52" s="21" t="s">
        <v>2781</v>
      </c>
      <c r="H52" s="21" t="s">
        <v>2736</v>
      </c>
      <c r="I52" s="21" t="s">
        <v>2699</v>
      </c>
      <c r="J52" s="21">
        <f>SE(I52="","-",SE(DATA.VALOR(I52)&lt;HOJE(),"VENCIDO",SE(DATA.VALOR(I52)-HOJE()&lt;=30,"CRÍTICO (&lt;=30D)","REGULAR")))</f>
      </c>
      <c r="K52" s="22" t="s">
        <v>2782</v>
      </c>
      <c r="L52" s="22" t="s">
        <v>2783</v>
      </c>
      <c r="M52" s="22" t="s">
        <v>2784</v>
      </c>
      <c r="N52" s="22" t="s">
        <v>2785</v>
      </c>
    </row>
    <row r="53" ht="20" customHeight="1" spans="1:14" s="23" customFormat="1" x14ac:dyDescent="0.25">
      <c r="A53" s="24" t="s">
        <v>2786</v>
      </c>
      <c r="B53" s="24" t="s">
        <v>2764</v>
      </c>
      <c r="C53" s="25" t="s">
        <v>2712</v>
      </c>
      <c r="D53" s="32">
        <v>40</v>
      </c>
      <c r="E53" s="33">
        <v>216</v>
      </c>
      <c r="F53" s="25" t="s">
        <v>2787</v>
      </c>
      <c r="G53" s="24" t="s">
        <v>2788</v>
      </c>
      <c r="H53" s="24" t="s">
        <v>2767</v>
      </c>
      <c r="I53" s="24" t="s">
        <v>2768</v>
      </c>
      <c r="J53" s="24">
        <f>SE(I53="","-",SE(DATA.VALOR(I53)&lt;HOJE(),"VENCIDO",SE(DATA.VALOR(I53)-HOJE()&lt;=30,"CRÍTICO (&lt;=30D)","REGULAR")))</f>
      </c>
      <c r="K53" s="25" t="s">
        <v>2789</v>
      </c>
      <c r="L53" s="25" t="s">
        <v>2790</v>
      </c>
      <c r="M53" s="25" t="s">
        <v>63</v>
      </c>
      <c r="N53" s="25" t="s">
        <v>2791</v>
      </c>
    </row>
    <row r="54" ht="20" customHeight="1" spans="1:14" x14ac:dyDescent="0.25">
      <c r="A54" s="21" t="s">
        <v>2792</v>
      </c>
      <c r="B54" s="21" t="s">
        <v>2764</v>
      </c>
      <c r="C54" s="22" t="s">
        <v>2793</v>
      </c>
      <c r="D54" s="30">
        <v>175</v>
      </c>
      <c r="E54" s="31">
        <v>656.25</v>
      </c>
      <c r="F54" s="22" t="s">
        <v>2787</v>
      </c>
      <c r="G54" s="21" t="s">
        <v>2788</v>
      </c>
      <c r="H54" s="21" t="s">
        <v>2767</v>
      </c>
      <c r="I54" s="21" t="s">
        <v>2768</v>
      </c>
      <c r="J54" s="21">
        <f>SE(I54="","-",SE(DATA.VALOR(I54)&lt;HOJE(),"VENCIDO",SE(DATA.VALOR(I54)-HOJE()&lt;=30,"CRÍTICO (&lt;=30D)","REGULAR")))</f>
      </c>
      <c r="K54" s="22" t="s">
        <v>2789</v>
      </c>
      <c r="L54" s="22" t="s">
        <v>2790</v>
      </c>
      <c r="M54" s="22" t="s">
        <v>63</v>
      </c>
      <c r="N54" s="22" t="s">
        <v>2794</v>
      </c>
    </row>
    <row r="55" ht="20" customHeight="1" spans="1:14" s="23" customFormat="1" x14ac:dyDescent="0.25">
      <c r="A55" s="24" t="s">
        <v>2795</v>
      </c>
      <c r="B55" s="24" t="s">
        <v>2688</v>
      </c>
      <c r="C55" s="25" t="s">
        <v>2666</v>
      </c>
      <c r="D55" s="32">
        <v>70</v>
      </c>
      <c r="E55" s="33">
        <v>220.5</v>
      </c>
      <c r="F55" s="25" t="s">
        <v>2796</v>
      </c>
      <c r="G55" s="24" t="s">
        <v>2797</v>
      </c>
      <c r="H55" s="24" t="s">
        <v>2798</v>
      </c>
      <c r="I55" s="24" t="s">
        <v>2582</v>
      </c>
      <c r="J55" s="24">
        <f>SE(I55="","-",SE(DATA.VALOR(I55)&lt;HOJE(),"VENCIDO",SE(DATA.VALOR(I55)-HOJE()&lt;=30,"CRÍTICO (&lt;=30D)","REGULAR")))</f>
      </c>
      <c r="K55" s="25" t="s">
        <v>2799</v>
      </c>
      <c r="L55" s="25" t="s">
        <v>2800</v>
      </c>
      <c r="M55" s="25" t="s">
        <v>63</v>
      </c>
      <c r="N55" s="25" t="s">
        <v>2801</v>
      </c>
    </row>
    <row r="56" ht="20" customHeight="1" spans="1:14" x14ac:dyDescent="0.25">
      <c r="A56" s="21" t="s">
        <v>2802</v>
      </c>
      <c r="B56" s="21" t="s">
        <v>2688</v>
      </c>
      <c r="C56" s="22" t="s">
        <v>2741</v>
      </c>
      <c r="D56" s="30">
        <v>199.6</v>
      </c>
      <c r="E56" s="31">
        <v>0</v>
      </c>
      <c r="F56" s="22" t="s">
        <v>2796</v>
      </c>
      <c r="G56" s="21" t="s">
        <v>2797</v>
      </c>
      <c r="H56" s="21" t="s">
        <v>2798</v>
      </c>
      <c r="I56" s="21" t="s">
        <v>2582</v>
      </c>
      <c r="J56" s="21">
        <f>SE(I56="","-",SE(DATA.VALOR(I56)&lt;HOJE(),"VENCIDO",SE(DATA.VALOR(I56)-HOJE()&lt;=30,"CRÍTICO (&lt;=30D)","REGULAR")))</f>
      </c>
      <c r="K56" s="22" t="s">
        <v>2799</v>
      </c>
      <c r="L56" s="22" t="s">
        <v>2800</v>
      </c>
      <c r="M56" s="22" t="s">
        <v>63</v>
      </c>
      <c r="N56" s="22" t="s">
        <v>2803</v>
      </c>
    </row>
    <row r="57" ht="20" customHeight="1" spans="1:14" s="23" customFormat="1" x14ac:dyDescent="0.25">
      <c r="A57" s="24" t="s">
        <v>2804</v>
      </c>
      <c r="B57" s="24" t="s">
        <v>2688</v>
      </c>
      <c r="C57" s="25" t="s">
        <v>2746</v>
      </c>
      <c r="D57" s="32">
        <v>220.3</v>
      </c>
      <c r="E57" s="33">
        <v>0</v>
      </c>
      <c r="F57" s="25" t="s">
        <v>2796</v>
      </c>
      <c r="G57" s="24" t="s">
        <v>2797</v>
      </c>
      <c r="H57" s="24" t="s">
        <v>2798</v>
      </c>
      <c r="I57" s="24" t="s">
        <v>2582</v>
      </c>
      <c r="J57" s="24">
        <f>SE(I57="","-",SE(DATA.VALOR(I57)&lt;HOJE(),"VENCIDO",SE(DATA.VALOR(I57)-HOJE()&lt;=30,"CRÍTICO (&lt;=30D)","REGULAR")))</f>
      </c>
      <c r="K57" s="25" t="s">
        <v>2799</v>
      </c>
      <c r="L57" s="25" t="s">
        <v>2800</v>
      </c>
      <c r="M57" s="25" t="s">
        <v>63</v>
      </c>
      <c r="N57" s="25" t="s">
        <v>2805</v>
      </c>
    </row>
    <row r="58" ht="20" customHeight="1" spans="1:14" x14ac:dyDescent="0.25">
      <c r="A58" s="21" t="s">
        <v>2806</v>
      </c>
      <c r="B58" s="21" t="s">
        <v>2688</v>
      </c>
      <c r="C58" s="22" t="s">
        <v>2773</v>
      </c>
      <c r="D58" s="30">
        <v>40</v>
      </c>
      <c r="E58" s="31">
        <v>160</v>
      </c>
      <c r="F58" s="22" t="s">
        <v>2796</v>
      </c>
      <c r="G58" s="21" t="s">
        <v>2797</v>
      </c>
      <c r="H58" s="21" t="s">
        <v>2798</v>
      </c>
      <c r="I58" s="21" t="s">
        <v>2582</v>
      </c>
      <c r="J58" s="21">
        <f>SE(I58="","-",SE(DATA.VALOR(I58)&lt;HOJE(),"VENCIDO",SE(DATA.VALOR(I58)-HOJE()&lt;=30,"CRÍTICO (&lt;=30D)","REGULAR")))</f>
      </c>
      <c r="K58" s="22" t="s">
        <v>2799</v>
      </c>
      <c r="L58" s="22" t="s">
        <v>2800</v>
      </c>
      <c r="M58" s="22" t="s">
        <v>63</v>
      </c>
      <c r="N58" s="22" t="s">
        <v>2807</v>
      </c>
    </row>
    <row r="59" ht="20" customHeight="1" spans="1:14" s="23" customFormat="1" x14ac:dyDescent="0.25">
      <c r="A59" s="24" t="s">
        <v>2808</v>
      </c>
      <c r="B59" s="24" t="s">
        <v>2703</v>
      </c>
      <c r="C59" s="25" t="s">
        <v>2666</v>
      </c>
      <c r="D59" s="32">
        <v>73</v>
      </c>
      <c r="E59" s="33">
        <v>229.95</v>
      </c>
      <c r="F59" s="25" t="s">
        <v>2809</v>
      </c>
      <c r="G59" s="24" t="s">
        <v>2810</v>
      </c>
      <c r="H59" s="24" t="s">
        <v>2811</v>
      </c>
      <c r="I59" s="24" t="s">
        <v>2812</v>
      </c>
      <c r="J59" s="24">
        <f>SE(I59="","-",SE(DATA.VALOR(I59)&lt;HOJE(),"VENCIDO",SE(DATA.VALOR(I59)-HOJE()&lt;=30,"CRÍTICO (&lt;=30D)","REGULAR")))</f>
      </c>
      <c r="K59" s="25" t="s">
        <v>2813</v>
      </c>
      <c r="L59" s="25" t="s">
        <v>2814</v>
      </c>
      <c r="M59" s="25" t="s">
        <v>2815</v>
      </c>
      <c r="N59" s="25" t="s">
        <v>2816</v>
      </c>
    </row>
    <row r="60" ht="20" customHeight="1" spans="1:14" x14ac:dyDescent="0.25">
      <c r="A60" s="21" t="s">
        <v>2817</v>
      </c>
      <c r="B60" s="21" t="s">
        <v>2703</v>
      </c>
      <c r="C60" s="22" t="s">
        <v>2741</v>
      </c>
      <c r="D60" s="30">
        <v>195</v>
      </c>
      <c r="E60" s="31">
        <v>663</v>
      </c>
      <c r="F60" s="22" t="s">
        <v>2809</v>
      </c>
      <c r="G60" s="21" t="s">
        <v>2810</v>
      </c>
      <c r="H60" s="21" t="s">
        <v>2811</v>
      </c>
      <c r="I60" s="21" t="s">
        <v>2812</v>
      </c>
      <c r="J60" s="21">
        <f>SE(I60="","-",SE(DATA.VALOR(I60)&lt;HOJE(),"VENCIDO",SE(DATA.VALOR(I60)-HOJE()&lt;=30,"CRÍTICO (&lt;=30D)","REGULAR")))</f>
      </c>
      <c r="K60" s="22" t="s">
        <v>2813</v>
      </c>
      <c r="L60" s="22" t="s">
        <v>2814</v>
      </c>
      <c r="M60" s="22" t="s">
        <v>2815</v>
      </c>
      <c r="N60" s="22" t="s">
        <v>2818</v>
      </c>
    </row>
    <row r="61" ht="20" customHeight="1" spans="1:14" s="23" customFormat="1" x14ac:dyDescent="0.25">
      <c r="A61" s="24" t="s">
        <v>2819</v>
      </c>
      <c r="B61" s="24" t="s">
        <v>2703</v>
      </c>
      <c r="C61" s="25" t="s">
        <v>2675</v>
      </c>
      <c r="D61" s="32">
        <v>141</v>
      </c>
      <c r="E61" s="33">
        <v>556.95</v>
      </c>
      <c r="F61" s="25" t="s">
        <v>2809</v>
      </c>
      <c r="G61" s="24" t="s">
        <v>2810</v>
      </c>
      <c r="H61" s="24" t="s">
        <v>2811</v>
      </c>
      <c r="I61" s="24" t="s">
        <v>2812</v>
      </c>
      <c r="J61" s="24">
        <f>SE(I61="","-",SE(DATA.VALOR(I61)&lt;HOJE(),"VENCIDO",SE(DATA.VALOR(I61)-HOJE()&lt;=30,"CRÍTICO (&lt;=30D)","REGULAR")))</f>
      </c>
      <c r="K61" s="25" t="s">
        <v>2813</v>
      </c>
      <c r="L61" s="25" t="s">
        <v>2814</v>
      </c>
      <c r="M61" s="25" t="s">
        <v>2815</v>
      </c>
      <c r="N61" s="25" t="s">
        <v>2820</v>
      </c>
    </row>
    <row r="62" ht="20" customHeight="1" spans="1:14" x14ac:dyDescent="0.25">
      <c r="A62" s="21" t="s">
        <v>2821</v>
      </c>
      <c r="B62" s="21" t="s">
        <v>2703</v>
      </c>
      <c r="C62" s="22" t="s">
        <v>2746</v>
      </c>
      <c r="D62" s="30">
        <v>214</v>
      </c>
      <c r="E62" s="31">
        <v>1262.6</v>
      </c>
      <c r="F62" s="22" t="s">
        <v>2809</v>
      </c>
      <c r="G62" s="21" t="s">
        <v>2810</v>
      </c>
      <c r="H62" s="21" t="s">
        <v>2811</v>
      </c>
      <c r="I62" s="21" t="s">
        <v>2812</v>
      </c>
      <c r="J62" s="21">
        <f>SE(I62="","-",SE(DATA.VALOR(I62)&lt;HOJE(),"VENCIDO",SE(DATA.VALOR(I62)-HOJE()&lt;=30,"CRÍTICO (&lt;=30D)","REGULAR")))</f>
      </c>
      <c r="K62" s="22" t="s">
        <v>2813</v>
      </c>
      <c r="L62" s="22" t="s">
        <v>2814</v>
      </c>
      <c r="M62" s="22" t="s">
        <v>2815</v>
      </c>
      <c r="N62" s="22" t="s">
        <v>2822</v>
      </c>
    </row>
    <row r="63" ht="20" customHeight="1" spans="1:14" s="23" customFormat="1" x14ac:dyDescent="0.25">
      <c r="A63" s="24" t="s">
        <v>2823</v>
      </c>
      <c r="B63" s="24" t="s">
        <v>2703</v>
      </c>
      <c r="C63" s="25" t="s">
        <v>2696</v>
      </c>
      <c r="D63" s="32">
        <v>183</v>
      </c>
      <c r="E63" s="33">
        <v>658.8</v>
      </c>
      <c r="F63" s="25" t="s">
        <v>2809</v>
      </c>
      <c r="G63" s="24" t="s">
        <v>2810</v>
      </c>
      <c r="H63" s="24" t="s">
        <v>2811</v>
      </c>
      <c r="I63" s="24" t="s">
        <v>2812</v>
      </c>
      <c r="J63" s="24">
        <f>SE(I63="","-",SE(DATA.VALOR(I63)&lt;HOJE(),"VENCIDO",SE(DATA.VALOR(I63)-HOJE()&lt;=30,"CRÍTICO (&lt;=30D)","REGULAR")))</f>
      </c>
      <c r="K63" s="25" t="s">
        <v>2813</v>
      </c>
      <c r="L63" s="25" t="s">
        <v>2814</v>
      </c>
      <c r="M63" s="25" t="s">
        <v>2815</v>
      </c>
      <c r="N63" s="25" t="s">
        <v>2824</v>
      </c>
    </row>
    <row r="64" ht="20" customHeight="1" spans="1:14" x14ac:dyDescent="0.25">
      <c r="A64" s="21" t="s">
        <v>2825</v>
      </c>
      <c r="B64" s="21" t="s">
        <v>2703</v>
      </c>
      <c r="C64" s="22" t="s">
        <v>2681</v>
      </c>
      <c r="D64" s="30">
        <v>22</v>
      </c>
      <c r="E64" s="31">
        <v>143</v>
      </c>
      <c r="F64" s="22" t="s">
        <v>2809</v>
      </c>
      <c r="G64" s="21" t="s">
        <v>2810</v>
      </c>
      <c r="H64" s="21" t="s">
        <v>2811</v>
      </c>
      <c r="I64" s="21" t="s">
        <v>2812</v>
      </c>
      <c r="J64" s="21">
        <f>SE(I64="","-",SE(DATA.VALOR(I64)&lt;HOJE(),"VENCIDO",SE(DATA.VALOR(I64)-HOJE()&lt;=30,"CRÍTICO (&lt;=30D)","REGULAR")))</f>
      </c>
      <c r="K64" s="22" t="s">
        <v>2813</v>
      </c>
      <c r="L64" s="22" t="s">
        <v>2814</v>
      </c>
      <c r="M64" s="22" t="s">
        <v>2815</v>
      </c>
      <c r="N64" s="22" t="s">
        <v>2826</v>
      </c>
    </row>
    <row r="65" ht="20" customHeight="1" spans="1:14" s="23" customFormat="1" x14ac:dyDescent="0.25">
      <c r="A65" s="24" t="s">
        <v>2827</v>
      </c>
      <c r="B65" s="24" t="s">
        <v>2733</v>
      </c>
      <c r="C65" s="25" t="s">
        <v>2773</v>
      </c>
      <c r="D65" s="32">
        <v>37.5</v>
      </c>
      <c r="E65" s="33">
        <v>150</v>
      </c>
      <c r="F65" s="25" t="s">
        <v>2774</v>
      </c>
      <c r="G65" s="24" t="s">
        <v>2781</v>
      </c>
      <c r="H65" s="24" t="s">
        <v>2736</v>
      </c>
      <c r="I65" s="24" t="s">
        <v>2699</v>
      </c>
      <c r="J65" s="24">
        <f>SE(I65="","-",SE(DATA.VALOR(I65)&lt;HOJE(),"VENCIDO",SE(DATA.VALOR(I65)-HOJE()&lt;=30,"CRÍTICO (&lt;=30D)","REGULAR")))</f>
      </c>
      <c r="K65" s="25" t="s">
        <v>2782</v>
      </c>
      <c r="L65" s="25" t="s">
        <v>2783</v>
      </c>
      <c r="M65" s="25" t="s">
        <v>2784</v>
      </c>
      <c r="N65" s="25" t="s">
        <v>2828</v>
      </c>
    </row>
    <row r="66" ht="20" customHeight="1" spans="1:14" x14ac:dyDescent="0.25">
      <c r="A66" s="21" t="s">
        <v>2829</v>
      </c>
      <c r="B66" s="21" t="s">
        <v>2665</v>
      </c>
      <c r="C66" s="22" t="s">
        <v>2780</v>
      </c>
      <c r="D66" s="30">
        <v>1000</v>
      </c>
      <c r="E66" s="31">
        <v>3800</v>
      </c>
      <c r="F66" s="22" t="s">
        <v>2774</v>
      </c>
      <c r="G66" s="21" t="s">
        <v>2775</v>
      </c>
      <c r="H66" s="21" t="s">
        <v>2676</v>
      </c>
      <c r="I66" s="21" t="s">
        <v>2654</v>
      </c>
      <c r="J66" s="21">
        <f>SE(I66="","-",SE(DATA.VALOR(I66)&lt;HOJE(),"VENCIDO",SE(DATA.VALOR(I66)-HOJE()&lt;=30,"CRÍTICO (&lt;=30D)","REGULAR")))</f>
      </c>
      <c r="K66" s="22" t="s">
        <v>2776</v>
      </c>
      <c r="L66" s="22" t="s">
        <v>2777</v>
      </c>
      <c r="M66" s="22" t="s">
        <v>63</v>
      </c>
      <c r="N66" s="22" t="s">
        <v>2830</v>
      </c>
    </row>
    <row r="67" ht="20" customHeight="1" spans="1:14" s="23" customFormat="1" x14ac:dyDescent="0.25">
      <c r="A67" s="24" t="s">
        <v>2831</v>
      </c>
      <c r="B67" s="24" t="s">
        <v>2683</v>
      </c>
      <c r="C67" s="25" t="s">
        <v>2716</v>
      </c>
      <c r="D67" s="32">
        <v>186.4</v>
      </c>
      <c r="E67" s="33">
        <v>0</v>
      </c>
      <c r="F67" s="25" t="s">
        <v>2685</v>
      </c>
      <c r="G67" s="24" t="s">
        <v>2686</v>
      </c>
      <c r="H67" s="24" t="s">
        <v>2687</v>
      </c>
      <c r="I67" s="24" t="s">
        <v>2688</v>
      </c>
      <c r="J67" s="24">
        <f>SE(I67="","-",SE(DATA.VALOR(I67)&lt;HOJE(),"VENCIDO",SE(DATA.VALOR(I67)-HOJE()&lt;=30,"CRÍTICO (&lt;=30D)","REGULAR")))</f>
      </c>
      <c r="K67" s="25" t="s">
        <v>2689</v>
      </c>
      <c r="L67" s="25" t="s">
        <v>2690</v>
      </c>
      <c r="M67" s="25" t="s">
        <v>63</v>
      </c>
      <c r="N67" s="25" t="s">
        <v>2832</v>
      </c>
    </row>
    <row r="68" ht="20" customHeight="1" spans="1:14" x14ac:dyDescent="0.25">
      <c r="A68" s="21" t="s">
        <v>2833</v>
      </c>
      <c r="B68" s="21" t="s">
        <v>2715</v>
      </c>
      <c r="C68" s="22" t="s">
        <v>2834</v>
      </c>
      <c r="D68" s="30">
        <v>204.1</v>
      </c>
      <c r="E68" s="31">
        <v>1500</v>
      </c>
      <c r="F68" s="22" t="s">
        <v>2717</v>
      </c>
      <c r="G68" s="21" t="s">
        <v>2718</v>
      </c>
      <c r="H68" s="21" t="s">
        <v>2719</v>
      </c>
      <c r="I68" s="21" t="s">
        <v>2715</v>
      </c>
      <c r="J68" s="21">
        <f>SE(I68="","-",SE(DATA.VALOR(I68)&lt;HOJE(),"VENCIDO",SE(DATA.VALOR(I68)-HOJE()&lt;=30,"CRÍTICO (&lt;=30D)","REGULAR")))</f>
      </c>
      <c r="K68" s="22" t="s">
        <v>2720</v>
      </c>
      <c r="L68" s="22" t="s">
        <v>2721</v>
      </c>
      <c r="M68" s="22" t="s">
        <v>2722</v>
      </c>
      <c r="N68" s="22" t="s">
        <v>2835</v>
      </c>
    </row>
    <row r="69" ht="20" customHeight="1" spans="1:14" s="23" customFormat="1" x14ac:dyDescent="0.25">
      <c r="A69" s="24" t="s">
        <v>2836</v>
      </c>
      <c r="B69" s="24" t="s">
        <v>2582</v>
      </c>
      <c r="C69" s="25" t="s">
        <v>2837</v>
      </c>
      <c r="D69" s="32">
        <v>10000</v>
      </c>
      <c r="E69" s="33">
        <v>3000</v>
      </c>
      <c r="F69" s="25" t="s">
        <v>2838</v>
      </c>
      <c r="G69" s="24" t="s">
        <v>2839</v>
      </c>
      <c r="H69" s="24" t="s">
        <v>2840</v>
      </c>
      <c r="I69" s="24" t="s">
        <v>2841</v>
      </c>
      <c r="J69" s="24">
        <f>SE(I69="","-",SE(DATA.VALOR(I69)&lt;HOJE(),"VENCIDO",SE(DATA.VALOR(I69)-HOJE()&lt;=30,"CRÍTICO (&lt;=30D)","REGULAR")))</f>
      </c>
      <c r="K69" s="25" t="s">
        <v>2842</v>
      </c>
      <c r="L69" s="25" t="s">
        <v>2843</v>
      </c>
      <c r="M69" s="25" t="s">
        <v>63</v>
      </c>
      <c r="N69" s="25" t="s">
        <v>2844</v>
      </c>
    </row>
    <row r="70" ht="20" customHeight="1" spans="1:14" x14ac:dyDescent="0.25">
      <c r="A70" s="21" t="s">
        <v>2845</v>
      </c>
      <c r="B70" s="21" t="s">
        <v>2683</v>
      </c>
      <c r="C70" s="22" t="s">
        <v>2675</v>
      </c>
      <c r="D70" s="30">
        <v>156.8</v>
      </c>
      <c r="E70" s="31">
        <v>0</v>
      </c>
      <c r="F70" s="22" t="s">
        <v>2685</v>
      </c>
      <c r="G70" s="21" t="s">
        <v>2686</v>
      </c>
      <c r="H70" s="21" t="s">
        <v>2846</v>
      </c>
      <c r="I70" s="21" t="s">
        <v>2688</v>
      </c>
      <c r="J70" s="21">
        <f>SE(I70="","-",SE(DATA.VALOR(I70)&lt;HOJE(),"VENCIDO",SE(DATA.VALOR(I70)-HOJE()&lt;=30,"CRÍTICO (&lt;=30D)","REGULAR")))</f>
      </c>
      <c r="K70" s="22" t="s">
        <v>2689</v>
      </c>
      <c r="L70" s="22" t="s">
        <v>2690</v>
      </c>
      <c r="M70" s="22" t="s">
        <v>63</v>
      </c>
      <c r="N70" s="22" t="s">
        <v>2847</v>
      </c>
    </row>
    <row r="71" ht="20" customHeight="1" spans="1:14" s="23" customFormat="1" x14ac:dyDescent="0.25">
      <c r="A71" s="24" t="s">
        <v>2848</v>
      </c>
      <c r="B71" s="24" t="s">
        <v>2715</v>
      </c>
      <c r="C71" s="25" t="s">
        <v>2666</v>
      </c>
      <c r="D71" s="32">
        <v>76.3</v>
      </c>
      <c r="E71" s="33">
        <v>0</v>
      </c>
      <c r="F71" s="25" t="s">
        <v>2717</v>
      </c>
      <c r="G71" s="24" t="s">
        <v>2718</v>
      </c>
      <c r="H71" s="24" t="s">
        <v>2849</v>
      </c>
      <c r="I71" s="24" t="s">
        <v>2605</v>
      </c>
      <c r="J71" s="24">
        <f>SE(I71="","-",SE(DATA.VALOR(I71)&lt;HOJE(),"VENCIDO",SE(DATA.VALOR(I71)-HOJE()&lt;=30,"CRÍTICO (&lt;=30D)","REGULAR")))</f>
      </c>
      <c r="K71" s="25" t="s">
        <v>2720</v>
      </c>
      <c r="L71" s="25" t="s">
        <v>2721</v>
      </c>
      <c r="M71" s="25" t="s">
        <v>2722</v>
      </c>
      <c r="N71" s="25" t="s">
        <v>2850</v>
      </c>
    </row>
    <row r="72" ht="20" customHeight="1" spans="1:14" x14ac:dyDescent="0.25">
      <c r="A72" s="21" t="s">
        <v>2851</v>
      </c>
      <c r="B72" s="21" t="s">
        <v>2756</v>
      </c>
      <c r="C72" s="22" t="s">
        <v>2696</v>
      </c>
      <c r="D72" s="30">
        <v>140.63</v>
      </c>
      <c r="E72" s="31">
        <v>506.268</v>
      </c>
      <c r="F72" s="22" t="s">
        <v>2757</v>
      </c>
      <c r="G72" s="21" t="s">
        <v>2758</v>
      </c>
      <c r="H72" s="21" t="s">
        <v>2852</v>
      </c>
      <c r="I72" s="21" t="s">
        <v>1659</v>
      </c>
      <c r="J72" s="21">
        <f>SE(I72="","-",SE(DATA.VALOR(I72)&lt;HOJE(),"VENCIDO",SE(DATA.VALOR(I72)-HOJE()&lt;=30,"CRÍTICO (&lt;=30D)","REGULAR")))</f>
      </c>
      <c r="K72" s="22" t="s">
        <v>2759</v>
      </c>
      <c r="L72" s="22" t="s">
        <v>2760</v>
      </c>
      <c r="M72" s="22" t="s">
        <v>2761</v>
      </c>
      <c r="N72" s="22" t="s">
        <v>2853</v>
      </c>
    </row>
    <row r="73" ht="20" customHeight="1" spans="1:14" s="23" customFormat="1" x14ac:dyDescent="0.25">
      <c r="A73" s="24" t="s">
        <v>2854</v>
      </c>
      <c r="B73" s="24" t="s">
        <v>2764</v>
      </c>
      <c r="C73" s="25" t="s">
        <v>2855</v>
      </c>
      <c r="D73" s="32">
        <v>40</v>
      </c>
      <c r="E73" s="33">
        <v>160</v>
      </c>
      <c r="F73" s="25" t="s">
        <v>2856</v>
      </c>
      <c r="G73" s="24" t="s">
        <v>2857</v>
      </c>
      <c r="H73" s="24" t="s">
        <v>2858</v>
      </c>
      <c r="I73" s="24" t="s">
        <v>2703</v>
      </c>
      <c r="J73" s="24">
        <f>SE(I73="","-",SE(DATA.VALOR(I73)&lt;HOJE(),"VENCIDO",SE(DATA.VALOR(I73)-HOJE()&lt;=30,"CRÍTICO (&lt;=30D)","REGULAR")))</f>
      </c>
      <c r="K73" s="25" t="s">
        <v>2859</v>
      </c>
      <c r="L73" s="25" t="s">
        <v>2860</v>
      </c>
      <c r="M73" s="25" t="s">
        <v>2861</v>
      </c>
      <c r="N73" s="25" t="s">
        <v>2853</v>
      </c>
    </row>
    <row r="74" ht="20" customHeight="1" spans="1:14" x14ac:dyDescent="0.25">
      <c r="A74" s="21" t="s">
        <v>2862</v>
      </c>
      <c r="B74" s="21" t="s">
        <v>2703</v>
      </c>
      <c r="C74" s="22" t="s">
        <v>2666</v>
      </c>
      <c r="D74" s="30">
        <v>68</v>
      </c>
      <c r="E74" s="31">
        <v>214.2</v>
      </c>
      <c r="F74" s="22" t="s">
        <v>2863</v>
      </c>
      <c r="G74" s="21" t="s">
        <v>2864</v>
      </c>
      <c r="H74" s="21" t="s">
        <v>2865</v>
      </c>
      <c r="I74" s="21" t="s">
        <v>2866</v>
      </c>
      <c r="J74" s="21">
        <f>SE(I74="","-",SE(DATA.VALOR(I74)&lt;HOJE(),"VENCIDO",SE(DATA.VALOR(I74)-HOJE()&lt;=30,"CRÍTICO (&lt;=30D)","REGULAR")))</f>
      </c>
      <c r="K74" s="22" t="s">
        <v>2867</v>
      </c>
      <c r="L74" s="22" t="s">
        <v>2868</v>
      </c>
      <c r="M74" s="22" t="s">
        <v>2869</v>
      </c>
      <c r="N74" s="22" t="s">
        <v>2870</v>
      </c>
    </row>
    <row r="75" ht="20" customHeight="1" spans="1:14" s="23" customFormat="1" x14ac:dyDescent="0.25">
      <c r="A75" s="24" t="s">
        <v>2871</v>
      </c>
      <c r="B75" s="24" t="s">
        <v>2703</v>
      </c>
      <c r="C75" s="25" t="s">
        <v>2716</v>
      </c>
      <c r="D75" s="32">
        <v>218</v>
      </c>
      <c r="E75" s="33">
        <v>1111.8</v>
      </c>
      <c r="F75" s="25" t="s">
        <v>2863</v>
      </c>
      <c r="G75" s="24" t="s">
        <v>2864</v>
      </c>
      <c r="H75" s="24" t="s">
        <v>2865</v>
      </c>
      <c r="I75" s="24" t="s">
        <v>2866</v>
      </c>
      <c r="J75" s="24">
        <f>SE(I75="","-",SE(DATA.VALOR(I75)&lt;HOJE(),"VENCIDO",SE(DATA.VALOR(I75)-HOJE()&lt;=30,"CRÍTICO (&lt;=30D)","REGULAR")))</f>
      </c>
      <c r="K75" s="25" t="s">
        <v>2867</v>
      </c>
      <c r="L75" s="25" t="s">
        <v>2868</v>
      </c>
      <c r="M75" s="25" t="s">
        <v>2869</v>
      </c>
      <c r="N75" s="25" t="s">
        <v>2870</v>
      </c>
    </row>
    <row r="76" ht="20" customHeight="1" spans="1:14" x14ac:dyDescent="0.25">
      <c r="A76" s="21" t="s">
        <v>2872</v>
      </c>
      <c r="B76" s="21" t="s">
        <v>2703</v>
      </c>
      <c r="C76" s="22" t="s">
        <v>2696</v>
      </c>
      <c r="D76" s="30">
        <v>140</v>
      </c>
      <c r="E76" s="31">
        <v>504</v>
      </c>
      <c r="F76" s="22" t="s">
        <v>2863</v>
      </c>
      <c r="G76" s="21" t="s">
        <v>2864</v>
      </c>
      <c r="H76" s="21" t="s">
        <v>2865</v>
      </c>
      <c r="I76" s="21" t="s">
        <v>2866</v>
      </c>
      <c r="J76" s="21">
        <f>SE(I76="","-",SE(DATA.VALOR(I76)&lt;HOJE(),"VENCIDO",SE(DATA.VALOR(I76)-HOJE()&lt;=30,"CRÍTICO (&lt;=30D)","REGULAR")))</f>
      </c>
      <c r="K76" s="22" t="s">
        <v>2867</v>
      </c>
      <c r="L76" s="22" t="s">
        <v>2868</v>
      </c>
      <c r="M76" s="22" t="s">
        <v>2869</v>
      </c>
      <c r="N76" s="22" t="s">
        <v>2870</v>
      </c>
    </row>
    <row r="77" ht="20" customHeight="1" spans="1:14" s="23" customFormat="1" x14ac:dyDescent="0.25">
      <c r="A77" s="24" t="s">
        <v>2873</v>
      </c>
      <c r="B77" s="24" t="s">
        <v>2641</v>
      </c>
      <c r="C77" s="25" t="s">
        <v>2560</v>
      </c>
      <c r="D77" s="32">
        <v>5400</v>
      </c>
      <c r="E77" s="33">
        <v>1200</v>
      </c>
      <c r="F77" s="25" t="s">
        <v>2561</v>
      </c>
      <c r="G77" s="24" t="s">
        <v>2874</v>
      </c>
      <c r="H77" s="24" t="s">
        <v>2875</v>
      </c>
      <c r="I77" s="24" t="s">
        <v>184</v>
      </c>
      <c r="J77" s="24">
        <f>SE(I77="","-",SE(DATA.VALOR(I77)&lt;HOJE(),"VENCIDO",SE(DATA.VALOR(I77)-HOJE()&lt;=30,"CRÍTICO (&lt;=30D)","REGULAR")))</f>
      </c>
      <c r="K77" s="25" t="s">
        <v>2876</v>
      </c>
      <c r="L77" s="25" t="s">
        <v>2877</v>
      </c>
      <c r="M77" s="25" t="s">
        <v>63</v>
      </c>
      <c r="N77" s="25" t="s">
        <v>2878</v>
      </c>
    </row>
    <row r="78" ht="20" customHeight="1" spans="1:14" x14ac:dyDescent="0.25">
      <c r="A78" s="21" t="s">
        <v>2879</v>
      </c>
      <c r="B78" s="21" t="s">
        <v>2764</v>
      </c>
      <c r="C78" s="22" t="s">
        <v>2741</v>
      </c>
      <c r="D78" s="30">
        <v>187.5</v>
      </c>
      <c r="E78" s="31">
        <v>637.5</v>
      </c>
      <c r="F78" s="22" t="s">
        <v>2880</v>
      </c>
      <c r="G78" s="21" t="s">
        <v>87</v>
      </c>
      <c r="H78" s="21" t="s">
        <v>2767</v>
      </c>
      <c r="I78" s="21" t="s">
        <v>2768</v>
      </c>
      <c r="J78" s="21">
        <f>SE(I78="","-",SE(DATA.VALOR(I78)&lt;HOJE(),"VENCIDO",SE(DATA.VALOR(I78)-HOJE()&lt;=30,"CRÍTICO (&lt;=30D)","REGULAR")))</f>
      </c>
      <c r="K78" s="22" t="s">
        <v>2881</v>
      </c>
      <c r="L78" s="22" t="s">
        <v>2882</v>
      </c>
      <c r="M78" s="22" t="s">
        <v>2883</v>
      </c>
      <c r="N78" s="22" t="s">
        <v>2884</v>
      </c>
    </row>
    <row r="79" ht="20" customHeight="1" spans="1:14" s="23" customFormat="1" x14ac:dyDescent="0.25">
      <c r="A79" s="24" t="s">
        <v>2885</v>
      </c>
      <c r="B79" s="24" t="s">
        <v>2764</v>
      </c>
      <c r="C79" s="25" t="s">
        <v>2675</v>
      </c>
      <c r="D79" s="32">
        <v>150</v>
      </c>
      <c r="E79" s="33">
        <v>592.5</v>
      </c>
      <c r="F79" s="25" t="s">
        <v>2880</v>
      </c>
      <c r="G79" s="24" t="s">
        <v>87</v>
      </c>
      <c r="H79" s="24" t="s">
        <v>2767</v>
      </c>
      <c r="I79" s="24" t="s">
        <v>2768</v>
      </c>
      <c r="J79" s="24">
        <f>SE(I79="","-",SE(DATA.VALOR(I79)&lt;HOJE(),"VENCIDO",SE(DATA.VALOR(I79)-HOJE()&lt;=30,"CRÍTICO (&lt;=30D)","REGULAR")))</f>
      </c>
      <c r="K79" s="25" t="s">
        <v>2881</v>
      </c>
      <c r="L79" s="25" t="s">
        <v>2882</v>
      </c>
      <c r="M79" s="25" t="s">
        <v>2883</v>
      </c>
      <c r="N79" s="25" t="s">
        <v>2886</v>
      </c>
    </row>
    <row r="80" ht="20" customHeight="1" spans="1:14" x14ac:dyDescent="0.25">
      <c r="A80" s="21" t="s">
        <v>2887</v>
      </c>
      <c r="B80" s="21" t="s">
        <v>2764</v>
      </c>
      <c r="C80" s="22" t="s">
        <v>2746</v>
      </c>
      <c r="D80" s="30">
        <v>218.75</v>
      </c>
      <c r="E80" s="31">
        <v>1290.62</v>
      </c>
      <c r="F80" s="22" t="s">
        <v>2880</v>
      </c>
      <c r="G80" s="21" t="s">
        <v>87</v>
      </c>
      <c r="H80" s="21" t="s">
        <v>2767</v>
      </c>
      <c r="I80" s="21" t="s">
        <v>2768</v>
      </c>
      <c r="J80" s="21">
        <f>SE(I80="","-",SE(DATA.VALOR(I80)&lt;HOJE(),"VENCIDO",SE(DATA.VALOR(I80)-HOJE()&lt;=30,"CRÍTICO (&lt;=30D)","REGULAR")))</f>
      </c>
      <c r="K80" s="22" t="s">
        <v>2881</v>
      </c>
      <c r="L80" s="22" t="s">
        <v>2882</v>
      </c>
      <c r="M80" s="22" t="s">
        <v>2883</v>
      </c>
      <c r="N80" s="22" t="s">
        <v>2888</v>
      </c>
    </row>
    <row r="81" ht="20" customHeight="1" spans="1:14" s="23" customFormat="1" x14ac:dyDescent="0.25">
      <c r="A81" s="24" t="s">
        <v>2889</v>
      </c>
      <c r="B81" s="24" t="s">
        <v>2764</v>
      </c>
      <c r="C81" s="25" t="s">
        <v>2716</v>
      </c>
      <c r="D81" s="32">
        <v>218.75</v>
      </c>
      <c r="E81" s="33">
        <v>1115.62</v>
      </c>
      <c r="F81" s="25" t="s">
        <v>2880</v>
      </c>
      <c r="G81" s="24" t="s">
        <v>87</v>
      </c>
      <c r="H81" s="24" t="s">
        <v>2767</v>
      </c>
      <c r="I81" s="24" t="s">
        <v>2768</v>
      </c>
      <c r="J81" s="24">
        <f>SE(I81="","-",SE(DATA.VALOR(I81)&lt;HOJE(),"VENCIDO",SE(DATA.VALOR(I81)-HOJE()&lt;=30,"CRÍTICO (&lt;=30D)","REGULAR")))</f>
      </c>
      <c r="K81" s="25" t="s">
        <v>2881</v>
      </c>
      <c r="L81" s="25" t="s">
        <v>2882</v>
      </c>
      <c r="M81" s="25" t="s">
        <v>2883</v>
      </c>
      <c r="N81" s="25" t="s">
        <v>2890</v>
      </c>
    </row>
    <row r="82" ht="20" customHeight="1" spans="1:14" x14ac:dyDescent="0.25">
      <c r="A82" s="21" t="s">
        <v>2891</v>
      </c>
      <c r="B82" s="21" t="s">
        <v>2764</v>
      </c>
      <c r="C82" s="22" t="s">
        <v>2696</v>
      </c>
      <c r="D82" s="30">
        <v>140.63</v>
      </c>
      <c r="E82" s="31">
        <v>506.26</v>
      </c>
      <c r="F82" s="22" t="s">
        <v>2880</v>
      </c>
      <c r="G82" s="21" t="s">
        <v>87</v>
      </c>
      <c r="H82" s="21" t="s">
        <v>2767</v>
      </c>
      <c r="I82" s="21" t="s">
        <v>2764</v>
      </c>
      <c r="J82" s="21">
        <f>SE(I82="","-",SE(DATA.VALOR(I82)&lt;HOJE(),"VENCIDO",SE(DATA.VALOR(I82)-HOJE()&lt;=30,"CRÍTICO (&lt;=30D)","REGULAR")))</f>
      </c>
      <c r="K82" s="22" t="s">
        <v>2881</v>
      </c>
      <c r="L82" s="22" t="s">
        <v>2882</v>
      </c>
      <c r="M82" s="22" t="s">
        <v>2883</v>
      </c>
      <c r="N82" s="22" t="s">
        <v>2892</v>
      </c>
    </row>
    <row r="83" ht="20" customHeight="1" spans="1:14" s="23" customFormat="1" x14ac:dyDescent="0.25">
      <c r="A83" s="24" t="s">
        <v>2893</v>
      </c>
      <c r="B83" s="24" t="s">
        <v>2641</v>
      </c>
      <c r="C83" s="25" t="s">
        <v>2560</v>
      </c>
      <c r="D83" s="32">
        <v>250</v>
      </c>
      <c r="E83" s="33">
        <v>1500</v>
      </c>
      <c r="F83" s="25" t="s">
        <v>2561</v>
      </c>
      <c r="G83" s="24" t="s">
        <v>2874</v>
      </c>
      <c r="H83" s="24" t="s">
        <v>2875</v>
      </c>
      <c r="I83" s="24" t="s">
        <v>184</v>
      </c>
      <c r="J83" s="24">
        <f>SE(I83="","-",SE(DATA.VALOR(I83)&lt;HOJE(),"VENCIDO",SE(DATA.VALOR(I83)-HOJE()&lt;=30,"CRÍTICO (&lt;=30D)","REGULAR")))</f>
      </c>
      <c r="K83" s="25" t="s">
        <v>2876</v>
      </c>
      <c r="L83" s="25" t="s">
        <v>2877</v>
      </c>
      <c r="M83" s="25" t="s">
        <v>63</v>
      </c>
      <c r="N83" s="25" t="s">
        <v>2894</v>
      </c>
    </row>
    <row r="84" ht="20" customHeight="1" spans="1:14" x14ac:dyDescent="0.25">
      <c r="A84" s="21" t="s">
        <v>2895</v>
      </c>
      <c r="B84" s="21" t="s">
        <v>2896</v>
      </c>
      <c r="C84" s="22" t="s">
        <v>2897</v>
      </c>
      <c r="D84" s="30">
        <v>100</v>
      </c>
      <c r="E84" s="31">
        <v>0</v>
      </c>
      <c r="F84" s="22" t="s">
        <v>2898</v>
      </c>
      <c r="G84" s="21" t="s">
        <v>2899</v>
      </c>
      <c r="H84" s="21" t="s">
        <v>2900</v>
      </c>
      <c r="I84" s="21" t="s">
        <v>2901</v>
      </c>
      <c r="J84" s="21">
        <f>SE(I84="","-",SE(DATA.VALOR(I84)&lt;HOJE(),"VENCIDO",SE(DATA.VALOR(I84)-HOJE()&lt;=30,"CRÍTICO (&lt;=30D)","REGULAR")))</f>
      </c>
      <c r="K84" s="22" t="s">
        <v>2902</v>
      </c>
      <c r="L84" s="22" t="s">
        <v>2903</v>
      </c>
      <c r="M84" s="22" t="s">
        <v>63</v>
      </c>
      <c r="N84" s="22" t="s">
        <v>2904</v>
      </c>
    </row>
    <row r="85" ht="20" customHeight="1" spans="1:14" s="23" customFormat="1" x14ac:dyDescent="0.25">
      <c r="A85" s="24" t="s">
        <v>2905</v>
      </c>
      <c r="B85" s="24" t="s">
        <v>2896</v>
      </c>
      <c r="C85" s="25" t="s">
        <v>2906</v>
      </c>
      <c r="D85" s="32">
        <v>25</v>
      </c>
      <c r="E85" s="33">
        <v>200</v>
      </c>
      <c r="F85" s="25" t="s">
        <v>2898</v>
      </c>
      <c r="G85" s="24" t="s">
        <v>2899</v>
      </c>
      <c r="H85" s="24" t="s">
        <v>2907</v>
      </c>
      <c r="I85" s="24" t="s">
        <v>2908</v>
      </c>
      <c r="J85" s="24">
        <f>SE(I85="","-",SE(DATA.VALOR(I85)&lt;HOJE(),"VENCIDO",SE(DATA.VALOR(I85)-HOJE()&lt;=30,"CRÍTICO (&lt;=30D)","REGULAR")))</f>
      </c>
      <c r="K85" s="25" t="s">
        <v>2902</v>
      </c>
      <c r="L85" s="25" t="s">
        <v>2903</v>
      </c>
      <c r="M85" s="25" t="s">
        <v>2909</v>
      </c>
      <c r="N85" s="25" t="s">
        <v>2904</v>
      </c>
    </row>
    <row r="86" ht="20" customHeight="1" spans="1:14" x14ac:dyDescent="0.25">
      <c r="A86" s="21" t="s">
        <v>2910</v>
      </c>
      <c r="B86" s="21" t="s">
        <v>2896</v>
      </c>
      <c r="C86" s="22" t="s">
        <v>2911</v>
      </c>
      <c r="D86" s="30">
        <v>100</v>
      </c>
      <c r="E86" s="31">
        <v>652</v>
      </c>
      <c r="F86" s="22" t="s">
        <v>2898</v>
      </c>
      <c r="G86" s="21" t="s">
        <v>2899</v>
      </c>
      <c r="H86" s="21" t="s">
        <v>2912</v>
      </c>
      <c r="I86" s="21" t="s">
        <v>2913</v>
      </c>
      <c r="J86" s="21">
        <f>SE(I86="","-",SE(DATA.VALOR(I86)&lt;HOJE(),"VENCIDO",SE(DATA.VALOR(I86)-HOJE()&lt;=30,"CRÍTICO (&lt;=30D)","REGULAR")))</f>
      </c>
      <c r="K86" s="22" t="s">
        <v>2902</v>
      </c>
      <c r="L86" s="22" t="s">
        <v>2903</v>
      </c>
      <c r="M86" s="22" t="s">
        <v>2909</v>
      </c>
      <c r="N86" s="22" t="s">
        <v>2904</v>
      </c>
    </row>
    <row r="87" ht="20" customHeight="1" spans="1:14" s="23" customFormat="1" x14ac:dyDescent="0.25">
      <c r="A87" s="24" t="s">
        <v>2914</v>
      </c>
      <c r="B87" s="24" t="s">
        <v>2896</v>
      </c>
      <c r="C87" s="25" t="s">
        <v>2915</v>
      </c>
      <c r="D87" s="32">
        <v>25</v>
      </c>
      <c r="E87" s="33">
        <v>150</v>
      </c>
      <c r="F87" s="25" t="s">
        <v>2898</v>
      </c>
      <c r="G87" s="24" t="s">
        <v>2899</v>
      </c>
      <c r="H87" s="24" t="s">
        <v>2916</v>
      </c>
      <c r="I87" s="24" t="s">
        <v>2917</v>
      </c>
      <c r="J87" s="24">
        <f>SE(I87="","-",SE(DATA.VALOR(I87)&lt;HOJE(),"VENCIDO",SE(DATA.VALOR(I87)-HOJE()&lt;=30,"CRÍTICO (&lt;=30D)","REGULAR")))</f>
      </c>
      <c r="K87" s="25" t="s">
        <v>2902</v>
      </c>
      <c r="L87" s="25" t="s">
        <v>2903</v>
      </c>
      <c r="M87" s="25" t="s">
        <v>2909</v>
      </c>
      <c r="N87" s="25" t="s">
        <v>2904</v>
      </c>
    </row>
    <row r="88" ht="20" customHeight="1" spans="1:14" x14ac:dyDescent="0.25">
      <c r="A88" s="21" t="s">
        <v>2918</v>
      </c>
      <c r="B88" s="21" t="s">
        <v>2896</v>
      </c>
      <c r="C88" s="22" t="s">
        <v>2919</v>
      </c>
      <c r="D88" s="30">
        <v>1500</v>
      </c>
      <c r="E88" s="31">
        <v>5940</v>
      </c>
      <c r="F88" s="22" t="s">
        <v>2898</v>
      </c>
      <c r="G88" s="21" t="s">
        <v>2899</v>
      </c>
      <c r="H88" s="21" t="s">
        <v>2920</v>
      </c>
      <c r="I88" s="21" t="s">
        <v>2917</v>
      </c>
      <c r="J88" s="21">
        <f>SE(I88="","-",SE(DATA.VALOR(I88)&lt;HOJE(),"VENCIDO",SE(DATA.VALOR(I88)-HOJE()&lt;=30,"CRÍTICO (&lt;=30D)","REGULAR")))</f>
      </c>
      <c r="K88" s="22" t="s">
        <v>2902</v>
      </c>
      <c r="L88" s="22" t="s">
        <v>2903</v>
      </c>
      <c r="M88" s="22" t="s">
        <v>2909</v>
      </c>
      <c r="N88" s="22" t="s">
        <v>2921</v>
      </c>
    </row>
    <row r="89" ht="20" customHeight="1" spans="1:14" s="23" customFormat="1" x14ac:dyDescent="0.25">
      <c r="A89" s="24" t="s">
        <v>2922</v>
      </c>
      <c r="B89" s="24" t="s">
        <v>2923</v>
      </c>
      <c r="C89" s="25" t="s">
        <v>2924</v>
      </c>
      <c r="D89" s="32">
        <v>1201</v>
      </c>
      <c r="E89" s="33">
        <v>16225.51</v>
      </c>
      <c r="F89" s="25" t="s">
        <v>2925</v>
      </c>
      <c r="G89" s="24" t="s">
        <v>2926</v>
      </c>
      <c r="H89" s="24" t="s">
        <v>2927</v>
      </c>
      <c r="I89" s="24" t="s">
        <v>2928</v>
      </c>
      <c r="J89" s="24">
        <f>SE(I89="","-",SE(DATA.VALOR(I89)&lt;HOJE(),"VENCIDO",SE(DATA.VALOR(I89)-HOJE()&lt;=30,"CRÍTICO (&lt;=30D)","REGULAR")))</f>
      </c>
      <c r="K89" s="25" t="s">
        <v>2929</v>
      </c>
      <c r="L89" s="25" t="s">
        <v>2930</v>
      </c>
      <c r="M89" s="25" t="s">
        <v>2931</v>
      </c>
      <c r="N89" s="25" t="s">
        <v>2932</v>
      </c>
    </row>
    <row r="90" ht="20" customHeight="1" spans="1:14" x14ac:dyDescent="0.25">
      <c r="A90" s="21" t="s">
        <v>2933</v>
      </c>
      <c r="B90" s="21" t="s">
        <v>2934</v>
      </c>
      <c r="C90" s="22" t="s">
        <v>2935</v>
      </c>
      <c r="D90" s="30">
        <v>0</v>
      </c>
      <c r="E90" s="31">
        <v>270</v>
      </c>
      <c r="F90" s="22" t="s">
        <v>2700</v>
      </c>
      <c r="G90" s="21" t="s">
        <v>2936</v>
      </c>
      <c r="H90" s="21" t="s">
        <v>63</v>
      </c>
      <c r="I90" s="21" t="s">
        <v>2937</v>
      </c>
      <c r="J90" s="21">
        <f>SE(I90="","-",SE(DATA.VALOR(I90)&lt;HOJE(),"VENCIDO",SE(DATA.VALOR(I90)-HOJE()&lt;=30,"CRÍTICO (&lt;=30D)","REGULAR")))</f>
      </c>
      <c r="K90" s="22" t="s">
        <v>2938</v>
      </c>
      <c r="L90" s="22" t="s">
        <v>2705</v>
      </c>
      <c r="M90" s="22" t="s">
        <v>63</v>
      </c>
      <c r="N90" s="22" t="s">
        <v>2932</v>
      </c>
    </row>
    <row r="91" ht="20" customHeight="1" spans="1:14" s="23" customFormat="1" x14ac:dyDescent="0.25">
      <c r="A91" s="24" t="s">
        <v>2939</v>
      </c>
      <c r="B91" s="24" t="s">
        <v>2934</v>
      </c>
      <c r="C91" s="25" t="s">
        <v>2940</v>
      </c>
      <c r="D91" s="32">
        <v>0</v>
      </c>
      <c r="E91" s="33">
        <v>229.95</v>
      </c>
      <c r="F91" s="25" t="s">
        <v>2700</v>
      </c>
      <c r="G91" s="24" t="s">
        <v>2936</v>
      </c>
      <c r="H91" s="24" t="s">
        <v>63</v>
      </c>
      <c r="I91" s="24" t="s">
        <v>2937</v>
      </c>
      <c r="J91" s="24">
        <f>SE(I91="","-",SE(DATA.VALOR(I91)&lt;HOJE(),"VENCIDO",SE(DATA.VALOR(I91)-HOJE()&lt;=30,"CRÍTICO (&lt;=30D)","REGULAR")))</f>
      </c>
      <c r="K91" s="25" t="s">
        <v>2938</v>
      </c>
      <c r="L91" s="25" t="s">
        <v>2705</v>
      </c>
      <c r="M91" s="25" t="s">
        <v>63</v>
      </c>
      <c r="N91" s="25" t="s">
        <v>2932</v>
      </c>
    </row>
    <row r="92" ht="20" customHeight="1" spans="1:14" x14ac:dyDescent="0.25">
      <c r="A92" s="21" t="s">
        <v>2941</v>
      </c>
      <c r="B92" s="21" t="s">
        <v>2934</v>
      </c>
      <c r="C92" s="22" t="s">
        <v>63</v>
      </c>
      <c r="D92" s="30">
        <v>0</v>
      </c>
      <c r="E92" s="31">
        <v>562.5</v>
      </c>
      <c r="F92" s="22" t="s">
        <v>2700</v>
      </c>
      <c r="G92" s="21" t="s">
        <v>2936</v>
      </c>
      <c r="H92" s="21" t="s">
        <v>63</v>
      </c>
      <c r="I92" s="21" t="s">
        <v>2937</v>
      </c>
      <c r="J92" s="21">
        <f>SE(I92="","-",SE(DATA.VALOR(I92)&lt;HOJE(),"VENCIDO",SE(DATA.VALOR(I92)-HOJE()&lt;=30,"CRÍTICO (&lt;=30D)","REGULAR")))</f>
      </c>
      <c r="K92" s="22" t="s">
        <v>2938</v>
      </c>
      <c r="L92" s="22" t="s">
        <v>2705</v>
      </c>
      <c r="M92" s="22" t="s">
        <v>63</v>
      </c>
      <c r="N92" s="22" t="s">
        <v>2942</v>
      </c>
    </row>
    <row r="93" ht="20" customHeight="1" spans="1:14" s="23" customFormat="1" x14ac:dyDescent="0.25">
      <c r="A93" s="24" t="s">
        <v>2943</v>
      </c>
      <c r="B93" s="24" t="s">
        <v>2934</v>
      </c>
      <c r="C93" s="25" t="s">
        <v>2855</v>
      </c>
      <c r="D93" s="32">
        <v>0</v>
      </c>
      <c r="E93" s="33">
        <v>208</v>
      </c>
      <c r="F93" s="25" t="s">
        <v>2700</v>
      </c>
      <c r="G93" s="24" t="s">
        <v>2936</v>
      </c>
      <c r="H93" s="24" t="s">
        <v>63</v>
      </c>
      <c r="I93" s="24" t="s">
        <v>2937</v>
      </c>
      <c r="J93" s="24">
        <f>SE(I93="","-",SE(DATA.VALOR(I93)&lt;HOJE(),"VENCIDO",SE(DATA.VALOR(I93)-HOJE()&lt;=30,"CRÍTICO (&lt;=30D)","REGULAR")))</f>
      </c>
      <c r="K93" s="25" t="s">
        <v>2938</v>
      </c>
      <c r="L93" s="25" t="s">
        <v>2705</v>
      </c>
      <c r="M93" s="25" t="s">
        <v>63</v>
      </c>
      <c r="N93" s="25" t="s">
        <v>2942</v>
      </c>
    </row>
    <row r="94" ht="20" customHeight="1" spans="1:14" x14ac:dyDescent="0.25">
      <c r="A94" s="21" t="s">
        <v>2944</v>
      </c>
      <c r="B94" s="21" t="s">
        <v>2945</v>
      </c>
      <c r="C94" s="22" t="s">
        <v>2746</v>
      </c>
      <c r="D94" s="30">
        <v>222</v>
      </c>
      <c r="E94" s="31">
        <v>1309.8000000000002</v>
      </c>
      <c r="F94" s="22" t="s">
        <v>2809</v>
      </c>
      <c r="G94" s="21" t="s">
        <v>2946</v>
      </c>
      <c r="H94" s="21" t="s">
        <v>2947</v>
      </c>
      <c r="I94" s="21" t="s">
        <v>2948</v>
      </c>
      <c r="J94" s="21">
        <f>SE(I94="","-",SE(DATA.VALOR(I94)&lt;HOJE(),"VENCIDO",SE(DATA.VALOR(I94)-HOJE()&lt;=30,"CRÍTICO (&lt;=30D)","REGULAR")))</f>
      </c>
      <c r="K94" s="22" t="s">
        <v>2949</v>
      </c>
      <c r="L94" s="22" t="s">
        <v>2950</v>
      </c>
      <c r="M94" s="22" t="s">
        <v>2951</v>
      </c>
      <c r="N94" s="22" t="s">
        <v>2952</v>
      </c>
    </row>
    <row r="95" ht="20" customHeight="1" spans="1:14" s="23" customFormat="1" x14ac:dyDescent="0.25">
      <c r="A95" s="24" t="s">
        <v>2953</v>
      </c>
      <c r="B95" s="24" t="s">
        <v>2945</v>
      </c>
      <c r="C95" s="25" t="s">
        <v>2696</v>
      </c>
      <c r="D95" s="32">
        <v>202</v>
      </c>
      <c r="E95" s="33">
        <v>727.2</v>
      </c>
      <c r="F95" s="25" t="s">
        <v>2809</v>
      </c>
      <c r="G95" s="24" t="s">
        <v>2946</v>
      </c>
      <c r="H95" s="24" t="s">
        <v>2947</v>
      </c>
      <c r="I95" s="24" t="s">
        <v>2948</v>
      </c>
      <c r="J95" s="24">
        <f>SE(I95="","-",SE(DATA.VALOR(I95)&lt;HOJE(),"VENCIDO",SE(DATA.VALOR(I95)-HOJE()&lt;=30,"CRÍTICO (&lt;=30D)","REGULAR")))</f>
      </c>
      <c r="K95" s="25" t="s">
        <v>2949</v>
      </c>
      <c r="L95" s="25" t="s">
        <v>2950</v>
      </c>
      <c r="M95" s="25" t="s">
        <v>2951</v>
      </c>
      <c r="N95" s="25" t="s">
        <v>2952</v>
      </c>
    </row>
    <row r="96" ht="20" customHeight="1" spans="1:14" x14ac:dyDescent="0.25">
      <c r="A96" s="21" t="s">
        <v>2954</v>
      </c>
      <c r="B96" s="21" t="s">
        <v>2945</v>
      </c>
      <c r="C96" s="22" t="s">
        <v>2675</v>
      </c>
      <c r="D96" s="30">
        <v>163</v>
      </c>
      <c r="E96" s="31">
        <v>643.85</v>
      </c>
      <c r="F96" s="22" t="s">
        <v>2809</v>
      </c>
      <c r="G96" s="21" t="s">
        <v>2946</v>
      </c>
      <c r="H96" s="21" t="s">
        <v>2947</v>
      </c>
      <c r="I96" s="21" t="s">
        <v>2948</v>
      </c>
      <c r="J96" s="21">
        <f>SE(I96="","-",SE(DATA.VALOR(I96)&lt;HOJE(),"VENCIDO",SE(DATA.VALOR(I96)-HOJE()&lt;=30,"CRÍTICO (&lt;=30D)","REGULAR")))</f>
      </c>
      <c r="K96" s="22" t="s">
        <v>2949</v>
      </c>
      <c r="L96" s="22" t="s">
        <v>2950</v>
      </c>
      <c r="M96" s="22" t="s">
        <v>2951</v>
      </c>
      <c r="N96" s="22" t="s">
        <v>2952</v>
      </c>
    </row>
    <row r="97" ht="20" customHeight="1" spans="1:14" s="23" customFormat="1" x14ac:dyDescent="0.25">
      <c r="A97" s="24" t="s">
        <v>2955</v>
      </c>
      <c r="B97" s="24" t="s">
        <v>2945</v>
      </c>
      <c r="C97" s="25" t="s">
        <v>2679</v>
      </c>
      <c r="D97" s="32">
        <v>39</v>
      </c>
      <c r="E97" s="33">
        <v>213.72000000000003</v>
      </c>
      <c r="F97" s="25" t="s">
        <v>2809</v>
      </c>
      <c r="G97" s="24" t="s">
        <v>2946</v>
      </c>
      <c r="H97" s="24" t="s">
        <v>2947</v>
      </c>
      <c r="I97" s="24" t="s">
        <v>2948</v>
      </c>
      <c r="J97" s="24">
        <f>SE(I97="","-",SE(DATA.VALOR(I97)&lt;HOJE(),"VENCIDO",SE(DATA.VALOR(I97)-HOJE()&lt;=30,"CRÍTICO (&lt;=30D)","REGULAR")))</f>
      </c>
      <c r="K97" s="25" t="s">
        <v>2949</v>
      </c>
      <c r="L97" s="25" t="s">
        <v>2950</v>
      </c>
      <c r="M97" s="25" t="s">
        <v>2951</v>
      </c>
      <c r="N97" s="25" t="s">
        <v>2952</v>
      </c>
    </row>
    <row r="98" ht="20" customHeight="1" spans="1:14" x14ac:dyDescent="0.25">
      <c r="A98" s="21" t="s">
        <v>2956</v>
      </c>
      <c r="B98" s="21" t="s">
        <v>2945</v>
      </c>
      <c r="C98" s="22" t="s">
        <v>2666</v>
      </c>
      <c r="D98" s="30">
        <v>75</v>
      </c>
      <c r="E98" s="31">
        <v>236.25</v>
      </c>
      <c r="F98" s="22" t="s">
        <v>2809</v>
      </c>
      <c r="G98" s="21" t="s">
        <v>2946</v>
      </c>
      <c r="H98" s="21" t="s">
        <v>2947</v>
      </c>
      <c r="I98" s="21" t="s">
        <v>2948</v>
      </c>
      <c r="J98" s="21">
        <f>SE(I98="","-",SE(DATA.VALOR(I98)&lt;HOJE(),"VENCIDO",SE(DATA.VALOR(I98)-HOJE()&lt;=30,"CRÍTICO (&lt;=30D)","REGULAR")))</f>
      </c>
      <c r="K98" s="22" t="s">
        <v>2949</v>
      </c>
      <c r="L98" s="22" t="s">
        <v>2950</v>
      </c>
      <c r="M98" s="22" t="s">
        <v>2951</v>
      </c>
      <c r="N98" s="22" t="s">
        <v>2952</v>
      </c>
    </row>
    <row r="99" ht="20" customHeight="1" spans="1:14" s="23" customFormat="1" x14ac:dyDescent="0.25">
      <c r="A99" s="24" t="s">
        <v>2957</v>
      </c>
      <c r="B99" s="24" t="s">
        <v>2945</v>
      </c>
      <c r="C99" s="25" t="s">
        <v>2741</v>
      </c>
      <c r="D99" s="32">
        <v>197</v>
      </c>
      <c r="E99" s="33">
        <v>669.8</v>
      </c>
      <c r="F99" s="25" t="s">
        <v>2809</v>
      </c>
      <c r="G99" s="24" t="s">
        <v>2946</v>
      </c>
      <c r="H99" s="24" t="s">
        <v>2947</v>
      </c>
      <c r="I99" s="24" t="s">
        <v>2948</v>
      </c>
      <c r="J99" s="24">
        <f>SE(I99="","-",SE(DATA.VALOR(I99)&lt;HOJE(),"VENCIDO",SE(DATA.VALOR(I99)-HOJE()&lt;=30,"CRÍTICO (&lt;=30D)","REGULAR")))</f>
      </c>
      <c r="K99" s="25" t="s">
        <v>2949</v>
      </c>
      <c r="L99" s="25" t="s">
        <v>2950</v>
      </c>
      <c r="M99" s="25" t="s">
        <v>2951</v>
      </c>
      <c r="N99" s="25" t="s">
        <v>2952</v>
      </c>
    </row>
    <row r="100" ht="20" customHeight="1" spans="1:14" x14ac:dyDescent="0.25">
      <c r="A100" s="21" t="s">
        <v>2958</v>
      </c>
      <c r="B100" s="21" t="s">
        <v>2945</v>
      </c>
      <c r="C100" s="22" t="s">
        <v>2959</v>
      </c>
      <c r="D100" s="30">
        <v>190</v>
      </c>
      <c r="E100" s="31">
        <v>1406</v>
      </c>
      <c r="F100" s="22" t="s">
        <v>2616</v>
      </c>
      <c r="G100" s="21" t="s">
        <v>2960</v>
      </c>
      <c r="H100" s="21" t="s">
        <v>2961</v>
      </c>
      <c r="I100" s="21" t="s">
        <v>2962</v>
      </c>
      <c r="J100" s="21">
        <f>SE(I100="","-",SE(DATA.VALOR(I100)&lt;HOJE(),"VENCIDO",SE(DATA.VALOR(I100)-HOJE()&lt;=30,"CRÍTICO (&lt;=30D)","REGULAR")))</f>
      </c>
      <c r="K100" s="22" t="s">
        <v>2963</v>
      </c>
      <c r="L100" s="22" t="s">
        <v>2964</v>
      </c>
      <c r="M100" s="22" t="s">
        <v>2965</v>
      </c>
      <c r="N100" s="22" t="s">
        <v>2966</v>
      </c>
    </row>
    <row r="101" ht="20" customHeight="1" spans="1:14" s="23" customFormat="1" x14ac:dyDescent="0.25">
      <c r="A101" s="24" t="s">
        <v>2967</v>
      </c>
      <c r="B101" s="24" t="s">
        <v>2945</v>
      </c>
      <c r="C101" s="25" t="s">
        <v>2968</v>
      </c>
      <c r="D101" s="32">
        <v>650</v>
      </c>
      <c r="E101" s="33">
        <v>1196</v>
      </c>
      <c r="F101" s="25" t="s">
        <v>2616</v>
      </c>
      <c r="G101" s="24" t="s">
        <v>2969</v>
      </c>
      <c r="H101" s="24" t="s">
        <v>2961</v>
      </c>
      <c r="I101" s="24" t="s">
        <v>2962</v>
      </c>
      <c r="J101" s="24">
        <f>SE(I101="","-",SE(DATA.VALOR(I101)&lt;HOJE(),"VENCIDO",SE(DATA.VALOR(I101)-HOJE()&lt;=30,"CRÍTICO (&lt;=30D)","REGULAR")))</f>
      </c>
      <c r="K101" s="25" t="s">
        <v>2970</v>
      </c>
      <c r="L101" s="25" t="s">
        <v>2971</v>
      </c>
      <c r="M101" s="25" t="s">
        <v>2972</v>
      </c>
      <c r="N101" s="25" t="s">
        <v>2973</v>
      </c>
    </row>
    <row r="102" ht="20" customHeight="1" spans="1:14" x14ac:dyDescent="0.25">
      <c r="A102" s="21" t="s">
        <v>2974</v>
      </c>
      <c r="B102" s="21" t="s">
        <v>2945</v>
      </c>
      <c r="C102" s="22" t="s">
        <v>2975</v>
      </c>
      <c r="D102" s="30">
        <v>300</v>
      </c>
      <c r="E102" s="31">
        <v>486</v>
      </c>
      <c r="F102" s="22" t="s">
        <v>2616</v>
      </c>
      <c r="G102" s="21" t="s">
        <v>2969</v>
      </c>
      <c r="H102" s="21" t="s">
        <v>2961</v>
      </c>
      <c r="I102" s="21" t="s">
        <v>2962</v>
      </c>
      <c r="J102" s="21">
        <f>SE(I102="","-",SE(DATA.VALOR(I102)&lt;HOJE(),"VENCIDO",SE(DATA.VALOR(I102)-HOJE()&lt;=30,"CRÍTICO (&lt;=30D)","REGULAR")))</f>
      </c>
      <c r="K102" s="22" t="s">
        <v>2970</v>
      </c>
      <c r="L102" s="22" t="s">
        <v>2971</v>
      </c>
      <c r="M102" s="22" t="s">
        <v>2972</v>
      </c>
      <c r="N102" s="22" t="s">
        <v>2973</v>
      </c>
    </row>
    <row r="103" ht="20" customHeight="1" spans="1:14" s="23" customFormat="1" x14ac:dyDescent="0.25">
      <c r="A103" s="24" t="s">
        <v>2976</v>
      </c>
      <c r="B103" s="24" t="s">
        <v>2703</v>
      </c>
      <c r="C103" s="25" t="s">
        <v>2666</v>
      </c>
      <c r="D103" s="32">
        <v>73.1</v>
      </c>
      <c r="E103" s="33">
        <v>229.95</v>
      </c>
      <c r="F103" s="25" t="s">
        <v>2809</v>
      </c>
      <c r="G103" s="24" t="s">
        <v>2810</v>
      </c>
      <c r="H103" s="24" t="s">
        <v>2811</v>
      </c>
      <c r="I103" s="24" t="s">
        <v>2812</v>
      </c>
      <c r="J103" s="24">
        <f>SE(I103="","-",SE(DATA.VALOR(I103)&lt;HOJE(),"VENCIDO",SE(DATA.VALOR(I103)-HOJE()&lt;=30,"CRÍTICO (&lt;=30D)","REGULAR")))</f>
      </c>
      <c r="K103" s="25" t="s">
        <v>2813</v>
      </c>
      <c r="L103" s="25" t="s">
        <v>2814</v>
      </c>
      <c r="M103" s="25" t="s">
        <v>2815</v>
      </c>
      <c r="N103" s="25" t="s">
        <v>2977</v>
      </c>
    </row>
    <row r="104" ht="20" customHeight="1" spans="1:14" x14ac:dyDescent="0.25">
      <c r="A104" s="21" t="s">
        <v>2978</v>
      </c>
      <c r="B104" s="21" t="s">
        <v>2733</v>
      </c>
      <c r="C104" s="22" t="s">
        <v>2773</v>
      </c>
      <c r="D104" s="30">
        <v>43.8</v>
      </c>
      <c r="E104" s="31">
        <v>0</v>
      </c>
      <c r="F104" s="22" t="s">
        <v>2774</v>
      </c>
      <c r="G104" s="21" t="s">
        <v>2781</v>
      </c>
      <c r="H104" s="21" t="s">
        <v>2736</v>
      </c>
      <c r="I104" s="21" t="s">
        <v>2699</v>
      </c>
      <c r="J104" s="21">
        <f>SE(I104="","-",SE(DATA.VALOR(I104)&lt;HOJE(),"VENCIDO",SE(DATA.VALOR(I104)-HOJE()&lt;=30,"CRÍTICO (&lt;=30D)","REGULAR")))</f>
      </c>
      <c r="K104" s="22" t="s">
        <v>2782</v>
      </c>
      <c r="L104" s="22" t="s">
        <v>2783</v>
      </c>
      <c r="M104" s="22" t="s">
        <v>2784</v>
      </c>
      <c r="N104" s="22" t="s">
        <v>2979</v>
      </c>
    </row>
    <row r="105" ht="20" customHeight="1" spans="1:14" s="23" customFormat="1" x14ac:dyDescent="0.25">
      <c r="A105" s="24" t="s">
        <v>2980</v>
      </c>
      <c r="B105" s="24" t="s">
        <v>2733</v>
      </c>
      <c r="C105" s="25" t="s">
        <v>2780</v>
      </c>
      <c r="D105" s="32">
        <v>1005.7</v>
      </c>
      <c r="E105" s="33">
        <v>0</v>
      </c>
      <c r="F105" s="25" t="s">
        <v>2774</v>
      </c>
      <c r="G105" s="24" t="s">
        <v>2781</v>
      </c>
      <c r="H105" s="24" t="s">
        <v>2736</v>
      </c>
      <c r="I105" s="24" t="s">
        <v>2699</v>
      </c>
      <c r="J105" s="24">
        <f>SE(I105="","-",SE(DATA.VALOR(I105)&lt;HOJE(),"VENCIDO",SE(DATA.VALOR(I105)-HOJE()&lt;=30,"CRÍTICO (&lt;=30D)","REGULAR")))</f>
      </c>
      <c r="K105" s="25" t="s">
        <v>2782</v>
      </c>
      <c r="L105" s="25" t="s">
        <v>2783</v>
      </c>
      <c r="M105" s="25" t="s">
        <v>2784</v>
      </c>
      <c r="N105" s="25" t="s">
        <v>2979</v>
      </c>
    </row>
    <row r="106" ht="20" customHeight="1" spans="1:14" x14ac:dyDescent="0.25">
      <c r="A106" s="21" t="s">
        <v>2981</v>
      </c>
      <c r="B106" s="21" t="s">
        <v>2982</v>
      </c>
      <c r="C106" s="22" t="s">
        <v>2578</v>
      </c>
      <c r="D106" s="30">
        <v>600</v>
      </c>
      <c r="E106" s="31">
        <v>0</v>
      </c>
      <c r="F106" s="22" t="s">
        <v>2652</v>
      </c>
      <c r="G106" s="21" t="s">
        <v>2983</v>
      </c>
      <c r="H106" s="21" t="s">
        <v>2984</v>
      </c>
      <c r="I106" s="21" t="s">
        <v>2756</v>
      </c>
      <c r="J106" s="21">
        <f>SE(I106="","-",SE(DATA.VALOR(I106)&lt;HOJE(),"VENCIDO",SE(DATA.VALOR(I106)-HOJE()&lt;=30,"CRÍTICO (&lt;=30D)","REGULAR")))</f>
      </c>
      <c r="K106" s="22" t="s">
        <v>63</v>
      </c>
      <c r="L106" s="22" t="s">
        <v>63</v>
      </c>
      <c r="M106" s="22" t="s">
        <v>2985</v>
      </c>
      <c r="N106" s="22" t="s">
        <v>2986</v>
      </c>
    </row>
    <row r="107" ht="20" customHeight="1" spans="1:14" s="23" customFormat="1" x14ac:dyDescent="0.25">
      <c r="A107" s="24" t="s">
        <v>2987</v>
      </c>
      <c r="B107" s="24" t="s">
        <v>2585</v>
      </c>
      <c r="C107" s="25" t="s">
        <v>2988</v>
      </c>
      <c r="D107" s="32">
        <v>5000</v>
      </c>
      <c r="E107" s="33">
        <v>0</v>
      </c>
      <c r="F107" s="25" t="s">
        <v>2601</v>
      </c>
      <c r="G107" s="24" t="s">
        <v>2602</v>
      </c>
      <c r="H107" s="24" t="s">
        <v>2989</v>
      </c>
      <c r="I107" s="24" t="s">
        <v>1325</v>
      </c>
      <c r="J107" s="24">
        <f>SE(I107="","-",SE(DATA.VALOR(I107)&lt;HOJE(),"VENCIDO",SE(DATA.VALOR(I107)-HOJE()&lt;=30,"CRÍTICO (&lt;=30D)","REGULAR")))</f>
      </c>
      <c r="K107" s="25" t="s">
        <v>63</v>
      </c>
      <c r="L107" s="25" t="s">
        <v>63</v>
      </c>
      <c r="M107" s="25" t="s">
        <v>2990</v>
      </c>
      <c r="N107" s="25" t="s">
        <v>2991</v>
      </c>
    </row>
    <row r="108" ht="20" customHeight="1" spans="1:14" x14ac:dyDescent="0.25">
      <c r="A108" s="21" t="s">
        <v>2992</v>
      </c>
      <c r="B108" s="21" t="s">
        <v>2764</v>
      </c>
      <c r="C108" s="22" t="s">
        <v>2993</v>
      </c>
      <c r="D108" s="30">
        <v>175</v>
      </c>
      <c r="E108" s="31">
        <v>647.5</v>
      </c>
      <c r="F108" s="22" t="s">
        <v>2994</v>
      </c>
      <c r="G108" s="21" t="s">
        <v>2995</v>
      </c>
      <c r="H108" s="21" t="s">
        <v>2996</v>
      </c>
      <c r="I108" s="21" t="s">
        <v>63</v>
      </c>
      <c r="J108" s="21" t="s">
        <v>20</v>
      </c>
      <c r="K108" s="22" t="s">
        <v>2997</v>
      </c>
      <c r="L108" s="22" t="s">
        <v>2998</v>
      </c>
      <c r="M108" s="22" t="s">
        <v>2999</v>
      </c>
      <c r="N108" s="22" t="s">
        <v>3000</v>
      </c>
    </row>
    <row r="109" ht="20" customHeight="1" spans="1:14" s="23" customFormat="1" x14ac:dyDescent="0.25">
      <c r="A109" s="24" t="s">
        <v>3001</v>
      </c>
      <c r="B109" s="24" t="s">
        <v>2764</v>
      </c>
      <c r="C109" s="25" t="s">
        <v>2712</v>
      </c>
      <c r="D109" s="32">
        <v>51.5</v>
      </c>
      <c r="E109" s="33">
        <v>0</v>
      </c>
      <c r="F109" s="25" t="s">
        <v>2787</v>
      </c>
      <c r="G109" s="24" t="s">
        <v>2788</v>
      </c>
      <c r="H109" s="24" t="s">
        <v>2767</v>
      </c>
      <c r="I109" s="24" t="s">
        <v>2768</v>
      </c>
      <c r="J109" s="24">
        <f>SE(I109="","-",SE(DATA.VALOR(I109)&lt;HOJE(),"VENCIDO",SE(DATA.VALOR(I109)-HOJE()&lt;=30,"CRÍTICO (&lt;=30D)","REGULAR")))</f>
      </c>
      <c r="K109" s="25" t="s">
        <v>2789</v>
      </c>
      <c r="L109" s="25" t="s">
        <v>2790</v>
      </c>
      <c r="M109" s="25" t="s">
        <v>63</v>
      </c>
      <c r="N109" s="25" t="s">
        <v>3002</v>
      </c>
    </row>
    <row r="110" ht="20" customHeight="1" spans="1:14" x14ac:dyDescent="0.25">
      <c r="A110" s="21" t="s">
        <v>3003</v>
      </c>
      <c r="B110" s="21" t="s">
        <v>2764</v>
      </c>
      <c r="C110" s="22" t="s">
        <v>2793</v>
      </c>
      <c r="D110" s="30">
        <v>184.1</v>
      </c>
      <c r="E110" s="31">
        <v>0</v>
      </c>
      <c r="F110" s="22" t="s">
        <v>2787</v>
      </c>
      <c r="G110" s="21" t="s">
        <v>2788</v>
      </c>
      <c r="H110" s="21" t="s">
        <v>2767</v>
      </c>
      <c r="I110" s="21" t="s">
        <v>2768</v>
      </c>
      <c r="J110" s="21">
        <f>SE(I110="","-",SE(DATA.VALOR(I110)&lt;HOJE(),"VENCIDO",SE(DATA.VALOR(I110)-HOJE()&lt;=30,"CRÍTICO (&lt;=30D)","REGULAR")))</f>
      </c>
      <c r="K110" s="22" t="s">
        <v>2789</v>
      </c>
      <c r="L110" s="22" t="s">
        <v>2790</v>
      </c>
      <c r="M110" s="22" t="s">
        <v>63</v>
      </c>
      <c r="N110" s="22" t="s">
        <v>3004</v>
      </c>
    </row>
    <row r="111" ht="20" customHeight="1" spans="1:14" s="23" customFormat="1" x14ac:dyDescent="0.25">
      <c r="A111" s="24" t="s">
        <v>3005</v>
      </c>
      <c r="B111" s="24" t="s">
        <v>2699</v>
      </c>
      <c r="C111" s="25" t="s">
        <v>2712</v>
      </c>
      <c r="D111" s="32">
        <v>50</v>
      </c>
      <c r="E111" s="33">
        <v>270</v>
      </c>
      <c r="F111" s="25" t="s">
        <v>2700</v>
      </c>
      <c r="G111" s="24" t="s">
        <v>2701</v>
      </c>
      <c r="H111" s="24" t="s">
        <v>2702</v>
      </c>
      <c r="I111" s="24" t="s">
        <v>2703</v>
      </c>
      <c r="J111" s="24">
        <f>SE(I111="","-",SE(DATA.VALOR(I111)&lt;HOJE(),"VENCIDO",SE(DATA.VALOR(I111)-HOJE()&lt;=30,"CRÍTICO (&lt;=30D)","REGULAR")))</f>
      </c>
      <c r="K111" s="25" t="s">
        <v>2704</v>
      </c>
      <c r="L111" s="25" t="s">
        <v>2705</v>
      </c>
      <c r="M111" s="25" t="s">
        <v>2706</v>
      </c>
      <c r="N111" s="25" t="s">
        <v>3006</v>
      </c>
    </row>
    <row r="112" ht="20" customHeight="1" spans="1:14" x14ac:dyDescent="0.25">
      <c r="A112" s="21" t="s">
        <v>3007</v>
      </c>
      <c r="B112" s="21" t="s">
        <v>2699</v>
      </c>
      <c r="C112" s="22" t="s">
        <v>2709</v>
      </c>
      <c r="D112" s="30">
        <v>296</v>
      </c>
      <c r="E112" s="31">
        <v>1095.2</v>
      </c>
      <c r="F112" s="22" t="s">
        <v>2700</v>
      </c>
      <c r="G112" s="21" t="s">
        <v>2701</v>
      </c>
      <c r="H112" s="21" t="s">
        <v>2702</v>
      </c>
      <c r="I112" s="21" t="s">
        <v>2703</v>
      </c>
      <c r="J112" s="21">
        <f>SE(I112="","-",SE(DATA.VALOR(I112)&lt;HOJE(),"VENCIDO",SE(DATA.VALOR(I112)-HOJE()&lt;=30,"CRÍTICO (&lt;=30D)","REGULAR")))</f>
      </c>
      <c r="K112" s="22" t="s">
        <v>2704</v>
      </c>
      <c r="L112" s="22" t="s">
        <v>2705</v>
      </c>
      <c r="M112" s="22" t="s">
        <v>2706</v>
      </c>
      <c r="N112" s="22" t="s">
        <v>3008</v>
      </c>
    </row>
    <row r="113" ht="20" customHeight="1" spans="1:14" s="23" customFormat="1" x14ac:dyDescent="0.25">
      <c r="A113" s="24" t="s">
        <v>3009</v>
      </c>
      <c r="B113" s="24" t="s">
        <v>2703</v>
      </c>
      <c r="C113" s="25" t="s">
        <v>2666</v>
      </c>
      <c r="D113" s="32">
        <v>75.4</v>
      </c>
      <c r="E113" s="33">
        <v>0</v>
      </c>
      <c r="F113" s="25" t="s">
        <v>2863</v>
      </c>
      <c r="G113" s="24" t="s">
        <v>2864</v>
      </c>
      <c r="H113" s="24" t="s">
        <v>2865</v>
      </c>
      <c r="I113" s="24" t="s">
        <v>2866</v>
      </c>
      <c r="J113" s="24">
        <f>SE(I113="","-",SE(DATA.VALOR(I113)&lt;HOJE(),"VENCIDO",SE(DATA.VALOR(I113)-HOJE()&lt;=30,"CRÍTICO (&lt;=30D)","REGULAR")))</f>
      </c>
      <c r="K113" s="25" t="s">
        <v>2867</v>
      </c>
      <c r="L113" s="25" t="s">
        <v>2868</v>
      </c>
      <c r="M113" s="25" t="s">
        <v>63</v>
      </c>
      <c r="N113" s="25" t="s">
        <v>3010</v>
      </c>
    </row>
    <row r="114" ht="20" customHeight="1" spans="1:14" x14ac:dyDescent="0.25">
      <c r="A114" s="21" t="s">
        <v>3011</v>
      </c>
      <c r="B114" s="21" t="s">
        <v>2703</v>
      </c>
      <c r="C114" s="22" t="s">
        <v>2716</v>
      </c>
      <c r="D114" s="30">
        <v>223.6</v>
      </c>
      <c r="E114" s="31">
        <v>0</v>
      </c>
      <c r="F114" s="22" t="s">
        <v>2863</v>
      </c>
      <c r="G114" s="21" t="s">
        <v>2864</v>
      </c>
      <c r="H114" s="21" t="s">
        <v>2865</v>
      </c>
      <c r="I114" s="21" t="s">
        <v>2866</v>
      </c>
      <c r="J114" s="21">
        <f>SE(I114="","-",SE(DATA.VALOR(I114)&lt;HOJE(),"VENCIDO",SE(DATA.VALOR(I114)-HOJE()&lt;=30,"CRÍTICO (&lt;=30D)","REGULAR")))</f>
      </c>
      <c r="K114" s="22" t="s">
        <v>2867</v>
      </c>
      <c r="L114" s="22" t="s">
        <v>2868</v>
      </c>
      <c r="M114" s="22" t="s">
        <v>63</v>
      </c>
      <c r="N114" s="22" t="s">
        <v>3010</v>
      </c>
    </row>
    <row r="115" ht="20" customHeight="1" spans="1:14" s="23" customFormat="1" x14ac:dyDescent="0.25">
      <c r="A115" s="24" t="s">
        <v>3012</v>
      </c>
      <c r="B115" s="24" t="s">
        <v>2703</v>
      </c>
      <c r="C115" s="25" t="s">
        <v>2696</v>
      </c>
      <c r="D115" s="32">
        <v>141.7</v>
      </c>
      <c r="E115" s="33">
        <v>0</v>
      </c>
      <c r="F115" s="25" t="s">
        <v>2863</v>
      </c>
      <c r="G115" s="24" t="s">
        <v>2864</v>
      </c>
      <c r="H115" s="24" t="s">
        <v>2865</v>
      </c>
      <c r="I115" s="24" t="s">
        <v>2866</v>
      </c>
      <c r="J115" s="24">
        <f>SE(I115="","-",SE(DATA.VALOR(I115)&lt;HOJE(),"VENCIDO",SE(DATA.VALOR(I115)-HOJE()&lt;=30,"CRÍTICO (&lt;=30D)","REGULAR")))</f>
      </c>
      <c r="K115" s="25" t="s">
        <v>2867</v>
      </c>
      <c r="L115" s="25" t="s">
        <v>2868</v>
      </c>
      <c r="M115" s="25" t="s">
        <v>63</v>
      </c>
      <c r="N115" s="25" t="s">
        <v>3013</v>
      </c>
    </row>
    <row r="116" ht="20" customHeight="1" spans="1:14" x14ac:dyDescent="0.25">
      <c r="A116" s="21" t="s">
        <v>3014</v>
      </c>
      <c r="B116" s="21" t="s">
        <v>2715</v>
      </c>
      <c r="C116" s="22" t="s">
        <v>2681</v>
      </c>
      <c r="D116" s="30">
        <v>150</v>
      </c>
      <c r="E116" s="31">
        <v>975</v>
      </c>
      <c r="F116" s="22" t="s">
        <v>2717</v>
      </c>
      <c r="G116" s="21" t="s">
        <v>2718</v>
      </c>
      <c r="H116" s="21" t="s">
        <v>3015</v>
      </c>
      <c r="I116" s="21" t="s">
        <v>2605</v>
      </c>
      <c r="J116" s="21">
        <f>SE(I116="","-",SE(DATA.VALOR(I116)&lt;HOJE(),"VENCIDO",SE(DATA.VALOR(I116)-HOJE()&lt;=30,"CRÍTICO (&lt;=30D)","REGULAR")))</f>
      </c>
      <c r="K116" s="22" t="s">
        <v>2720</v>
      </c>
      <c r="L116" s="22" t="s">
        <v>2721</v>
      </c>
      <c r="M116" s="22" t="s">
        <v>2722</v>
      </c>
      <c r="N116" s="22" t="s">
        <v>3016</v>
      </c>
    </row>
    <row r="117" ht="20" customHeight="1" spans="1:14" s="23" customFormat="1" x14ac:dyDescent="0.25">
      <c r="A117" s="24" t="s">
        <v>3017</v>
      </c>
      <c r="B117" s="24" t="s">
        <v>2715</v>
      </c>
      <c r="C117" s="25" t="s">
        <v>2679</v>
      </c>
      <c r="D117" s="32">
        <v>33.33</v>
      </c>
      <c r="E117" s="33">
        <v>182.67</v>
      </c>
      <c r="F117" s="25" t="s">
        <v>2717</v>
      </c>
      <c r="G117" s="24" t="s">
        <v>2718</v>
      </c>
      <c r="H117" s="24" t="s">
        <v>3015</v>
      </c>
      <c r="I117" s="24" t="s">
        <v>2605</v>
      </c>
      <c r="J117" s="24">
        <f>SE(I117="","-",SE(DATA.VALOR(I117)&lt;HOJE(),"VENCIDO",SE(DATA.VALOR(I117)-HOJE()&lt;=30,"CRÍTICO (&lt;=30D)","REGULAR")))</f>
      </c>
      <c r="K117" s="25" t="s">
        <v>2720</v>
      </c>
      <c r="L117" s="25" t="s">
        <v>2721</v>
      </c>
      <c r="M117" s="25" t="s">
        <v>2722</v>
      </c>
      <c r="N117" s="25" t="s">
        <v>3018</v>
      </c>
    </row>
    <row r="118" ht="20" customHeight="1" spans="1:14" x14ac:dyDescent="0.25">
      <c r="A118" s="21" t="s">
        <v>3019</v>
      </c>
      <c r="B118" s="21" t="s">
        <v>2688</v>
      </c>
      <c r="C118" s="22" t="s">
        <v>2666</v>
      </c>
      <c r="D118" s="30">
        <v>72.4</v>
      </c>
      <c r="E118" s="31">
        <v>220.5</v>
      </c>
      <c r="F118" s="22" t="s">
        <v>2796</v>
      </c>
      <c r="G118" s="21" t="s">
        <v>2797</v>
      </c>
      <c r="H118" s="21" t="s">
        <v>2798</v>
      </c>
      <c r="I118" s="21" t="s">
        <v>2582</v>
      </c>
      <c r="J118" s="21">
        <f>SE(I118="","-",SE(DATA.VALOR(I118)&lt;HOJE(),"VENCIDO",SE(DATA.VALOR(I118)-HOJE()&lt;=30,"CRÍTICO (&lt;=30D)","REGULAR")))</f>
      </c>
      <c r="K118" s="22" t="s">
        <v>2799</v>
      </c>
      <c r="L118" s="22" t="s">
        <v>2800</v>
      </c>
      <c r="M118" s="22" t="s">
        <v>63</v>
      </c>
      <c r="N118" s="22" t="s">
        <v>3020</v>
      </c>
    </row>
    <row r="119" ht="20" customHeight="1" spans="1:14" s="23" customFormat="1" x14ac:dyDescent="0.25">
      <c r="A119" s="24" t="s">
        <v>3021</v>
      </c>
      <c r="B119" s="24" t="s">
        <v>2688</v>
      </c>
      <c r="C119" s="25" t="s">
        <v>2773</v>
      </c>
      <c r="D119" s="32">
        <v>39</v>
      </c>
      <c r="E119" s="33">
        <v>160</v>
      </c>
      <c r="F119" s="25" t="s">
        <v>2796</v>
      </c>
      <c r="G119" s="24" t="s">
        <v>2797</v>
      </c>
      <c r="H119" s="24" t="s">
        <v>2798</v>
      </c>
      <c r="I119" s="24" t="s">
        <v>2582</v>
      </c>
      <c r="J119" s="24">
        <f>SE(I119="","-",SE(DATA.VALOR(I119)&lt;HOJE(),"VENCIDO",SE(DATA.VALOR(I119)-HOJE()&lt;=30,"CRÍTICO (&lt;=30D)","REGULAR")))</f>
      </c>
      <c r="K119" s="25" t="s">
        <v>2799</v>
      </c>
      <c r="L119" s="25" t="s">
        <v>2800</v>
      </c>
      <c r="M119" s="25" t="s">
        <v>63</v>
      </c>
      <c r="N119" s="25" t="s">
        <v>3022</v>
      </c>
    </row>
    <row r="120" ht="20" customHeight="1" spans="1:14" x14ac:dyDescent="0.25">
      <c r="A120" s="21" t="s">
        <v>3023</v>
      </c>
      <c r="B120" s="21" t="s">
        <v>2665</v>
      </c>
      <c r="C120" s="22" t="s">
        <v>2679</v>
      </c>
      <c r="D120" s="30">
        <v>33.33</v>
      </c>
      <c r="E120" s="31">
        <v>0</v>
      </c>
      <c r="F120" s="22" t="s">
        <v>3024</v>
      </c>
      <c r="G120" s="21" t="s">
        <v>1969</v>
      </c>
      <c r="H120" s="21" t="s">
        <v>3025</v>
      </c>
      <c r="I120" s="21" t="s">
        <v>2641</v>
      </c>
      <c r="J120" s="21">
        <f>SE(I120="","-",SE(DATA.VALOR(I120)&lt;HOJE(),"VENCIDO",SE(DATA.VALOR(I120)-HOJE()&lt;=30,"CRÍTICO (&lt;=30D)","REGULAR")))</f>
      </c>
      <c r="K120" s="22" t="s">
        <v>63</v>
      </c>
      <c r="L120" s="22" t="s">
        <v>63</v>
      </c>
      <c r="M120" s="22" t="s">
        <v>3026</v>
      </c>
      <c r="N120" s="22" t="s">
        <v>3027</v>
      </c>
    </row>
    <row r="121" ht="20" customHeight="1" spans="1:14" s="23" customFormat="1" x14ac:dyDescent="0.25">
      <c r="A121" s="24" t="s">
        <v>3028</v>
      </c>
      <c r="B121" s="24" t="s">
        <v>2665</v>
      </c>
      <c r="C121" s="25" t="s">
        <v>2727</v>
      </c>
      <c r="D121" s="32">
        <v>100</v>
      </c>
      <c r="E121" s="33">
        <v>0</v>
      </c>
      <c r="F121" s="25" t="s">
        <v>3024</v>
      </c>
      <c r="G121" s="24" t="s">
        <v>1969</v>
      </c>
      <c r="H121" s="24" t="s">
        <v>3025</v>
      </c>
      <c r="I121" s="24" t="s">
        <v>2641</v>
      </c>
      <c r="J121" s="24">
        <f>SE(I121="","-",SE(DATA.VALOR(I121)&lt;HOJE(),"VENCIDO",SE(DATA.VALOR(I121)-HOJE()&lt;=30,"CRÍTICO (&lt;=30D)","REGULAR")))</f>
      </c>
      <c r="K121" s="25" t="s">
        <v>63</v>
      </c>
      <c r="L121" s="25" t="s">
        <v>63</v>
      </c>
      <c r="M121" s="25" t="s">
        <v>3026</v>
      </c>
      <c r="N121" s="25" t="s">
        <v>3027</v>
      </c>
    </row>
    <row r="122" ht="20" customHeight="1" spans="1:14" x14ac:dyDescent="0.25">
      <c r="A122" s="21" t="s">
        <v>3029</v>
      </c>
      <c r="B122" s="21" t="s">
        <v>2665</v>
      </c>
      <c r="C122" s="22" t="s">
        <v>2696</v>
      </c>
      <c r="D122" s="30">
        <v>100</v>
      </c>
      <c r="E122" s="31">
        <v>0</v>
      </c>
      <c r="F122" s="22" t="s">
        <v>3024</v>
      </c>
      <c r="G122" s="21" t="s">
        <v>1969</v>
      </c>
      <c r="H122" s="21" t="s">
        <v>3025</v>
      </c>
      <c r="I122" s="21" t="s">
        <v>2641</v>
      </c>
      <c r="J122" s="21">
        <f>SE(I122="","-",SE(DATA.VALOR(I122)&lt;HOJE(),"VENCIDO",SE(DATA.VALOR(I122)-HOJE()&lt;=30,"CRÍTICO (&lt;=30D)","REGULAR")))</f>
      </c>
      <c r="K122" s="22" t="s">
        <v>63</v>
      </c>
      <c r="L122" s="22" t="s">
        <v>63</v>
      </c>
      <c r="M122" s="22" t="s">
        <v>3026</v>
      </c>
      <c r="N122" s="22" t="s">
        <v>3027</v>
      </c>
    </row>
    <row r="123" ht="20" customHeight="1" spans="1:14" s="23" customFormat="1" x14ac:dyDescent="0.25">
      <c r="A123" s="24" t="s">
        <v>3030</v>
      </c>
      <c r="B123" s="24" t="s">
        <v>3031</v>
      </c>
      <c r="C123" s="25" t="s">
        <v>2578</v>
      </c>
      <c r="D123" s="32">
        <v>700</v>
      </c>
      <c r="E123" s="33">
        <v>0</v>
      </c>
      <c r="F123" s="25" t="s">
        <v>2652</v>
      </c>
      <c r="G123" s="24" t="s">
        <v>3032</v>
      </c>
      <c r="H123" s="24" t="s">
        <v>3033</v>
      </c>
      <c r="I123" s="24" t="s">
        <v>3034</v>
      </c>
      <c r="J123" s="24">
        <f>SE(I123="","-",SE(DATA.VALOR(I123)&lt;HOJE(),"VENCIDO",SE(DATA.VALOR(I123)-HOJE()&lt;=30,"CRÍTICO (&lt;=30D)","REGULAR")))</f>
      </c>
      <c r="K123" s="25" t="s">
        <v>63</v>
      </c>
      <c r="L123" s="25" t="s">
        <v>63</v>
      </c>
      <c r="M123" s="25" t="s">
        <v>3035</v>
      </c>
      <c r="N123" s="25" t="s">
        <v>3036</v>
      </c>
    </row>
    <row r="124" ht="20" customHeight="1" spans="1:14" x14ac:dyDescent="0.25">
      <c r="A124" s="21" t="s">
        <v>3037</v>
      </c>
      <c r="B124" s="21" t="s">
        <v>2756</v>
      </c>
      <c r="C124" s="22" t="s">
        <v>2578</v>
      </c>
      <c r="D124" s="30">
        <v>700</v>
      </c>
      <c r="E124" s="31">
        <v>0</v>
      </c>
      <c r="F124" s="22" t="s">
        <v>2652</v>
      </c>
      <c r="G124" s="21" t="s">
        <v>3038</v>
      </c>
      <c r="H124" s="21" t="s">
        <v>3039</v>
      </c>
      <c r="I124" s="21" t="s">
        <v>2683</v>
      </c>
      <c r="J124" s="21">
        <f>SE(I124="","-",SE(DATA.VALOR(I124)&lt;HOJE(),"VENCIDO",SE(DATA.VALOR(I124)-HOJE()&lt;=30,"CRÍTICO (&lt;=30D)","REGULAR")))</f>
      </c>
      <c r="K124" s="22" t="s">
        <v>63</v>
      </c>
      <c r="L124" s="22" t="s">
        <v>63</v>
      </c>
      <c r="M124" s="22" t="s">
        <v>3040</v>
      </c>
      <c r="N124" s="22" t="s">
        <v>3041</v>
      </c>
    </row>
    <row r="125" ht="20" customHeight="1" spans="1:14" s="23" customFormat="1" x14ac:dyDescent="0.25">
      <c r="A125" s="24" t="s">
        <v>3042</v>
      </c>
      <c r="B125" s="24" t="s">
        <v>3043</v>
      </c>
      <c r="C125" s="25" t="s">
        <v>2578</v>
      </c>
      <c r="D125" s="32">
        <v>600</v>
      </c>
      <c r="E125" s="33">
        <v>0</v>
      </c>
      <c r="F125" s="25" t="s">
        <v>2652</v>
      </c>
      <c r="G125" s="24" t="s">
        <v>3044</v>
      </c>
      <c r="H125" s="24" t="s">
        <v>3045</v>
      </c>
      <c r="I125" s="24" t="s">
        <v>2514</v>
      </c>
      <c r="J125" s="24">
        <f>SE(I125="","-",SE(DATA.VALOR(I125)&lt;HOJE(),"VENCIDO",SE(DATA.VALOR(I125)-HOJE()&lt;=30,"CRÍTICO (&lt;=30D)","REGULAR")))</f>
      </c>
      <c r="K125" s="25" t="s">
        <v>63</v>
      </c>
      <c r="L125" s="25" t="s">
        <v>63</v>
      </c>
      <c r="M125" s="25" t="s">
        <v>3046</v>
      </c>
      <c r="N125" s="25" t="s">
        <v>3047</v>
      </c>
    </row>
    <row r="126" ht="20" customHeight="1" spans="1:14" x14ac:dyDescent="0.25">
      <c r="A126" s="21" t="s">
        <v>3048</v>
      </c>
      <c r="B126" s="21" t="s">
        <v>3049</v>
      </c>
      <c r="C126" s="22" t="s">
        <v>2578</v>
      </c>
      <c r="D126" s="30">
        <v>700</v>
      </c>
      <c r="E126" s="31">
        <v>0</v>
      </c>
      <c r="F126" s="22" t="s">
        <v>2652</v>
      </c>
      <c r="G126" s="21" t="s">
        <v>3050</v>
      </c>
      <c r="H126" s="21" t="s">
        <v>3051</v>
      </c>
      <c r="I126" s="21" t="s">
        <v>2715</v>
      </c>
      <c r="J126" s="21">
        <f>SE(I126="","-",SE(DATA.VALOR(I126)&lt;HOJE(),"VENCIDO",SE(DATA.VALOR(I126)-HOJE()&lt;=30,"CRÍTICO (&lt;=30D)","REGULAR")))</f>
      </c>
      <c r="K126" s="22" t="s">
        <v>63</v>
      </c>
      <c r="L126" s="22" t="s">
        <v>63</v>
      </c>
      <c r="M126" s="22" t="s">
        <v>3052</v>
      </c>
      <c r="N126" s="22" t="s">
        <v>3053</v>
      </c>
    </row>
    <row r="127" ht="20" customHeight="1" spans="1:14" s="23" customFormat="1" x14ac:dyDescent="0.25">
      <c r="A127" s="24" t="s">
        <v>3054</v>
      </c>
      <c r="B127" s="24" t="s">
        <v>2514</v>
      </c>
      <c r="C127" s="25" t="s">
        <v>2578</v>
      </c>
      <c r="D127" s="32">
        <v>700</v>
      </c>
      <c r="E127" s="33">
        <v>0</v>
      </c>
      <c r="F127" s="25" t="s">
        <v>2652</v>
      </c>
      <c r="G127" s="24" t="s">
        <v>3055</v>
      </c>
      <c r="H127" s="24" t="s">
        <v>3056</v>
      </c>
      <c r="I127" s="24" t="s">
        <v>2688</v>
      </c>
      <c r="J127" s="24">
        <f>SE(I127="","-",SE(DATA.VALOR(I127)&lt;HOJE(),"VENCIDO",SE(DATA.VALOR(I127)-HOJE()&lt;=30,"CRÍTICO (&lt;=30D)","REGULAR")))</f>
      </c>
      <c r="K127" s="25" t="s">
        <v>63</v>
      </c>
      <c r="L127" s="25" t="s">
        <v>63</v>
      </c>
      <c r="M127" s="25" t="s">
        <v>3057</v>
      </c>
      <c r="N127" s="25" t="s">
        <v>3058</v>
      </c>
    </row>
    <row r="128" ht="20" customHeight="1" spans="1:14" x14ac:dyDescent="0.25">
      <c r="A128" s="21" t="s">
        <v>3059</v>
      </c>
      <c r="B128" s="21" t="s">
        <v>2564</v>
      </c>
      <c r="C128" s="22" t="s">
        <v>2578</v>
      </c>
      <c r="D128" s="30">
        <v>300</v>
      </c>
      <c r="E128" s="31">
        <v>0</v>
      </c>
      <c r="F128" s="22" t="s">
        <v>2652</v>
      </c>
      <c r="G128" s="21" t="s">
        <v>3060</v>
      </c>
      <c r="H128" s="21" t="s">
        <v>3061</v>
      </c>
      <c r="I128" s="21" t="s">
        <v>2585</v>
      </c>
      <c r="J128" s="21">
        <f>SE(I128="","-",SE(DATA.VALOR(I128)&lt;HOJE(),"VENCIDO",SE(DATA.VALOR(I128)-HOJE()&lt;=30,"CRÍTICO (&lt;=30D)","REGULAR")))</f>
      </c>
      <c r="K128" s="22" t="s">
        <v>63</v>
      </c>
      <c r="L128" s="22" t="s">
        <v>63</v>
      </c>
      <c r="M128" s="22" t="s">
        <v>3062</v>
      </c>
      <c r="N128" s="22" t="s">
        <v>3063</v>
      </c>
    </row>
    <row r="129" ht="20" customHeight="1" spans="1:14" s="23" customFormat="1" x14ac:dyDescent="0.25">
      <c r="A129" s="24" t="s">
        <v>3064</v>
      </c>
      <c r="B129" s="24" t="s">
        <v>2564</v>
      </c>
      <c r="C129" s="25" t="s">
        <v>2578</v>
      </c>
      <c r="D129" s="32">
        <v>300</v>
      </c>
      <c r="E129" s="33">
        <v>0</v>
      </c>
      <c r="F129" s="25" t="s">
        <v>2652</v>
      </c>
      <c r="G129" s="24" t="s">
        <v>3060</v>
      </c>
      <c r="H129" s="24" t="s">
        <v>3061</v>
      </c>
      <c r="I129" s="24" t="s">
        <v>2585</v>
      </c>
      <c r="J129" s="24">
        <f>SE(I129="","-",SE(DATA.VALOR(I129)&lt;HOJE(),"VENCIDO",SE(DATA.VALOR(I129)-HOJE()&lt;=30,"CRÍTICO (&lt;=30D)","REGULAR")))</f>
      </c>
      <c r="K129" s="25" t="s">
        <v>63</v>
      </c>
      <c r="L129" s="25" t="s">
        <v>63</v>
      </c>
      <c r="M129" s="25" t="s">
        <v>3062</v>
      </c>
      <c r="N129" s="25" t="s">
        <v>3065</v>
      </c>
    </row>
    <row r="130" ht="20" customHeight="1" spans="1:14" x14ac:dyDescent="0.25">
      <c r="A130" s="21" t="s">
        <v>3066</v>
      </c>
      <c r="B130" s="21" t="s">
        <v>2564</v>
      </c>
      <c r="C130" s="22" t="s">
        <v>2578</v>
      </c>
      <c r="D130" s="30">
        <v>600</v>
      </c>
      <c r="E130" s="31">
        <v>0</v>
      </c>
      <c r="F130" s="22" t="s">
        <v>2652</v>
      </c>
      <c r="G130" s="21" t="s">
        <v>3067</v>
      </c>
      <c r="H130" s="21" t="s">
        <v>3015</v>
      </c>
      <c r="I130" s="21" t="s">
        <v>2605</v>
      </c>
      <c r="J130" s="21">
        <f>SE(I130="","-",SE(DATA.VALOR(I130)&lt;HOJE(),"VENCIDO",SE(DATA.VALOR(I130)-HOJE()&lt;=30,"CRÍTICO (&lt;=30D)","REGULAR")))</f>
      </c>
      <c r="K130" s="22" t="s">
        <v>63</v>
      </c>
      <c r="L130" s="22" t="s">
        <v>63</v>
      </c>
      <c r="M130" s="22" t="s">
        <v>3068</v>
      </c>
      <c r="N130" s="22" t="s">
        <v>3069</v>
      </c>
    </row>
    <row r="131" ht="20" customHeight="1" spans="1:14" s="23" customFormat="1" x14ac:dyDescent="0.25">
      <c r="A131" s="24" t="s">
        <v>3070</v>
      </c>
      <c r="B131" s="24" t="s">
        <v>2564</v>
      </c>
      <c r="C131" s="25" t="s">
        <v>2578</v>
      </c>
      <c r="D131" s="32">
        <v>800</v>
      </c>
      <c r="E131" s="33">
        <v>0</v>
      </c>
      <c r="F131" s="25" t="s">
        <v>2652</v>
      </c>
      <c r="G131" s="24" t="s">
        <v>3071</v>
      </c>
      <c r="H131" s="24" t="s">
        <v>3072</v>
      </c>
      <c r="I131" s="24" t="s">
        <v>2582</v>
      </c>
      <c r="J131" s="24">
        <f>SE(I131="","-",SE(DATA.VALOR(I131)&lt;HOJE(),"VENCIDO",SE(DATA.VALOR(I131)-HOJE()&lt;=30,"CRÍTICO (&lt;=30D)","REGULAR")))</f>
      </c>
      <c r="K131" s="25" t="s">
        <v>63</v>
      </c>
      <c r="L131" s="25" t="s">
        <v>63</v>
      </c>
      <c r="M131" s="25" t="s">
        <v>3073</v>
      </c>
      <c r="N131" s="25" t="s">
        <v>3074</v>
      </c>
    </row>
    <row r="132" ht="20" customHeight="1" spans="1:14" x14ac:dyDescent="0.25">
      <c r="A132" s="21" t="s">
        <v>3075</v>
      </c>
      <c r="B132" s="21" t="s">
        <v>2585</v>
      </c>
      <c r="C132" s="22" t="s">
        <v>2578</v>
      </c>
      <c r="D132" s="30">
        <v>600</v>
      </c>
      <c r="E132" s="31">
        <v>0</v>
      </c>
      <c r="F132" s="22" t="s">
        <v>2652</v>
      </c>
      <c r="G132" s="21" t="s">
        <v>3076</v>
      </c>
      <c r="H132" s="21" t="s">
        <v>3077</v>
      </c>
      <c r="I132" s="21" t="s">
        <v>63</v>
      </c>
      <c r="J132" s="21" t="s">
        <v>20</v>
      </c>
      <c r="K132" s="22" t="s">
        <v>63</v>
      </c>
      <c r="L132" s="22" t="s">
        <v>63</v>
      </c>
      <c r="M132" s="22" t="s">
        <v>3078</v>
      </c>
      <c r="N132" s="22" t="s">
        <v>3079</v>
      </c>
    </row>
    <row r="133" ht="20" customHeight="1" spans="1:14" s="23" customFormat="1" x14ac:dyDescent="0.25">
      <c r="A133" s="24" t="s">
        <v>3080</v>
      </c>
      <c r="B133" s="24" t="s">
        <v>2575</v>
      </c>
      <c r="C133" s="25" t="s">
        <v>2578</v>
      </c>
      <c r="D133" s="32">
        <v>845</v>
      </c>
      <c r="E133" s="33">
        <v>4199.65</v>
      </c>
      <c r="F133" s="25" t="s">
        <v>2579</v>
      </c>
      <c r="G133" s="24" t="s">
        <v>3081</v>
      </c>
      <c r="H133" s="24" t="s">
        <v>2996</v>
      </c>
      <c r="I133" s="24" t="s">
        <v>63</v>
      </c>
      <c r="J133" s="24" t="s">
        <v>20</v>
      </c>
      <c r="K133" s="25" t="s">
        <v>3082</v>
      </c>
      <c r="L133" s="25" t="s">
        <v>3083</v>
      </c>
      <c r="M133" s="25" t="s">
        <v>3084</v>
      </c>
      <c r="N133" s="25" t="s">
        <v>3085</v>
      </c>
    </row>
    <row r="134" ht="20" customHeight="1" spans="1:14" x14ac:dyDescent="0.25">
      <c r="A134" s="21" t="s">
        <v>3086</v>
      </c>
      <c r="B134" s="21" t="s">
        <v>2896</v>
      </c>
      <c r="C134" s="22" t="s">
        <v>3087</v>
      </c>
      <c r="D134" s="30">
        <v>175</v>
      </c>
      <c r="E134" s="31">
        <v>656.25</v>
      </c>
      <c r="F134" s="22" t="s">
        <v>2787</v>
      </c>
      <c r="G134" s="21" t="s">
        <v>3088</v>
      </c>
      <c r="H134" s="21" t="s">
        <v>2996</v>
      </c>
      <c r="I134" s="21" t="s">
        <v>63</v>
      </c>
      <c r="J134" s="21" t="s">
        <v>20</v>
      </c>
      <c r="K134" s="22" t="s">
        <v>3089</v>
      </c>
      <c r="L134" s="22" t="s">
        <v>2790</v>
      </c>
      <c r="M134" s="22" t="s">
        <v>3090</v>
      </c>
      <c r="N134" s="22" t="s">
        <v>3091</v>
      </c>
    </row>
    <row r="135" ht="20" customHeight="1" spans="1:14" s="23" customFormat="1" x14ac:dyDescent="0.25">
      <c r="A135" s="24" t="s">
        <v>3092</v>
      </c>
      <c r="B135" s="24" t="s">
        <v>2896</v>
      </c>
      <c r="C135" s="25" t="s">
        <v>3093</v>
      </c>
      <c r="D135" s="32">
        <v>40</v>
      </c>
      <c r="E135" s="33">
        <v>216.25</v>
      </c>
      <c r="F135" s="25" t="s">
        <v>2787</v>
      </c>
      <c r="G135" s="24" t="s">
        <v>3088</v>
      </c>
      <c r="H135" s="24" t="s">
        <v>2996</v>
      </c>
      <c r="I135" s="24" t="s">
        <v>63</v>
      </c>
      <c r="J135" s="24" t="s">
        <v>20</v>
      </c>
      <c r="K135" s="25" t="s">
        <v>3089</v>
      </c>
      <c r="L135" s="25" t="s">
        <v>2790</v>
      </c>
      <c r="M135" s="25" t="s">
        <v>3090</v>
      </c>
      <c r="N135" s="25" t="s">
        <v>3091</v>
      </c>
    </row>
    <row r="136" ht="20" customHeight="1" spans="1:14" x14ac:dyDescent="0.25">
      <c r="A136" s="21" t="s">
        <v>3094</v>
      </c>
      <c r="B136" s="21" t="s">
        <v>2896</v>
      </c>
      <c r="C136" s="22" t="s">
        <v>2709</v>
      </c>
      <c r="D136" s="30">
        <v>175</v>
      </c>
      <c r="E136" s="31">
        <v>647.5</v>
      </c>
      <c r="F136" s="22" t="s">
        <v>2994</v>
      </c>
      <c r="G136" s="21" t="s">
        <v>3095</v>
      </c>
      <c r="H136" s="21" t="s">
        <v>2996</v>
      </c>
      <c r="I136" s="21" t="s">
        <v>63</v>
      </c>
      <c r="J136" s="21" t="s">
        <v>20</v>
      </c>
      <c r="K136" s="22" t="s">
        <v>3096</v>
      </c>
      <c r="L136" s="22" t="s">
        <v>2998</v>
      </c>
      <c r="M136" s="22" t="s">
        <v>3097</v>
      </c>
      <c r="N136" s="22" t="s">
        <v>3098</v>
      </c>
    </row>
    <row r="137" ht="20" customHeight="1" spans="1:14" s="23" customFormat="1" x14ac:dyDescent="0.25">
      <c r="A137" s="24" t="s">
        <v>3099</v>
      </c>
      <c r="B137" s="24" t="s">
        <v>2896</v>
      </c>
      <c r="C137" s="25" t="s">
        <v>2709</v>
      </c>
      <c r="D137" s="32">
        <v>175</v>
      </c>
      <c r="E137" s="33">
        <v>647.5</v>
      </c>
      <c r="F137" s="25" t="s">
        <v>3100</v>
      </c>
      <c r="G137" s="24" t="s">
        <v>3101</v>
      </c>
      <c r="H137" s="24" t="s">
        <v>2996</v>
      </c>
      <c r="I137" s="24" t="s">
        <v>63</v>
      </c>
      <c r="J137" s="24" t="s">
        <v>20</v>
      </c>
      <c r="K137" s="25" t="s">
        <v>3102</v>
      </c>
      <c r="L137" s="25" t="s">
        <v>3103</v>
      </c>
      <c r="M137" s="25" t="s">
        <v>3104</v>
      </c>
      <c r="N137" s="25" t="s">
        <v>3105</v>
      </c>
    </row>
    <row r="138" ht="20" customHeight="1" spans="1:14" x14ac:dyDescent="0.25">
      <c r="A138" s="21" t="s">
        <v>3106</v>
      </c>
      <c r="B138" s="21" t="s">
        <v>2896</v>
      </c>
      <c r="C138" s="22" t="s">
        <v>2709</v>
      </c>
      <c r="D138" s="30">
        <v>175</v>
      </c>
      <c r="E138" s="31">
        <v>647.5</v>
      </c>
      <c r="F138" s="22" t="s">
        <v>2765</v>
      </c>
      <c r="G138" s="21" t="s">
        <v>3107</v>
      </c>
      <c r="H138" s="21" t="s">
        <v>2996</v>
      </c>
      <c r="I138" s="21" t="s">
        <v>63</v>
      </c>
      <c r="J138" s="21" t="s">
        <v>20</v>
      </c>
      <c r="K138" s="22" t="s">
        <v>3108</v>
      </c>
      <c r="L138" s="22" t="s">
        <v>3109</v>
      </c>
      <c r="M138" s="22" t="s">
        <v>3110</v>
      </c>
      <c r="N138" s="22" t="s">
        <v>3111</v>
      </c>
    </row>
    <row r="139" ht="20" customHeight="1" spans="1:14" s="23" customFormat="1" x14ac:dyDescent="0.25">
      <c r="A139" s="24" t="s">
        <v>3112</v>
      </c>
      <c r="B139" s="24" t="s">
        <v>3113</v>
      </c>
      <c r="C139" s="25" t="s">
        <v>2727</v>
      </c>
      <c r="D139" s="32">
        <v>87.5</v>
      </c>
      <c r="E139" s="33">
        <v>0</v>
      </c>
      <c r="F139" s="25" t="s">
        <v>3024</v>
      </c>
      <c r="G139" s="24" t="s">
        <v>1969</v>
      </c>
      <c r="H139" s="24" t="s">
        <v>3025</v>
      </c>
      <c r="I139" s="24" t="s">
        <v>2641</v>
      </c>
      <c r="J139" s="24">
        <f>SE(I139="","-",SE(DATA.VALOR(I139)&lt;HOJE(),"VENCIDO",SE(DATA.VALOR(I139)-HOJE()&lt;=30,"CRÍTICO (&lt;=30D)","REGULAR")))</f>
      </c>
      <c r="K139" s="25" t="s">
        <v>63</v>
      </c>
      <c r="L139" s="25" t="s">
        <v>63</v>
      </c>
      <c r="M139" s="25" t="s">
        <v>3026</v>
      </c>
      <c r="N139" s="25" t="s">
        <v>3114</v>
      </c>
    </row>
    <row r="140" ht="20" customHeight="1" spans="1:14" x14ac:dyDescent="0.25">
      <c r="A140" s="21" t="s">
        <v>3115</v>
      </c>
      <c r="B140" s="21" t="s">
        <v>3113</v>
      </c>
      <c r="C140" s="22" t="s">
        <v>2696</v>
      </c>
      <c r="D140" s="30">
        <v>40.63</v>
      </c>
      <c r="E140" s="31">
        <v>0</v>
      </c>
      <c r="F140" s="22" t="s">
        <v>3024</v>
      </c>
      <c r="G140" s="21" t="s">
        <v>1969</v>
      </c>
      <c r="H140" s="21" t="s">
        <v>3025</v>
      </c>
      <c r="I140" s="21" t="s">
        <v>2641</v>
      </c>
      <c r="J140" s="21">
        <f>SE(I140="","-",SE(DATA.VALOR(I140)&lt;HOJE(),"VENCIDO",SE(DATA.VALOR(I140)-HOJE()&lt;=30,"CRÍTICO (&lt;=30D)","REGULAR")))</f>
      </c>
      <c r="K140" s="22" t="s">
        <v>63</v>
      </c>
      <c r="L140" s="22" t="s">
        <v>63</v>
      </c>
      <c r="M140" s="22" t="s">
        <v>3026</v>
      </c>
      <c r="N140" s="22" t="s">
        <v>3114</v>
      </c>
    </row>
    <row r="141" ht="20" customHeight="1" spans="1:14" s="23" customFormat="1" x14ac:dyDescent="0.25">
      <c r="A141" s="24" t="s">
        <v>3116</v>
      </c>
      <c r="B141" s="24" t="s">
        <v>2631</v>
      </c>
      <c r="C141" s="25" t="s">
        <v>3117</v>
      </c>
      <c r="D141" s="32">
        <v>208</v>
      </c>
      <c r="E141" s="33">
        <v>1227.2</v>
      </c>
      <c r="F141" s="25" t="s">
        <v>2734</v>
      </c>
      <c r="G141" s="24" t="s">
        <v>3118</v>
      </c>
      <c r="H141" s="24" t="s">
        <v>2996</v>
      </c>
      <c r="I141" s="24" t="s">
        <v>63</v>
      </c>
      <c r="J141" s="24" t="s">
        <v>20</v>
      </c>
      <c r="K141" s="25" t="s">
        <v>3119</v>
      </c>
      <c r="L141" s="25" t="s">
        <v>2738</v>
      </c>
      <c r="M141" s="25" t="s">
        <v>3120</v>
      </c>
      <c r="N141" s="25" t="s">
        <v>3121</v>
      </c>
    </row>
    <row r="142" ht="20" customHeight="1" spans="1:14" x14ac:dyDescent="0.25">
      <c r="A142" s="21" t="s">
        <v>3122</v>
      </c>
      <c r="B142" s="21" t="s">
        <v>3123</v>
      </c>
      <c r="C142" s="22" t="s">
        <v>2712</v>
      </c>
      <c r="D142" s="30">
        <v>40</v>
      </c>
      <c r="E142" s="31">
        <v>216</v>
      </c>
      <c r="F142" s="22" t="s">
        <v>2787</v>
      </c>
      <c r="G142" s="21" t="s">
        <v>3124</v>
      </c>
      <c r="H142" s="21" t="s">
        <v>3125</v>
      </c>
      <c r="I142" s="21" t="s">
        <v>94</v>
      </c>
      <c r="J142" s="21">
        <f>SE(I142="","-",SE(DATA.VALOR(I142)&lt;HOJE(),"VENCIDO",SE(DATA.VALOR(I142)-HOJE()&lt;=30,"CRÍTICO (&lt;=30D)","REGULAR")))</f>
      </c>
      <c r="K142" s="22" t="s">
        <v>3126</v>
      </c>
      <c r="L142" s="22" t="s">
        <v>3127</v>
      </c>
      <c r="M142" s="22" t="s">
        <v>3128</v>
      </c>
      <c r="N142" s="22" t="s">
        <v>3129</v>
      </c>
    </row>
    <row r="143" ht="20" customHeight="1" spans="1:14" s="23" customFormat="1" x14ac:dyDescent="0.25">
      <c r="A143" s="24" t="s">
        <v>3130</v>
      </c>
      <c r="B143" s="24" t="s">
        <v>3123</v>
      </c>
      <c r="C143" s="25" t="s">
        <v>2793</v>
      </c>
      <c r="D143" s="32">
        <v>175</v>
      </c>
      <c r="E143" s="33">
        <v>656.25</v>
      </c>
      <c r="F143" s="25" t="s">
        <v>2787</v>
      </c>
      <c r="G143" s="24" t="s">
        <v>3124</v>
      </c>
      <c r="H143" s="24" t="s">
        <v>3125</v>
      </c>
      <c r="I143" s="24" t="s">
        <v>94</v>
      </c>
      <c r="J143" s="24">
        <f>SE(I143="","-",SE(DATA.VALOR(I143)&lt;HOJE(),"VENCIDO",SE(DATA.VALOR(I143)-HOJE()&lt;=30,"CRÍTICO (&lt;=30D)","REGULAR")))</f>
      </c>
      <c r="K143" s="25" t="s">
        <v>3126</v>
      </c>
      <c r="L143" s="25" t="s">
        <v>3127</v>
      </c>
      <c r="M143" s="25" t="s">
        <v>3128</v>
      </c>
      <c r="N143" s="25" t="s">
        <v>3129</v>
      </c>
    </row>
    <row r="144" ht="20" customHeight="1" spans="1:14" x14ac:dyDescent="0.25">
      <c r="A144" s="21" t="s">
        <v>3131</v>
      </c>
      <c r="B144" s="21" t="s">
        <v>2812</v>
      </c>
      <c r="C144" s="22" t="s">
        <v>3132</v>
      </c>
      <c r="D144" s="30">
        <v>200</v>
      </c>
      <c r="E144" s="31">
        <v>1200</v>
      </c>
      <c r="F144" s="22" t="s">
        <v>2561</v>
      </c>
      <c r="G144" s="21" t="s">
        <v>3133</v>
      </c>
      <c r="H144" s="21" t="s">
        <v>2996</v>
      </c>
      <c r="I144" s="21" t="s">
        <v>2812</v>
      </c>
      <c r="J144" s="21">
        <f>SE(I144="","-",SE(DATA.VALOR(I144)&lt;HOJE(),"VENCIDO",SE(DATA.VALOR(I144)-HOJE()&lt;=30,"CRÍTICO (&lt;=30D)","REGULAR")))</f>
      </c>
      <c r="K144" s="22" t="s">
        <v>3134</v>
      </c>
      <c r="L144" s="22" t="s">
        <v>2877</v>
      </c>
      <c r="M144" s="22" t="s">
        <v>3135</v>
      </c>
      <c r="N144" s="22" t="s">
        <v>3136</v>
      </c>
    </row>
    <row r="145" ht="20" customHeight="1" spans="1:14" s="23" customFormat="1" x14ac:dyDescent="0.25">
      <c r="A145" s="24" t="s">
        <v>3137</v>
      </c>
      <c r="B145" s="24" t="s">
        <v>2812</v>
      </c>
      <c r="C145" s="25" t="s">
        <v>3138</v>
      </c>
      <c r="D145" s="32">
        <v>250</v>
      </c>
      <c r="E145" s="33">
        <v>1500</v>
      </c>
      <c r="F145" s="25" t="s">
        <v>2561</v>
      </c>
      <c r="G145" s="24" t="s">
        <v>3133</v>
      </c>
      <c r="H145" s="24" t="s">
        <v>2996</v>
      </c>
      <c r="I145" s="24" t="s">
        <v>63</v>
      </c>
      <c r="J145" s="24" t="s">
        <v>20</v>
      </c>
      <c r="K145" s="25" t="s">
        <v>3134</v>
      </c>
      <c r="L145" s="25" t="s">
        <v>2877</v>
      </c>
      <c r="M145" s="25" t="s">
        <v>3139</v>
      </c>
      <c r="N145" s="25" t="s">
        <v>3136</v>
      </c>
    </row>
    <row r="146" ht="20" customHeight="1" spans="1:14" x14ac:dyDescent="0.25">
      <c r="A146" s="21" t="s">
        <v>3140</v>
      </c>
      <c r="B146" s="21" t="s">
        <v>2688</v>
      </c>
      <c r="C146" s="22" t="s">
        <v>3132</v>
      </c>
      <c r="D146" s="30">
        <v>200</v>
      </c>
      <c r="E146" s="31">
        <v>1200</v>
      </c>
      <c r="F146" s="22" t="s">
        <v>2561</v>
      </c>
      <c r="G146" s="21" t="s">
        <v>3141</v>
      </c>
      <c r="H146" s="21" t="s">
        <v>2996</v>
      </c>
      <c r="I146" s="21" t="s">
        <v>2688</v>
      </c>
      <c r="J146" s="21">
        <f>SE(I146="","-",SE(DATA.VALOR(I146)&lt;HOJE(),"VENCIDO",SE(DATA.VALOR(I146)-HOJE()&lt;=30,"CRÍTICO (&lt;=30D)","REGULAR")))</f>
      </c>
      <c r="K146" s="22" t="s">
        <v>3142</v>
      </c>
      <c r="L146" s="22" t="s">
        <v>3143</v>
      </c>
      <c r="M146" s="22" t="s">
        <v>3144</v>
      </c>
      <c r="N146" s="22" t="s">
        <v>3145</v>
      </c>
    </row>
    <row r="147" ht="20" customHeight="1" spans="1:14" s="23" customFormat="1" x14ac:dyDescent="0.25">
      <c r="A147" s="24" t="s">
        <v>3146</v>
      </c>
      <c r="B147" s="24" t="s">
        <v>2688</v>
      </c>
      <c r="C147" s="25" t="s">
        <v>3138</v>
      </c>
      <c r="D147" s="32">
        <v>250</v>
      </c>
      <c r="E147" s="33">
        <v>1500</v>
      </c>
      <c r="F147" s="25" t="s">
        <v>2561</v>
      </c>
      <c r="G147" s="24" t="s">
        <v>3141</v>
      </c>
      <c r="H147" s="24" t="s">
        <v>2996</v>
      </c>
      <c r="I147" s="24" t="s">
        <v>63</v>
      </c>
      <c r="J147" s="24" t="s">
        <v>20</v>
      </c>
      <c r="K147" s="25" t="s">
        <v>3142</v>
      </c>
      <c r="L147" s="25" t="s">
        <v>3143</v>
      </c>
      <c r="M147" s="25" t="s">
        <v>3147</v>
      </c>
      <c r="N147" s="25" t="s">
        <v>3145</v>
      </c>
    </row>
    <row r="148" ht="20" customHeight="1" spans="1:14" x14ac:dyDescent="0.25">
      <c r="A148" s="21" t="s">
        <v>3148</v>
      </c>
      <c r="B148" s="21" t="s">
        <v>2934</v>
      </c>
      <c r="C148" s="22" t="s">
        <v>2709</v>
      </c>
      <c r="D148" s="30">
        <v>175</v>
      </c>
      <c r="E148" s="31">
        <v>647.5</v>
      </c>
      <c r="F148" s="22" t="s">
        <v>3149</v>
      </c>
      <c r="G148" s="21" t="s">
        <v>3150</v>
      </c>
      <c r="H148" s="21" t="s">
        <v>3151</v>
      </c>
      <c r="I148" s="21" t="s">
        <v>3152</v>
      </c>
      <c r="J148" s="21">
        <f>SE(I148="","-",SE(DATA.VALOR(I148)&lt;HOJE(),"VENCIDO",SE(DATA.VALOR(I148)-HOJE()&lt;=30,"CRÍTICO (&lt;=30D)","REGULAR")))</f>
      </c>
      <c r="K148" s="22" t="s">
        <v>3153</v>
      </c>
      <c r="L148" s="22" t="s">
        <v>3154</v>
      </c>
      <c r="M148" s="22" t="s">
        <v>63</v>
      </c>
      <c r="N148" s="22" t="s">
        <v>3155</v>
      </c>
    </row>
    <row r="149" ht="20" customHeight="1" spans="1:14" s="23" customFormat="1" x14ac:dyDescent="0.25">
      <c r="A149" s="24" t="s">
        <v>3156</v>
      </c>
      <c r="B149" s="24" t="s">
        <v>3123</v>
      </c>
      <c r="C149" s="25" t="s">
        <v>2709</v>
      </c>
      <c r="D149" s="32">
        <v>175</v>
      </c>
      <c r="E149" s="33">
        <v>647.5</v>
      </c>
      <c r="F149" s="25" t="s">
        <v>2994</v>
      </c>
      <c r="G149" s="24" t="s">
        <v>3157</v>
      </c>
      <c r="H149" s="24" t="s">
        <v>3158</v>
      </c>
      <c r="I149" s="24" t="s">
        <v>116</v>
      </c>
      <c r="J149" s="24">
        <f>SE(I149="","-",SE(DATA.VALOR(I149)&lt;HOJE(),"VENCIDO",SE(DATA.VALOR(I149)-HOJE()&lt;=30,"CRÍTICO (&lt;=30D)","REGULAR")))</f>
      </c>
      <c r="K149" s="25" t="s">
        <v>3159</v>
      </c>
      <c r="L149" s="25" t="s">
        <v>2998</v>
      </c>
      <c r="M149" s="25" t="s">
        <v>3160</v>
      </c>
      <c r="N149" s="25" t="s">
        <v>3161</v>
      </c>
    </row>
    <row r="150" ht="20" customHeight="1" spans="1:14" x14ac:dyDescent="0.25">
      <c r="A150" s="21" t="s">
        <v>3162</v>
      </c>
      <c r="B150" s="21" t="s">
        <v>3163</v>
      </c>
      <c r="C150" s="22" t="s">
        <v>2578</v>
      </c>
      <c r="D150" s="30">
        <v>800</v>
      </c>
      <c r="E150" s="31">
        <v>0</v>
      </c>
      <c r="F150" s="22" t="s">
        <v>2652</v>
      </c>
      <c r="G150" s="21" t="s">
        <v>2653</v>
      </c>
      <c r="H150" s="21" t="s">
        <v>3164</v>
      </c>
      <c r="I150" s="21" t="s">
        <v>63</v>
      </c>
      <c r="J150" s="21" t="s">
        <v>20</v>
      </c>
      <c r="K150" s="22" t="s">
        <v>63</v>
      </c>
      <c r="L150" s="22" t="s">
        <v>63</v>
      </c>
      <c r="M150" s="22" t="s">
        <v>3165</v>
      </c>
      <c r="N150" s="22" t="s">
        <v>3166</v>
      </c>
    </row>
    <row r="151" ht="20" customHeight="1" spans="1:14" s="23" customFormat="1" x14ac:dyDescent="0.25">
      <c r="A151" s="24" t="s">
        <v>3167</v>
      </c>
      <c r="B151" s="24" t="s">
        <v>2665</v>
      </c>
      <c r="C151" s="25" t="s">
        <v>2666</v>
      </c>
      <c r="D151" s="32">
        <v>170.6</v>
      </c>
      <c r="E151" s="33">
        <v>0</v>
      </c>
      <c r="F151" s="25" t="s">
        <v>2667</v>
      </c>
      <c r="G151" s="24" t="s">
        <v>2668</v>
      </c>
      <c r="H151" s="24" t="s">
        <v>2669</v>
      </c>
      <c r="I151" s="24" t="s">
        <v>2654</v>
      </c>
      <c r="J151" s="24">
        <f>SE(I151="","-",SE(DATA.VALOR(I151)&lt;HOJE(),"VENCIDO",SE(DATA.VALOR(I151)-HOJE()&lt;=30,"CRÍTICO (&lt;=30D)","REGULAR")))</f>
      </c>
      <c r="K151" s="25" t="s">
        <v>2670</v>
      </c>
      <c r="L151" s="25" t="s">
        <v>2671</v>
      </c>
      <c r="M151" s="25" t="s">
        <v>63</v>
      </c>
      <c r="N151" s="25" t="s">
        <v>3168</v>
      </c>
    </row>
    <row r="152" ht="20" customHeight="1" spans="1:14" x14ac:dyDescent="0.25">
      <c r="A152" s="21" t="s">
        <v>3169</v>
      </c>
      <c r="B152" s="21" t="s">
        <v>2631</v>
      </c>
      <c r="C152" s="22" t="s">
        <v>3170</v>
      </c>
      <c r="D152" s="30">
        <v>169</v>
      </c>
      <c r="E152" s="31">
        <v>574.6</v>
      </c>
      <c r="F152" s="22" t="s">
        <v>2734</v>
      </c>
      <c r="G152" s="21" t="s">
        <v>3118</v>
      </c>
      <c r="H152" s="21" t="s">
        <v>2996</v>
      </c>
      <c r="I152" s="21" t="s">
        <v>63</v>
      </c>
      <c r="J152" s="21" t="s">
        <v>20</v>
      </c>
      <c r="K152" s="22" t="s">
        <v>3119</v>
      </c>
      <c r="L152" s="22" t="s">
        <v>2738</v>
      </c>
      <c r="M152" s="22" t="s">
        <v>3120</v>
      </c>
      <c r="N152" s="22" t="s">
        <v>3171</v>
      </c>
    </row>
    <row r="153" ht="20" customHeight="1" spans="1:14" s="23" customFormat="1" x14ac:dyDescent="0.25">
      <c r="A153" s="24" t="s">
        <v>3172</v>
      </c>
      <c r="B153" s="24" t="s">
        <v>2631</v>
      </c>
      <c r="C153" s="25" t="s">
        <v>3173</v>
      </c>
      <c r="D153" s="32">
        <v>52</v>
      </c>
      <c r="E153" s="33">
        <v>163.8</v>
      </c>
      <c r="F153" s="25" t="s">
        <v>2734</v>
      </c>
      <c r="G153" s="24" t="s">
        <v>3118</v>
      </c>
      <c r="H153" s="24" t="s">
        <v>2996</v>
      </c>
      <c r="I153" s="24" t="s">
        <v>63</v>
      </c>
      <c r="J153" s="24" t="s">
        <v>20</v>
      </c>
      <c r="K153" s="25" t="s">
        <v>3119</v>
      </c>
      <c r="L153" s="25" t="s">
        <v>2738</v>
      </c>
      <c r="M153" s="25" t="s">
        <v>3120</v>
      </c>
      <c r="N153" s="25" t="s">
        <v>3171</v>
      </c>
    </row>
    <row r="154" ht="20" customHeight="1" spans="1:14" x14ac:dyDescent="0.25">
      <c r="A154" s="21" t="s">
        <v>3174</v>
      </c>
      <c r="B154" s="21" t="s">
        <v>2631</v>
      </c>
      <c r="C154" s="22" t="s">
        <v>3175</v>
      </c>
      <c r="D154" s="30">
        <v>36</v>
      </c>
      <c r="E154" s="31">
        <v>197.28</v>
      </c>
      <c r="F154" s="22" t="s">
        <v>2734</v>
      </c>
      <c r="G154" s="21" t="s">
        <v>3118</v>
      </c>
      <c r="H154" s="21" t="s">
        <v>2996</v>
      </c>
      <c r="I154" s="21" t="s">
        <v>63</v>
      </c>
      <c r="J154" s="21" t="s">
        <v>20</v>
      </c>
      <c r="K154" s="22" t="s">
        <v>3119</v>
      </c>
      <c r="L154" s="22" t="s">
        <v>2738</v>
      </c>
      <c r="M154" s="22" t="s">
        <v>3120</v>
      </c>
      <c r="N154" s="22" t="s">
        <v>3171</v>
      </c>
    </row>
    <row r="155" ht="20" customHeight="1" spans="1:14" s="23" customFormat="1" x14ac:dyDescent="0.25">
      <c r="A155" s="24" t="s">
        <v>3176</v>
      </c>
      <c r="B155" s="24" t="s">
        <v>2631</v>
      </c>
      <c r="C155" s="25" t="s">
        <v>3177</v>
      </c>
      <c r="D155" s="32">
        <v>161</v>
      </c>
      <c r="E155" s="33">
        <v>635.95</v>
      </c>
      <c r="F155" s="25" t="s">
        <v>2734</v>
      </c>
      <c r="G155" s="24" t="s">
        <v>3118</v>
      </c>
      <c r="H155" s="24" t="s">
        <v>2996</v>
      </c>
      <c r="I155" s="24" t="s">
        <v>63</v>
      </c>
      <c r="J155" s="24" t="s">
        <v>20</v>
      </c>
      <c r="K155" s="25" t="s">
        <v>3119</v>
      </c>
      <c r="L155" s="25" t="s">
        <v>2738</v>
      </c>
      <c r="M155" s="25" t="s">
        <v>3120</v>
      </c>
      <c r="N155" s="25" t="s">
        <v>3178</v>
      </c>
    </row>
    <row r="156" ht="20" customHeight="1" spans="1:14" x14ac:dyDescent="0.25">
      <c r="A156" s="21" t="s">
        <v>3179</v>
      </c>
      <c r="B156" s="21" t="s">
        <v>2665</v>
      </c>
      <c r="C156" s="22" t="s">
        <v>2773</v>
      </c>
      <c r="D156" s="30">
        <v>40</v>
      </c>
      <c r="E156" s="31">
        <v>0</v>
      </c>
      <c r="F156" s="22" t="s">
        <v>2774</v>
      </c>
      <c r="G156" s="21" t="s">
        <v>2775</v>
      </c>
      <c r="H156" s="21" t="s">
        <v>2676</v>
      </c>
      <c r="I156" s="21" t="s">
        <v>2654</v>
      </c>
      <c r="J156" s="21">
        <f>SE(I156="","-",SE(DATA.VALOR(I156)&lt;HOJE(),"VENCIDO",SE(DATA.VALOR(I156)-HOJE()&lt;=30,"CRÍTICO (&lt;=30D)","REGULAR")))</f>
      </c>
      <c r="K156" s="22" t="s">
        <v>2776</v>
      </c>
      <c r="L156" s="22" t="s">
        <v>2777</v>
      </c>
      <c r="M156" s="22" t="s">
        <v>63</v>
      </c>
      <c r="N156" s="22" t="s">
        <v>3180</v>
      </c>
    </row>
    <row r="157" ht="20" customHeight="1" spans="1:14" s="23" customFormat="1" x14ac:dyDescent="0.25">
      <c r="A157" s="24" t="s">
        <v>3181</v>
      </c>
      <c r="B157" s="24" t="s">
        <v>2665</v>
      </c>
      <c r="C157" s="25" t="s">
        <v>2780</v>
      </c>
      <c r="D157" s="32">
        <v>993.2</v>
      </c>
      <c r="E157" s="33">
        <v>0</v>
      </c>
      <c r="F157" s="25" t="s">
        <v>2774</v>
      </c>
      <c r="G157" s="24" t="s">
        <v>2775</v>
      </c>
      <c r="H157" s="24" t="s">
        <v>2676</v>
      </c>
      <c r="I157" s="24" t="s">
        <v>2654</v>
      </c>
      <c r="J157" s="24">
        <f>SE(I157="","-",SE(DATA.VALOR(I157)&lt;HOJE(),"VENCIDO",SE(DATA.VALOR(I157)-HOJE()&lt;=30,"CRÍTICO (&lt;=30D)","REGULAR")))</f>
      </c>
      <c r="K157" s="25" t="s">
        <v>2776</v>
      </c>
      <c r="L157" s="25" t="s">
        <v>2777</v>
      </c>
      <c r="M157" s="25" t="s">
        <v>63</v>
      </c>
      <c r="N157" s="25" t="s">
        <v>3180</v>
      </c>
    </row>
    <row r="158" ht="20" customHeight="1" spans="1:14" x14ac:dyDescent="0.25">
      <c r="A158" s="21" t="s">
        <v>3182</v>
      </c>
      <c r="B158" s="21" t="s">
        <v>2641</v>
      </c>
      <c r="C158" s="22" t="s">
        <v>2666</v>
      </c>
      <c r="D158" s="30">
        <v>75.5</v>
      </c>
      <c r="E158" s="31">
        <v>0</v>
      </c>
      <c r="F158" s="22" t="s">
        <v>2880</v>
      </c>
      <c r="G158" s="21" t="s">
        <v>3183</v>
      </c>
      <c r="H158" s="21" t="s">
        <v>3164</v>
      </c>
      <c r="I158" s="21" t="s">
        <v>63</v>
      </c>
      <c r="J158" s="21" t="s">
        <v>20</v>
      </c>
      <c r="K158" s="22" t="s">
        <v>63</v>
      </c>
      <c r="L158" s="22" t="s">
        <v>63</v>
      </c>
      <c r="M158" s="22" t="s">
        <v>63</v>
      </c>
      <c r="N158" s="22" t="s">
        <v>3184</v>
      </c>
    </row>
    <row r="159" ht="20" customHeight="1" spans="1:14" s="23" customFormat="1" x14ac:dyDescent="0.25">
      <c r="A159" s="24" t="s">
        <v>3185</v>
      </c>
      <c r="B159" s="24" t="s">
        <v>2641</v>
      </c>
      <c r="C159" s="25" t="s">
        <v>2741</v>
      </c>
      <c r="D159" s="32">
        <v>202.6</v>
      </c>
      <c r="E159" s="33">
        <v>0</v>
      </c>
      <c r="F159" s="25" t="s">
        <v>2880</v>
      </c>
      <c r="G159" s="24" t="s">
        <v>3183</v>
      </c>
      <c r="H159" s="24" t="s">
        <v>3164</v>
      </c>
      <c r="I159" s="24" t="s">
        <v>63</v>
      </c>
      <c r="J159" s="24" t="s">
        <v>20</v>
      </c>
      <c r="K159" s="25" t="s">
        <v>63</v>
      </c>
      <c r="L159" s="25" t="s">
        <v>63</v>
      </c>
      <c r="M159" s="25" t="s">
        <v>63</v>
      </c>
      <c r="N159" s="25" t="s">
        <v>3184</v>
      </c>
    </row>
    <row r="160" ht="20" customHeight="1" spans="1:14" x14ac:dyDescent="0.25">
      <c r="A160" s="21" t="s">
        <v>3186</v>
      </c>
      <c r="B160" s="21" t="s">
        <v>2641</v>
      </c>
      <c r="C160" s="22" t="s">
        <v>2675</v>
      </c>
      <c r="D160" s="30">
        <v>158</v>
      </c>
      <c r="E160" s="31">
        <v>0</v>
      </c>
      <c r="F160" s="22" t="s">
        <v>2880</v>
      </c>
      <c r="G160" s="21" t="s">
        <v>3183</v>
      </c>
      <c r="H160" s="21" t="s">
        <v>3164</v>
      </c>
      <c r="I160" s="21" t="s">
        <v>63</v>
      </c>
      <c r="J160" s="21" t="s">
        <v>20</v>
      </c>
      <c r="K160" s="22" t="s">
        <v>63</v>
      </c>
      <c r="L160" s="22" t="s">
        <v>63</v>
      </c>
      <c r="M160" s="22" t="s">
        <v>63</v>
      </c>
      <c r="N160" s="22" t="s">
        <v>3187</v>
      </c>
    </row>
    <row r="161" ht="20" customHeight="1" spans="1:14" s="23" customFormat="1" x14ac:dyDescent="0.25">
      <c r="A161" s="24" t="s">
        <v>3188</v>
      </c>
      <c r="B161" s="24" t="s">
        <v>2641</v>
      </c>
      <c r="C161" s="25" t="s">
        <v>2746</v>
      </c>
      <c r="D161" s="32">
        <v>217.6</v>
      </c>
      <c r="E161" s="33">
        <v>0</v>
      </c>
      <c r="F161" s="25" t="s">
        <v>2880</v>
      </c>
      <c r="G161" s="24" t="s">
        <v>3183</v>
      </c>
      <c r="H161" s="24" t="s">
        <v>3164</v>
      </c>
      <c r="I161" s="24" t="s">
        <v>63</v>
      </c>
      <c r="J161" s="24" t="s">
        <v>20</v>
      </c>
      <c r="K161" s="25" t="s">
        <v>63</v>
      </c>
      <c r="L161" s="25" t="s">
        <v>63</v>
      </c>
      <c r="M161" s="25" t="s">
        <v>63</v>
      </c>
      <c r="N161" s="25" t="s">
        <v>3187</v>
      </c>
    </row>
    <row r="162" ht="20" customHeight="1" spans="1:14" x14ac:dyDescent="0.25">
      <c r="A162" s="21" t="s">
        <v>3189</v>
      </c>
      <c r="B162" s="21" t="s">
        <v>2641</v>
      </c>
      <c r="C162" s="22" t="s">
        <v>2716</v>
      </c>
      <c r="D162" s="30">
        <v>220.9</v>
      </c>
      <c r="E162" s="31">
        <v>0</v>
      </c>
      <c r="F162" s="22" t="s">
        <v>2880</v>
      </c>
      <c r="G162" s="21" t="s">
        <v>3183</v>
      </c>
      <c r="H162" s="21" t="s">
        <v>3164</v>
      </c>
      <c r="I162" s="21" t="s">
        <v>63</v>
      </c>
      <c r="J162" s="21" t="s">
        <v>20</v>
      </c>
      <c r="K162" s="22" t="s">
        <v>63</v>
      </c>
      <c r="L162" s="22" t="s">
        <v>63</v>
      </c>
      <c r="M162" s="22" t="s">
        <v>63</v>
      </c>
      <c r="N162" s="22" t="s">
        <v>3190</v>
      </c>
    </row>
    <row r="163" ht="20" customHeight="1" spans="1:14" s="23" customFormat="1" x14ac:dyDescent="0.25">
      <c r="A163" s="24" t="s">
        <v>3191</v>
      </c>
      <c r="B163" s="24" t="s">
        <v>2641</v>
      </c>
      <c r="C163" s="25" t="s">
        <v>2696</v>
      </c>
      <c r="D163" s="32">
        <v>132.7</v>
      </c>
      <c r="E163" s="33">
        <v>0</v>
      </c>
      <c r="F163" s="25" t="s">
        <v>2880</v>
      </c>
      <c r="G163" s="24" t="s">
        <v>3183</v>
      </c>
      <c r="H163" s="24" t="s">
        <v>3164</v>
      </c>
      <c r="I163" s="24" t="s">
        <v>63</v>
      </c>
      <c r="J163" s="24" t="s">
        <v>20</v>
      </c>
      <c r="K163" s="25" t="s">
        <v>63</v>
      </c>
      <c r="L163" s="25" t="s">
        <v>63</v>
      </c>
      <c r="M163" s="25" t="s">
        <v>63</v>
      </c>
      <c r="N163" s="25" t="s">
        <v>3190</v>
      </c>
    </row>
    <row r="164" ht="20" customHeight="1" spans="1:14" x14ac:dyDescent="0.25">
      <c r="A164" s="21" t="s">
        <v>3192</v>
      </c>
      <c r="B164" s="21" t="s">
        <v>2654</v>
      </c>
      <c r="C164" s="22" t="s">
        <v>2578</v>
      </c>
      <c r="D164" s="30">
        <v>800</v>
      </c>
      <c r="E164" s="31">
        <v>0</v>
      </c>
      <c r="F164" s="22" t="s">
        <v>2652</v>
      </c>
      <c r="G164" s="21" t="s">
        <v>3193</v>
      </c>
      <c r="H164" s="21" t="s">
        <v>3194</v>
      </c>
      <c r="I164" s="21" t="s">
        <v>2654</v>
      </c>
      <c r="J164" s="21">
        <f>SE(I164="","-",SE(DATA.VALOR(I164)&lt;HOJE(),"VENCIDO",SE(DATA.VALOR(I164)-HOJE()&lt;=30,"CRÍTICO (&lt;=30D)","REGULAR")))</f>
      </c>
      <c r="K164" s="22" t="s">
        <v>63</v>
      </c>
      <c r="L164" s="22" t="s">
        <v>63</v>
      </c>
      <c r="M164" s="22" t="s">
        <v>3195</v>
      </c>
      <c r="N164" s="22" t="s">
        <v>3196</v>
      </c>
    </row>
    <row r="165" ht="20" customHeight="1" spans="1:14" s="23" customFormat="1" x14ac:dyDescent="0.25">
      <c r="A165" s="24" t="s">
        <v>3197</v>
      </c>
      <c r="B165" s="24" t="s">
        <v>2937</v>
      </c>
      <c r="C165" s="25" t="s">
        <v>2578</v>
      </c>
      <c r="D165" s="32">
        <v>800</v>
      </c>
      <c r="E165" s="33">
        <v>0</v>
      </c>
      <c r="F165" s="25" t="s">
        <v>2652</v>
      </c>
      <c r="G165" s="24" t="s">
        <v>3198</v>
      </c>
      <c r="H165" s="24" t="s">
        <v>3164</v>
      </c>
      <c r="I165" s="24" t="s">
        <v>63</v>
      </c>
      <c r="J165" s="24" t="s">
        <v>20</v>
      </c>
      <c r="K165" s="25" t="s">
        <v>63</v>
      </c>
      <c r="L165" s="25" t="s">
        <v>63</v>
      </c>
      <c r="M165" s="25" t="s">
        <v>3199</v>
      </c>
      <c r="N165" s="25" t="s">
        <v>3200</v>
      </c>
    </row>
    <row r="166" ht="20" customHeight="1" spans="1:14" x14ac:dyDescent="0.25">
      <c r="A166" s="21" t="s">
        <v>3201</v>
      </c>
      <c r="B166" s="21" t="s">
        <v>2962</v>
      </c>
      <c r="C166" s="22" t="s">
        <v>2666</v>
      </c>
      <c r="D166" s="30">
        <v>70</v>
      </c>
      <c r="E166" s="31">
        <v>0</v>
      </c>
      <c r="F166" s="22" t="s">
        <v>2757</v>
      </c>
      <c r="G166" s="21" t="s">
        <v>3202</v>
      </c>
      <c r="H166" s="21" t="s">
        <v>3203</v>
      </c>
      <c r="I166" s="21" t="s">
        <v>65</v>
      </c>
      <c r="J166" s="21">
        <f>SE(I166="","-",SE(DATA.VALOR(I166)&lt;HOJE(),"VENCIDO",SE(DATA.VALOR(I166)-HOJE()&lt;=30,"CRÍTICO (&lt;=30D)","REGULAR")))</f>
      </c>
      <c r="K166" s="22" t="s">
        <v>63</v>
      </c>
      <c r="L166" s="22" t="s">
        <v>63</v>
      </c>
      <c r="M166" s="22" t="s">
        <v>3204</v>
      </c>
      <c r="N166" s="22" t="s">
        <v>3205</v>
      </c>
    </row>
    <row r="167" ht="20" customHeight="1" spans="1:14" s="23" customFormat="1" x14ac:dyDescent="0.25">
      <c r="A167" s="24" t="s">
        <v>3206</v>
      </c>
      <c r="B167" s="24" t="s">
        <v>2962</v>
      </c>
      <c r="C167" s="25" t="s">
        <v>2679</v>
      </c>
      <c r="D167" s="32">
        <v>39</v>
      </c>
      <c r="E167" s="33">
        <v>0</v>
      </c>
      <c r="F167" s="25" t="s">
        <v>2757</v>
      </c>
      <c r="G167" s="24" t="s">
        <v>3202</v>
      </c>
      <c r="H167" s="24" t="s">
        <v>3203</v>
      </c>
      <c r="I167" s="24" t="s">
        <v>65</v>
      </c>
      <c r="J167" s="24">
        <f>SE(I167="","-",SE(DATA.VALOR(I167)&lt;HOJE(),"VENCIDO",SE(DATA.VALOR(I167)-HOJE()&lt;=30,"CRÍTICO (&lt;=30D)","REGULAR")))</f>
      </c>
      <c r="K167" s="25" t="s">
        <v>63</v>
      </c>
      <c r="L167" s="25" t="s">
        <v>63</v>
      </c>
      <c r="M167" s="25" t="s">
        <v>3204</v>
      </c>
      <c r="N167" s="25" t="s">
        <v>3205</v>
      </c>
    </row>
    <row r="168" ht="20" customHeight="1" spans="1:14" x14ac:dyDescent="0.25">
      <c r="A168" s="21" t="s">
        <v>3207</v>
      </c>
      <c r="B168" s="21" t="s">
        <v>2962</v>
      </c>
      <c r="C168" s="22" t="s">
        <v>2696</v>
      </c>
      <c r="D168" s="30">
        <v>107</v>
      </c>
      <c r="E168" s="31">
        <v>0</v>
      </c>
      <c r="F168" s="22" t="s">
        <v>2757</v>
      </c>
      <c r="G168" s="21" t="s">
        <v>3202</v>
      </c>
      <c r="H168" s="21" t="s">
        <v>3203</v>
      </c>
      <c r="I168" s="21" t="s">
        <v>65</v>
      </c>
      <c r="J168" s="21">
        <f>SE(I168="","-",SE(DATA.VALOR(I168)&lt;HOJE(),"VENCIDO",SE(DATA.VALOR(I168)-HOJE()&lt;=30,"CRÍTICO (&lt;=30D)","REGULAR")))</f>
      </c>
      <c r="K168" s="22" t="s">
        <v>63</v>
      </c>
      <c r="L168" s="22" t="s">
        <v>63</v>
      </c>
      <c r="M168" s="22" t="s">
        <v>3204</v>
      </c>
      <c r="N168" s="22" t="s">
        <v>3208</v>
      </c>
    </row>
    <row r="169" ht="20" customHeight="1" spans="1:14" s="23" customFormat="1" x14ac:dyDescent="0.25">
      <c r="A169" s="24" t="s">
        <v>3209</v>
      </c>
      <c r="B169" s="24" t="s">
        <v>2962</v>
      </c>
      <c r="C169" s="25" t="s">
        <v>2578</v>
      </c>
      <c r="D169" s="32">
        <v>600</v>
      </c>
      <c r="E169" s="33">
        <v>0</v>
      </c>
      <c r="F169" s="25" t="s">
        <v>2652</v>
      </c>
      <c r="G169" s="24" t="s">
        <v>3210</v>
      </c>
      <c r="H169" s="24" t="s">
        <v>3194</v>
      </c>
      <c r="I169" s="24" t="s">
        <v>63</v>
      </c>
      <c r="J169" s="24" t="s">
        <v>20</v>
      </c>
      <c r="K169" s="25" t="s">
        <v>63</v>
      </c>
      <c r="L169" s="25" t="s">
        <v>63</v>
      </c>
      <c r="M169" s="25" t="s">
        <v>3211</v>
      </c>
      <c r="N169" s="25" t="s">
        <v>3212</v>
      </c>
    </row>
    <row r="170" ht="20" customHeight="1" spans="1:14" x14ac:dyDescent="0.25">
      <c r="A170" s="21" t="s">
        <v>3213</v>
      </c>
      <c r="B170" s="21" t="s">
        <v>3152</v>
      </c>
      <c r="C170" s="22" t="s">
        <v>3214</v>
      </c>
      <c r="D170" s="30">
        <v>208.5</v>
      </c>
      <c r="E170" s="31">
        <v>665.11</v>
      </c>
      <c r="F170" s="22" t="s">
        <v>2734</v>
      </c>
      <c r="G170" s="21" t="s">
        <v>3215</v>
      </c>
      <c r="H170" s="21" t="s">
        <v>2996</v>
      </c>
      <c r="I170" s="21" t="s">
        <v>63</v>
      </c>
      <c r="J170" s="21" t="s">
        <v>20</v>
      </c>
      <c r="K170" s="22" t="s">
        <v>3216</v>
      </c>
      <c r="L170" s="22" t="s">
        <v>2738</v>
      </c>
      <c r="M170" s="22" t="s">
        <v>3217</v>
      </c>
      <c r="N170" s="22" t="s">
        <v>3218</v>
      </c>
    </row>
    <row r="171" ht="20" customHeight="1" spans="1:14" s="23" customFormat="1" x14ac:dyDescent="0.25">
      <c r="A171" s="24" t="s">
        <v>3219</v>
      </c>
      <c r="B171" s="24" t="s">
        <v>2569</v>
      </c>
      <c r="C171" s="25" t="s">
        <v>3087</v>
      </c>
      <c r="D171" s="32">
        <v>175</v>
      </c>
      <c r="E171" s="33">
        <v>656.25</v>
      </c>
      <c r="F171" s="25" t="s">
        <v>3220</v>
      </c>
      <c r="G171" s="24" t="s">
        <v>2024</v>
      </c>
      <c r="H171" s="24" t="s">
        <v>2996</v>
      </c>
      <c r="I171" s="24" t="s">
        <v>63</v>
      </c>
      <c r="J171" s="24" t="s">
        <v>20</v>
      </c>
      <c r="K171" s="25" t="s">
        <v>3221</v>
      </c>
      <c r="L171" s="25" t="s">
        <v>3222</v>
      </c>
      <c r="M171" s="25" t="s">
        <v>3223</v>
      </c>
      <c r="N171" s="25" t="s">
        <v>3224</v>
      </c>
    </row>
    <row r="172" ht="20" customHeight="1" spans="1:14" x14ac:dyDescent="0.25">
      <c r="A172" s="21" t="s">
        <v>3225</v>
      </c>
      <c r="B172" s="21" t="s">
        <v>2962</v>
      </c>
      <c r="C172" s="22" t="s">
        <v>2578</v>
      </c>
      <c r="D172" s="30">
        <v>800</v>
      </c>
      <c r="E172" s="31">
        <v>0</v>
      </c>
      <c r="F172" s="22" t="s">
        <v>2652</v>
      </c>
      <c r="G172" s="21" t="s">
        <v>3226</v>
      </c>
      <c r="H172" s="21" t="s">
        <v>3203</v>
      </c>
      <c r="I172" s="21" t="s">
        <v>92</v>
      </c>
      <c r="J172" s="21">
        <f>SE(I172="","-",SE(DATA.VALOR(I172)&lt;HOJE(),"VENCIDO",SE(DATA.VALOR(I172)-HOJE()&lt;=30,"CRÍTICO (&lt;=30D)","REGULAR")))</f>
      </c>
      <c r="K172" s="22" t="s">
        <v>63</v>
      </c>
      <c r="L172" s="22" t="s">
        <v>63</v>
      </c>
      <c r="M172" s="22" t="s">
        <v>3227</v>
      </c>
      <c r="N172" s="22" t="s">
        <v>3228</v>
      </c>
    </row>
    <row r="173" ht="20" customHeight="1" spans="1:14" s="23" customFormat="1" x14ac:dyDescent="0.25">
      <c r="A173" s="24" t="s">
        <v>3229</v>
      </c>
      <c r="B173" s="24" t="s">
        <v>2569</v>
      </c>
      <c r="C173" s="25" t="s">
        <v>2793</v>
      </c>
      <c r="D173" s="32">
        <v>175</v>
      </c>
      <c r="E173" s="33">
        <v>656.25</v>
      </c>
      <c r="F173" s="25" t="s">
        <v>3230</v>
      </c>
      <c r="G173" s="24" t="s">
        <v>3231</v>
      </c>
      <c r="H173" s="24" t="s">
        <v>3232</v>
      </c>
      <c r="I173" s="24" t="s">
        <v>3163</v>
      </c>
      <c r="J173" s="24">
        <f>SE(I173="","-",SE(DATA.VALOR(I173)&lt;HOJE(),"VENCIDO",SE(DATA.VALOR(I173)-HOJE()&lt;=30,"CRÍTICO (&lt;=30D)","REGULAR")))</f>
      </c>
      <c r="K173" s="25" t="s">
        <v>3233</v>
      </c>
      <c r="L173" s="25" t="s">
        <v>3234</v>
      </c>
      <c r="M173" s="25" t="s">
        <v>3235</v>
      </c>
      <c r="N173" s="25" t="s">
        <v>3236</v>
      </c>
    </row>
    <row r="174" ht="20" customHeight="1" spans="1:14" x14ac:dyDescent="0.25">
      <c r="A174" s="21" t="s">
        <v>3237</v>
      </c>
      <c r="B174" s="21" t="s">
        <v>2569</v>
      </c>
      <c r="C174" s="22" t="s">
        <v>2712</v>
      </c>
      <c r="D174" s="30">
        <v>40</v>
      </c>
      <c r="E174" s="31">
        <v>216</v>
      </c>
      <c r="F174" s="22" t="s">
        <v>3230</v>
      </c>
      <c r="G174" s="21" t="s">
        <v>3231</v>
      </c>
      <c r="H174" s="21" t="s">
        <v>3232</v>
      </c>
      <c r="I174" s="21" t="s">
        <v>3163</v>
      </c>
      <c r="J174" s="21">
        <f>SE(I174="","-",SE(DATA.VALOR(I174)&lt;HOJE(),"VENCIDO",SE(DATA.VALOR(I174)-HOJE()&lt;=30,"CRÍTICO (&lt;=30D)","REGULAR")))</f>
      </c>
      <c r="K174" s="22" t="s">
        <v>3233</v>
      </c>
      <c r="L174" s="22" t="s">
        <v>3234</v>
      </c>
      <c r="M174" s="22" t="s">
        <v>3235</v>
      </c>
      <c r="N174" s="22" t="s">
        <v>3236</v>
      </c>
    </row>
    <row r="175" ht="20" customHeight="1" spans="1:14" s="23" customFormat="1" x14ac:dyDescent="0.25">
      <c r="A175" s="24" t="s">
        <v>3238</v>
      </c>
      <c r="B175" s="24" t="s">
        <v>3163</v>
      </c>
      <c r="C175" s="25" t="s">
        <v>2959</v>
      </c>
      <c r="D175" s="32">
        <v>190</v>
      </c>
      <c r="E175" s="33">
        <v>1406</v>
      </c>
      <c r="F175" s="25" t="s">
        <v>2616</v>
      </c>
      <c r="G175" s="24" t="s">
        <v>3239</v>
      </c>
      <c r="H175" s="24" t="s">
        <v>3240</v>
      </c>
      <c r="I175" s="24" t="s">
        <v>180</v>
      </c>
      <c r="J175" s="24">
        <f>SE(I175="","-",SE(DATA.VALOR(I175)&lt;HOJE(),"VENCIDO",SE(DATA.VALOR(I175)-HOJE()&lt;=30,"CRÍTICO (&lt;=30D)","REGULAR")))</f>
      </c>
      <c r="K175" s="25" t="s">
        <v>3241</v>
      </c>
      <c r="L175" s="25" t="s">
        <v>2964</v>
      </c>
      <c r="M175" s="25" t="s">
        <v>3242</v>
      </c>
      <c r="N175" s="25" t="s">
        <v>3243</v>
      </c>
    </row>
    <row r="176" ht="20" customHeight="1" spans="1:14" x14ac:dyDescent="0.25">
      <c r="A176" s="21" t="s">
        <v>3244</v>
      </c>
      <c r="B176" s="21" t="s">
        <v>3163</v>
      </c>
      <c r="C176" s="22" t="s">
        <v>3245</v>
      </c>
      <c r="D176" s="30">
        <v>19</v>
      </c>
      <c r="E176" s="31">
        <v>475</v>
      </c>
      <c r="F176" s="22" t="s">
        <v>2616</v>
      </c>
      <c r="G176" s="21" t="s">
        <v>3239</v>
      </c>
      <c r="H176" s="21" t="s">
        <v>3240</v>
      </c>
      <c r="I176" s="21" t="s">
        <v>180</v>
      </c>
      <c r="J176" s="21">
        <f>SE(I176="","-",SE(DATA.VALOR(I176)&lt;HOJE(),"VENCIDO",SE(DATA.VALOR(I176)-HOJE()&lt;=30,"CRÍTICO (&lt;=30D)","REGULAR")))</f>
      </c>
      <c r="K176" s="22" t="s">
        <v>3241</v>
      </c>
      <c r="L176" s="22" t="s">
        <v>2964</v>
      </c>
      <c r="M176" s="22" t="s">
        <v>3242</v>
      </c>
      <c r="N176" s="22" t="s">
        <v>3243</v>
      </c>
    </row>
    <row r="177" ht="20" customHeight="1" spans="1:14" s="23" customFormat="1" x14ac:dyDescent="0.25">
      <c r="A177" s="24" t="s">
        <v>3246</v>
      </c>
      <c r="B177" s="24" t="s">
        <v>3123</v>
      </c>
      <c r="C177" s="25" t="s">
        <v>2606</v>
      </c>
      <c r="D177" s="32">
        <v>961</v>
      </c>
      <c r="E177" s="33">
        <v>25514.55</v>
      </c>
      <c r="F177" s="25" t="s">
        <v>2607</v>
      </c>
      <c r="G177" s="24" t="s">
        <v>3247</v>
      </c>
      <c r="H177" s="24" t="s">
        <v>3248</v>
      </c>
      <c r="I177" s="24" t="s">
        <v>1121</v>
      </c>
      <c r="J177" s="24">
        <f>SE(I177="","-",SE(DATA.VALOR(I177)&lt;HOJE(),"VENCIDO",SE(DATA.VALOR(I177)-HOJE()&lt;=30,"CRÍTICO (&lt;=30D)","REGULAR")))</f>
      </c>
      <c r="K177" s="25" t="s">
        <v>3249</v>
      </c>
      <c r="L177" s="25" t="s">
        <v>2611</v>
      </c>
      <c r="M177" s="25" t="s">
        <v>3250</v>
      </c>
      <c r="N177" s="25" t="s">
        <v>3251</v>
      </c>
    </row>
    <row r="178" ht="20" customHeight="1" spans="1:14" x14ac:dyDescent="0.25">
      <c r="A178" s="21" t="s">
        <v>3252</v>
      </c>
      <c r="B178" s="21" t="s">
        <v>3123</v>
      </c>
      <c r="C178" s="22" t="s">
        <v>2624</v>
      </c>
      <c r="D178" s="30">
        <v>784</v>
      </c>
      <c r="E178" s="31">
        <v>17287.2</v>
      </c>
      <c r="F178" s="22" t="s">
        <v>2607</v>
      </c>
      <c r="G178" s="21" t="s">
        <v>3247</v>
      </c>
      <c r="H178" s="21" t="s">
        <v>3248</v>
      </c>
      <c r="I178" s="21" t="s">
        <v>1121</v>
      </c>
      <c r="J178" s="21">
        <f>SE(I178="","-",SE(DATA.VALOR(I178)&lt;HOJE(),"VENCIDO",SE(DATA.VALOR(I178)-HOJE()&lt;=30,"CRÍTICO (&lt;=30D)","REGULAR")))</f>
      </c>
      <c r="K178" s="22" t="s">
        <v>3249</v>
      </c>
      <c r="L178" s="22" t="s">
        <v>2611</v>
      </c>
      <c r="M178" s="22" t="s">
        <v>3250</v>
      </c>
      <c r="N178" s="22" t="s">
        <v>3251</v>
      </c>
    </row>
    <row r="179" ht="20" customHeight="1" spans="1:14" s="23" customFormat="1" x14ac:dyDescent="0.25">
      <c r="A179" s="24" t="s">
        <v>3253</v>
      </c>
      <c r="B179" s="24" t="s">
        <v>2896</v>
      </c>
      <c r="C179" s="25" t="s">
        <v>3254</v>
      </c>
      <c r="D179" s="32">
        <v>2500</v>
      </c>
      <c r="E179" s="33">
        <v>7950</v>
      </c>
      <c r="F179" s="25" t="s">
        <v>2552</v>
      </c>
      <c r="G179" s="24" t="s">
        <v>3255</v>
      </c>
      <c r="H179" s="24" t="s">
        <v>3256</v>
      </c>
      <c r="I179" s="24" t="s">
        <v>1295</v>
      </c>
      <c r="J179" s="24">
        <f>SE(I179="","-",SE(DATA.VALOR(I179)&lt;HOJE(),"VENCIDO",SE(DATA.VALOR(I179)-HOJE()&lt;=30,"CRÍTICO (&lt;=30D)","REGULAR")))</f>
      </c>
      <c r="K179" s="25" t="s">
        <v>3257</v>
      </c>
      <c r="L179" s="25" t="s">
        <v>3258</v>
      </c>
      <c r="M179" s="25" t="s">
        <v>3259</v>
      </c>
      <c r="N179" s="25" t="s">
        <v>3260</v>
      </c>
    </row>
    <row r="180" ht="20" customHeight="1" spans="1:14" x14ac:dyDescent="0.25">
      <c r="A180" s="21" t="s">
        <v>3261</v>
      </c>
      <c r="B180" s="21" t="s">
        <v>2896</v>
      </c>
      <c r="C180" s="22" t="s">
        <v>2551</v>
      </c>
      <c r="D180" s="30">
        <v>1000</v>
      </c>
      <c r="E180" s="31">
        <v>4200</v>
      </c>
      <c r="F180" s="22" t="s">
        <v>2552</v>
      </c>
      <c r="G180" s="21" t="s">
        <v>3255</v>
      </c>
      <c r="H180" s="21" t="s">
        <v>3262</v>
      </c>
      <c r="I180" s="21" t="s">
        <v>1974</v>
      </c>
      <c r="J180" s="21">
        <f>SE(I180="","-",SE(DATA.VALOR(I180)&lt;HOJE(),"VENCIDO",SE(DATA.VALOR(I180)-HOJE()&lt;=30,"CRÍTICO (&lt;=30D)","REGULAR")))</f>
      </c>
      <c r="K180" s="22" t="s">
        <v>3257</v>
      </c>
      <c r="L180" s="22" t="s">
        <v>3258</v>
      </c>
      <c r="M180" s="22" t="s">
        <v>3259</v>
      </c>
      <c r="N180" s="22" t="s">
        <v>3260</v>
      </c>
    </row>
    <row r="181" ht="20" customHeight="1" spans="1:14" s="23" customFormat="1" x14ac:dyDescent="0.25">
      <c r="A181" s="24" t="s">
        <v>3263</v>
      </c>
      <c r="B181" s="24" t="s">
        <v>2896</v>
      </c>
      <c r="C181" s="25" t="s">
        <v>3264</v>
      </c>
      <c r="D181" s="32">
        <v>200</v>
      </c>
      <c r="E181" s="33">
        <v>16750</v>
      </c>
      <c r="F181" s="25" t="s">
        <v>2552</v>
      </c>
      <c r="G181" s="24" t="s">
        <v>3255</v>
      </c>
      <c r="H181" s="24" t="s">
        <v>3265</v>
      </c>
      <c r="I181" s="24" t="s">
        <v>1295</v>
      </c>
      <c r="J181" s="24">
        <f>SE(I181="","-",SE(DATA.VALOR(I181)&lt;HOJE(),"VENCIDO",SE(DATA.VALOR(I181)-HOJE()&lt;=30,"CRÍTICO (&lt;=30D)","REGULAR")))</f>
      </c>
      <c r="K181" s="25" t="s">
        <v>3257</v>
      </c>
      <c r="L181" s="25" t="s">
        <v>3258</v>
      </c>
      <c r="M181" s="25" t="s">
        <v>3259</v>
      </c>
      <c r="N181" s="25" t="s">
        <v>3260</v>
      </c>
    </row>
    <row r="182" ht="20" customHeight="1" spans="1:14" x14ac:dyDescent="0.25">
      <c r="A182" s="21" t="s">
        <v>3266</v>
      </c>
      <c r="B182" s="21" t="s">
        <v>2948</v>
      </c>
      <c r="C182" s="22" t="s">
        <v>2959</v>
      </c>
      <c r="D182" s="30">
        <v>190</v>
      </c>
      <c r="E182" s="31">
        <v>0</v>
      </c>
      <c r="F182" s="22" t="s">
        <v>2616</v>
      </c>
      <c r="G182" s="21" t="s">
        <v>2617</v>
      </c>
      <c r="H182" s="21" t="s">
        <v>3194</v>
      </c>
      <c r="I182" s="21" t="s">
        <v>63</v>
      </c>
      <c r="J182" s="21" t="s">
        <v>20</v>
      </c>
      <c r="K182" s="22" t="s">
        <v>63</v>
      </c>
      <c r="L182" s="22" t="s">
        <v>63</v>
      </c>
      <c r="M182" s="22" t="s">
        <v>3267</v>
      </c>
      <c r="N182" s="22" t="s">
        <v>3268</v>
      </c>
    </row>
    <row r="183" ht="20" customHeight="1" spans="1:14" s="23" customFormat="1" x14ac:dyDescent="0.25">
      <c r="A183" s="24" t="s">
        <v>3269</v>
      </c>
      <c r="B183" s="24" t="s">
        <v>2948</v>
      </c>
      <c r="C183" s="25" t="s">
        <v>3245</v>
      </c>
      <c r="D183" s="32">
        <v>10</v>
      </c>
      <c r="E183" s="33">
        <v>0</v>
      </c>
      <c r="F183" s="25" t="s">
        <v>2616</v>
      </c>
      <c r="G183" s="24" t="s">
        <v>2617</v>
      </c>
      <c r="H183" s="24" t="s">
        <v>3194</v>
      </c>
      <c r="I183" s="24" t="s">
        <v>63</v>
      </c>
      <c r="J183" s="24" t="s">
        <v>20</v>
      </c>
      <c r="K183" s="25" t="s">
        <v>63</v>
      </c>
      <c r="L183" s="25" t="s">
        <v>63</v>
      </c>
      <c r="M183" s="25" t="s">
        <v>3267</v>
      </c>
      <c r="N183" s="25" t="s">
        <v>3268</v>
      </c>
    </row>
    <row r="184" ht="20" customHeight="1" spans="1:14" x14ac:dyDescent="0.25">
      <c r="A184" s="21" t="s">
        <v>3270</v>
      </c>
      <c r="B184" s="21" t="s">
        <v>2569</v>
      </c>
      <c r="C184" s="22" t="s">
        <v>3271</v>
      </c>
      <c r="D184" s="30">
        <v>300</v>
      </c>
      <c r="E184" s="31">
        <v>486</v>
      </c>
      <c r="F184" s="22" t="s">
        <v>2616</v>
      </c>
      <c r="G184" s="21" t="s">
        <v>3272</v>
      </c>
      <c r="H184" s="21" t="s">
        <v>2996</v>
      </c>
      <c r="I184" s="21" t="s">
        <v>63</v>
      </c>
      <c r="J184" s="21" t="s">
        <v>20</v>
      </c>
      <c r="K184" s="22" t="s">
        <v>3273</v>
      </c>
      <c r="L184" s="22" t="s">
        <v>2971</v>
      </c>
      <c r="M184" s="22" t="s">
        <v>3274</v>
      </c>
      <c r="N184" s="22" t="s">
        <v>3275</v>
      </c>
    </row>
    <row r="185" ht="20" customHeight="1" spans="1:14" s="23" customFormat="1" x14ac:dyDescent="0.25">
      <c r="A185" s="24" t="s">
        <v>3276</v>
      </c>
      <c r="B185" s="24" t="s">
        <v>49</v>
      </c>
      <c r="C185" s="25" t="s">
        <v>2596</v>
      </c>
      <c r="D185" s="32">
        <v>1206</v>
      </c>
      <c r="E185" s="33">
        <v>6488.28</v>
      </c>
      <c r="F185" s="25" t="s">
        <v>2587</v>
      </c>
      <c r="G185" s="24" t="s">
        <v>3277</v>
      </c>
      <c r="H185" s="24" t="s">
        <v>3278</v>
      </c>
      <c r="I185" s="24" t="s">
        <v>3279</v>
      </c>
      <c r="J185" s="24">
        <f>SE(I185="","-",SE(DATA.VALOR(I185)&lt;HOJE(),"VENCIDO",SE(DATA.VALOR(I185)-HOJE()&lt;=30,"CRÍTICO (&lt;=30D)","REGULAR")))</f>
      </c>
      <c r="K185" s="25" t="s">
        <v>3280</v>
      </c>
      <c r="L185" s="25" t="s">
        <v>3281</v>
      </c>
      <c r="M185" s="25" t="s">
        <v>3282</v>
      </c>
      <c r="N185" s="25" t="s">
        <v>3283</v>
      </c>
    </row>
    <row r="186" ht="20" customHeight="1" spans="1:14" x14ac:dyDescent="0.25">
      <c r="A186" s="21" t="s">
        <v>3284</v>
      </c>
      <c r="B186" s="21" t="s">
        <v>49</v>
      </c>
      <c r="C186" s="22" t="s">
        <v>2586</v>
      </c>
      <c r="D186" s="30">
        <v>2000</v>
      </c>
      <c r="E186" s="31">
        <v>13200</v>
      </c>
      <c r="F186" s="22" t="s">
        <v>2587</v>
      </c>
      <c r="G186" s="21" t="s">
        <v>3277</v>
      </c>
      <c r="H186" s="21" t="s">
        <v>3285</v>
      </c>
      <c r="I186" s="21" t="s">
        <v>3286</v>
      </c>
      <c r="J186" s="21">
        <f>SE(I186="","-",SE(DATA.VALOR(I186)&lt;HOJE(),"VENCIDO",SE(DATA.VALOR(I186)-HOJE()&lt;=30,"CRÍTICO (&lt;=30D)","REGULAR")))</f>
      </c>
      <c r="K186" s="22" t="s">
        <v>3280</v>
      </c>
      <c r="L186" s="22" t="s">
        <v>3281</v>
      </c>
      <c r="M186" s="22" t="s">
        <v>3282</v>
      </c>
      <c r="N186" s="22" t="s">
        <v>3283</v>
      </c>
    </row>
    <row r="187" ht="20" customHeight="1" spans="1:14" s="23" customFormat="1" x14ac:dyDescent="0.25">
      <c r="A187" s="24" t="s">
        <v>3287</v>
      </c>
      <c r="B187" s="24" t="s">
        <v>3123</v>
      </c>
      <c r="C187" s="25" t="s">
        <v>2837</v>
      </c>
      <c r="D187" s="32">
        <v>10000</v>
      </c>
      <c r="E187" s="33">
        <v>3000</v>
      </c>
      <c r="F187" s="25" t="s">
        <v>2838</v>
      </c>
      <c r="G187" s="24" t="s">
        <v>3288</v>
      </c>
      <c r="H187" s="24" t="s">
        <v>3289</v>
      </c>
      <c r="I187" s="24" t="s">
        <v>3290</v>
      </c>
      <c r="J187" s="24">
        <f>SE(I187="","-",SE(DATA.VALOR(I187)&lt;HOJE(),"VENCIDO",SE(DATA.VALOR(I187)-HOJE()&lt;=30,"CRÍTICO (&lt;=30D)","REGULAR")))</f>
      </c>
      <c r="K187" s="25" t="s">
        <v>3291</v>
      </c>
      <c r="L187" s="25" t="s">
        <v>2843</v>
      </c>
      <c r="M187" s="25" t="s">
        <v>3292</v>
      </c>
      <c r="N187" s="25" t="s">
        <v>3293</v>
      </c>
    </row>
    <row r="188" ht="20" customHeight="1" spans="1:14" x14ac:dyDescent="0.25">
      <c r="A188" s="21" t="s">
        <v>3294</v>
      </c>
      <c r="B188" s="21" t="s">
        <v>3123</v>
      </c>
      <c r="C188" s="22" t="s">
        <v>3295</v>
      </c>
      <c r="D188" s="30">
        <v>250</v>
      </c>
      <c r="E188" s="31">
        <v>2600</v>
      </c>
      <c r="F188" s="22" t="s">
        <v>3296</v>
      </c>
      <c r="G188" s="21" t="s">
        <v>3297</v>
      </c>
      <c r="H188" s="21" t="s">
        <v>3194</v>
      </c>
      <c r="I188" s="21" t="s">
        <v>63</v>
      </c>
      <c r="J188" s="21" t="s">
        <v>20</v>
      </c>
      <c r="K188" s="22" t="s">
        <v>3298</v>
      </c>
      <c r="L188" s="22" t="s">
        <v>3299</v>
      </c>
      <c r="M188" s="22" t="s">
        <v>3300</v>
      </c>
      <c r="N188" s="22" t="s">
        <v>3301</v>
      </c>
    </row>
    <row r="189" ht="20" customHeight="1" spans="1:14" s="23" customFormat="1" x14ac:dyDescent="0.25">
      <c r="A189" s="24" t="s">
        <v>3302</v>
      </c>
      <c r="B189" s="24" t="s">
        <v>2569</v>
      </c>
      <c r="C189" s="25" t="s">
        <v>3303</v>
      </c>
      <c r="D189" s="32">
        <v>650</v>
      </c>
      <c r="E189" s="33">
        <v>1196</v>
      </c>
      <c r="F189" s="25" t="s">
        <v>2616</v>
      </c>
      <c r="G189" s="24" t="s">
        <v>3272</v>
      </c>
      <c r="H189" s="24" t="s">
        <v>2996</v>
      </c>
      <c r="I189" s="24" t="s">
        <v>2948</v>
      </c>
      <c r="J189" s="24">
        <f>SE(I189="","-",SE(DATA.VALOR(I189)&lt;HOJE(),"VENCIDO",SE(DATA.VALOR(I189)-HOJE()&lt;=30,"CRÍTICO (&lt;=30D)","REGULAR")))</f>
      </c>
      <c r="K189" s="25" t="s">
        <v>3273</v>
      </c>
      <c r="L189" s="25" t="s">
        <v>2971</v>
      </c>
      <c r="M189" s="25" t="s">
        <v>3274</v>
      </c>
      <c r="N189" s="25" t="s">
        <v>3304</v>
      </c>
    </row>
    <row r="190" ht="20" customHeight="1" spans="1:14" x14ac:dyDescent="0.25">
      <c r="A190" s="21" t="s">
        <v>3305</v>
      </c>
      <c r="B190" s="21" t="s">
        <v>116</v>
      </c>
      <c r="C190" s="22" t="s">
        <v>3306</v>
      </c>
      <c r="D190" s="30">
        <v>840</v>
      </c>
      <c r="E190" s="31">
        <v>7173.599999999999</v>
      </c>
      <c r="F190" s="22" t="s">
        <v>3307</v>
      </c>
      <c r="G190" s="21" t="s">
        <v>3308</v>
      </c>
      <c r="H190" s="21" t="s">
        <v>3309</v>
      </c>
      <c r="I190" s="21" t="s">
        <v>2337</v>
      </c>
      <c r="J190" s="21">
        <f>SE(I190="","-",SE(DATA.VALOR(I190)&lt;HOJE(),"VENCIDO",SE(DATA.VALOR(I190)-HOJE()&lt;=30,"CRÍTICO (&lt;=30D)","REGULAR")))</f>
      </c>
      <c r="K190" s="22" t="s">
        <v>3310</v>
      </c>
      <c r="L190" s="22" t="s">
        <v>3311</v>
      </c>
      <c r="M190" s="22" t="s">
        <v>3312</v>
      </c>
      <c r="N190" s="22" t="s">
        <v>3313</v>
      </c>
    </row>
    <row r="191" ht="20" customHeight="1" spans="1:14" s="23" customFormat="1" x14ac:dyDescent="0.25">
      <c r="A191" s="24" t="s">
        <v>3314</v>
      </c>
      <c r="B191" s="24" t="s">
        <v>3123</v>
      </c>
      <c r="C191" s="25" t="s">
        <v>2666</v>
      </c>
      <c r="D191" s="32">
        <v>70.2</v>
      </c>
      <c r="E191" s="33">
        <v>221.13</v>
      </c>
      <c r="F191" s="25" t="s">
        <v>2667</v>
      </c>
      <c r="G191" s="24" t="s">
        <v>3315</v>
      </c>
      <c r="H191" s="24" t="s">
        <v>3316</v>
      </c>
      <c r="I191" s="24" t="s">
        <v>222</v>
      </c>
      <c r="J191" s="24">
        <f>SE(I191="","-",SE(DATA.VALOR(I191)&lt;HOJE(),"VENCIDO",SE(DATA.VALOR(I191)-HOJE()&lt;=30,"CRÍTICO (&lt;=30D)","REGULAR")))</f>
      </c>
      <c r="K191" s="25" t="s">
        <v>3317</v>
      </c>
      <c r="L191" s="25" t="s">
        <v>2671</v>
      </c>
      <c r="M191" s="25" t="s">
        <v>3318</v>
      </c>
      <c r="N191" s="25" t="s">
        <v>3319</v>
      </c>
    </row>
    <row r="192" ht="20" customHeight="1" spans="1:14" x14ac:dyDescent="0.25">
      <c r="A192" s="21" t="s">
        <v>3320</v>
      </c>
      <c r="B192" s="21" t="s">
        <v>3123</v>
      </c>
      <c r="C192" s="22" t="s">
        <v>2675</v>
      </c>
      <c r="D192" s="30">
        <v>160.4</v>
      </c>
      <c r="E192" s="31">
        <v>633.58</v>
      </c>
      <c r="F192" s="22" t="s">
        <v>2667</v>
      </c>
      <c r="G192" s="21" t="s">
        <v>3315</v>
      </c>
      <c r="H192" s="21" t="s">
        <v>3316</v>
      </c>
      <c r="I192" s="21" t="s">
        <v>222</v>
      </c>
      <c r="J192" s="21">
        <f>SE(I192="","-",SE(DATA.VALOR(I192)&lt;HOJE(),"VENCIDO",SE(DATA.VALOR(I192)-HOJE()&lt;=30,"CRÍTICO (&lt;=30D)","REGULAR")))</f>
      </c>
      <c r="K192" s="22" t="s">
        <v>3317</v>
      </c>
      <c r="L192" s="22" t="s">
        <v>2671</v>
      </c>
      <c r="M192" s="22" t="s">
        <v>3318</v>
      </c>
      <c r="N192" s="22" t="s">
        <v>3319</v>
      </c>
    </row>
    <row r="193" ht="20" customHeight="1" spans="1:14" s="23" customFormat="1" x14ac:dyDescent="0.25">
      <c r="A193" s="24" t="s">
        <v>3321</v>
      </c>
      <c r="B193" s="24" t="s">
        <v>3123</v>
      </c>
      <c r="C193" s="25" t="s">
        <v>2679</v>
      </c>
      <c r="D193" s="32">
        <v>40.2</v>
      </c>
      <c r="E193" s="33">
        <v>220.3</v>
      </c>
      <c r="F193" s="25" t="s">
        <v>2667</v>
      </c>
      <c r="G193" s="24" t="s">
        <v>3315</v>
      </c>
      <c r="H193" s="24" t="s">
        <v>3316</v>
      </c>
      <c r="I193" s="24" t="s">
        <v>222</v>
      </c>
      <c r="J193" s="24">
        <f>SE(I193="","-",SE(DATA.VALOR(I193)&lt;HOJE(),"VENCIDO",SE(DATA.VALOR(I193)-HOJE()&lt;=30,"CRÍTICO (&lt;=30D)","REGULAR")))</f>
      </c>
      <c r="K193" s="25" t="s">
        <v>3317</v>
      </c>
      <c r="L193" s="25" t="s">
        <v>2671</v>
      </c>
      <c r="M193" s="25" t="s">
        <v>3318</v>
      </c>
      <c r="N193" s="25" t="s">
        <v>3319</v>
      </c>
    </row>
    <row r="194" ht="20" customHeight="1" spans="1:14" x14ac:dyDescent="0.25">
      <c r="A194" s="21" t="s">
        <v>3322</v>
      </c>
      <c r="B194" s="21" t="s">
        <v>94</v>
      </c>
      <c r="C194" s="22" t="s">
        <v>3323</v>
      </c>
      <c r="D194" s="30">
        <v>600</v>
      </c>
      <c r="E194" s="31">
        <v>7740</v>
      </c>
      <c r="F194" s="22" t="s">
        <v>3324</v>
      </c>
      <c r="G194" s="21" t="s">
        <v>3325</v>
      </c>
      <c r="H194" s="21" t="s">
        <v>3326</v>
      </c>
      <c r="I194" s="21" t="s">
        <v>3327</v>
      </c>
      <c r="J194" s="21">
        <f>SE(I194="","-",SE(DATA.VALOR(I194)&lt;HOJE(),"VENCIDO",SE(DATA.VALOR(I194)-HOJE()&lt;=30,"CRÍTICO (&lt;=30D)","REGULAR")))</f>
      </c>
      <c r="K194" s="22" t="s">
        <v>3328</v>
      </c>
      <c r="L194" s="22" t="s">
        <v>3329</v>
      </c>
      <c r="M194" s="22" t="s">
        <v>3330</v>
      </c>
      <c r="N194" s="22" t="s">
        <v>3331</v>
      </c>
    </row>
    <row r="195" ht="20" customHeight="1" spans="1:14" s="23" customFormat="1" x14ac:dyDescent="0.25">
      <c r="A195" s="24" t="s">
        <v>3332</v>
      </c>
      <c r="B195" s="24" t="s">
        <v>3333</v>
      </c>
      <c r="C195" s="25" t="s">
        <v>2681</v>
      </c>
      <c r="D195" s="32">
        <v>92</v>
      </c>
      <c r="E195" s="33">
        <v>0</v>
      </c>
      <c r="F195" s="25" t="s">
        <v>2643</v>
      </c>
      <c r="G195" s="24" t="s">
        <v>3334</v>
      </c>
      <c r="H195" s="24" t="s">
        <v>3164</v>
      </c>
      <c r="I195" s="24" t="s">
        <v>63</v>
      </c>
      <c r="J195" s="24" t="s">
        <v>20</v>
      </c>
      <c r="K195" s="25" t="s">
        <v>63</v>
      </c>
      <c r="L195" s="25" t="s">
        <v>63</v>
      </c>
      <c r="M195" s="25" t="s">
        <v>63</v>
      </c>
      <c r="N195" s="25" t="s">
        <v>3335</v>
      </c>
    </row>
    <row r="196" ht="20" customHeight="1" spans="1:14" x14ac:dyDescent="0.25">
      <c r="A196" s="21" t="s">
        <v>3336</v>
      </c>
      <c r="B196" s="21" t="s">
        <v>3333</v>
      </c>
      <c r="C196" s="22" t="s">
        <v>2642</v>
      </c>
      <c r="D196" s="30">
        <v>76</v>
      </c>
      <c r="E196" s="31">
        <v>0</v>
      </c>
      <c r="F196" s="22" t="s">
        <v>2643</v>
      </c>
      <c r="G196" s="21" t="s">
        <v>3334</v>
      </c>
      <c r="H196" s="21" t="s">
        <v>3164</v>
      </c>
      <c r="I196" s="21" t="s">
        <v>63</v>
      </c>
      <c r="J196" s="21" t="s">
        <v>20</v>
      </c>
      <c r="K196" s="22" t="s">
        <v>63</v>
      </c>
      <c r="L196" s="22" t="s">
        <v>63</v>
      </c>
      <c r="M196" s="22" t="s">
        <v>63</v>
      </c>
      <c r="N196" s="22" t="s">
        <v>3337</v>
      </c>
    </row>
    <row r="197" ht="20" customHeight="1" spans="1:14" s="23" customFormat="1" x14ac:dyDescent="0.25">
      <c r="A197" s="24" t="s">
        <v>3338</v>
      </c>
      <c r="B197" s="24" t="s">
        <v>2896</v>
      </c>
      <c r="C197" s="25" t="s">
        <v>2919</v>
      </c>
      <c r="D197" s="32">
        <v>1500</v>
      </c>
      <c r="E197" s="33">
        <v>0</v>
      </c>
      <c r="F197" s="25" t="s">
        <v>2898</v>
      </c>
      <c r="G197" s="24" t="s">
        <v>2899</v>
      </c>
      <c r="H197" s="24" t="s">
        <v>2920</v>
      </c>
      <c r="I197" s="24" t="s">
        <v>2917</v>
      </c>
      <c r="J197" s="24">
        <f>SE(I197="","-",SE(DATA.VALOR(I197)&lt;HOJE(),"VENCIDO",SE(DATA.VALOR(I197)-HOJE()&lt;=30,"CRÍTICO (&lt;=30D)","REGULAR")))</f>
      </c>
      <c r="K197" s="25" t="s">
        <v>2902</v>
      </c>
      <c r="L197" s="25" t="s">
        <v>2903</v>
      </c>
      <c r="M197" s="25" t="s">
        <v>63</v>
      </c>
      <c r="N197" s="25" t="s">
        <v>3339</v>
      </c>
    </row>
    <row r="198" ht="20" customHeight="1" spans="1:14" x14ac:dyDescent="0.25">
      <c r="A198" s="21" t="s">
        <v>3340</v>
      </c>
      <c r="B198" s="21" t="s">
        <v>2896</v>
      </c>
      <c r="C198" s="22" t="s">
        <v>3341</v>
      </c>
      <c r="D198" s="30">
        <v>50</v>
      </c>
      <c r="E198" s="31">
        <v>290</v>
      </c>
      <c r="F198" s="22" t="s">
        <v>2898</v>
      </c>
      <c r="G198" s="21" t="s">
        <v>2899</v>
      </c>
      <c r="H198" s="21" t="s">
        <v>3342</v>
      </c>
      <c r="I198" s="21" t="s">
        <v>3343</v>
      </c>
      <c r="J198" s="21">
        <f>SE(I198="","-",SE(DATA.VALOR(I198)&lt;HOJE(),"VENCIDO",SE(DATA.VALOR(I198)-HOJE()&lt;=30,"CRÍTICO (&lt;=30D)","REGULAR")))</f>
      </c>
      <c r="K198" s="22" t="s">
        <v>2902</v>
      </c>
      <c r="L198" s="22" t="s">
        <v>2903</v>
      </c>
      <c r="M198" s="22" t="s">
        <v>2909</v>
      </c>
      <c r="N198" s="22" t="s">
        <v>3339</v>
      </c>
    </row>
    <row r="199" ht="20" customHeight="1" spans="1:14" s="23" customFormat="1" x14ac:dyDescent="0.25">
      <c r="A199" s="24" t="s">
        <v>3344</v>
      </c>
      <c r="B199" s="24" t="s">
        <v>2896</v>
      </c>
      <c r="C199" s="25" t="s">
        <v>2911</v>
      </c>
      <c r="D199" s="32">
        <v>100</v>
      </c>
      <c r="E199" s="33">
        <v>0</v>
      </c>
      <c r="F199" s="25" t="s">
        <v>2898</v>
      </c>
      <c r="G199" s="24" t="s">
        <v>2899</v>
      </c>
      <c r="H199" s="24" t="s">
        <v>2912</v>
      </c>
      <c r="I199" s="24" t="s">
        <v>2913</v>
      </c>
      <c r="J199" s="24">
        <f>SE(I199="","-",SE(DATA.VALOR(I199)&lt;HOJE(),"VENCIDO",SE(DATA.VALOR(I199)-HOJE()&lt;=30,"CRÍTICO (&lt;=30D)","REGULAR")))</f>
      </c>
      <c r="K199" s="25" t="s">
        <v>2902</v>
      </c>
      <c r="L199" s="25" t="s">
        <v>2903</v>
      </c>
      <c r="M199" s="25" t="s">
        <v>63</v>
      </c>
      <c r="N199" s="25" t="s">
        <v>3339</v>
      </c>
    </row>
    <row r="200" ht="20" customHeight="1" spans="1:14" x14ac:dyDescent="0.25">
      <c r="A200" s="21" t="s">
        <v>3345</v>
      </c>
      <c r="B200" s="21" t="s">
        <v>2896</v>
      </c>
      <c r="C200" s="22" t="s">
        <v>2906</v>
      </c>
      <c r="D200" s="30">
        <v>25</v>
      </c>
      <c r="E200" s="31">
        <v>0</v>
      </c>
      <c r="F200" s="22" t="s">
        <v>2898</v>
      </c>
      <c r="G200" s="21" t="s">
        <v>2899</v>
      </c>
      <c r="H200" s="21" t="s">
        <v>2907</v>
      </c>
      <c r="I200" s="21" t="s">
        <v>2908</v>
      </c>
      <c r="J200" s="21">
        <f>SE(I200="","-",SE(DATA.VALOR(I200)&lt;HOJE(),"VENCIDO",SE(DATA.VALOR(I200)-HOJE()&lt;=30,"CRÍTICO (&lt;=30D)","REGULAR")))</f>
      </c>
      <c r="K200" s="22" t="s">
        <v>2902</v>
      </c>
      <c r="L200" s="22" t="s">
        <v>2903</v>
      </c>
      <c r="M200" s="22" t="s">
        <v>63</v>
      </c>
      <c r="N200" s="22" t="s">
        <v>3339</v>
      </c>
    </row>
    <row r="201" ht="20" customHeight="1" spans="1:14" s="23" customFormat="1" x14ac:dyDescent="0.25">
      <c r="A201" s="24" t="s">
        <v>3346</v>
      </c>
      <c r="B201" s="24" t="s">
        <v>2896</v>
      </c>
      <c r="C201" s="25" t="s">
        <v>2915</v>
      </c>
      <c r="D201" s="32">
        <v>25</v>
      </c>
      <c r="E201" s="33">
        <v>0</v>
      </c>
      <c r="F201" s="25" t="s">
        <v>2898</v>
      </c>
      <c r="G201" s="24" t="s">
        <v>2899</v>
      </c>
      <c r="H201" s="24" t="s">
        <v>2916</v>
      </c>
      <c r="I201" s="24" t="s">
        <v>2917</v>
      </c>
      <c r="J201" s="24">
        <f>SE(I201="","-",SE(DATA.VALOR(I201)&lt;HOJE(),"VENCIDO",SE(DATA.VALOR(I201)-HOJE()&lt;=30,"CRÍTICO (&lt;=30D)","REGULAR")))</f>
      </c>
      <c r="K201" s="25" t="s">
        <v>2902</v>
      </c>
      <c r="L201" s="25" t="s">
        <v>2903</v>
      </c>
      <c r="M201" s="25" t="s">
        <v>63</v>
      </c>
      <c r="N201" s="25" t="s">
        <v>3339</v>
      </c>
    </row>
    <row r="202" ht="20" customHeight="1" spans="1:14" x14ac:dyDescent="0.25">
      <c r="A202" s="21" t="s">
        <v>3347</v>
      </c>
      <c r="B202" s="21" t="s">
        <v>184</v>
      </c>
      <c r="C202" s="22" t="s">
        <v>2924</v>
      </c>
      <c r="D202" s="30">
        <v>1390</v>
      </c>
      <c r="E202" s="31">
        <v>18778.9</v>
      </c>
      <c r="F202" s="22" t="s">
        <v>2925</v>
      </c>
      <c r="G202" s="21" t="s">
        <v>3348</v>
      </c>
      <c r="H202" s="21" t="s">
        <v>3349</v>
      </c>
      <c r="I202" s="21" t="s">
        <v>3350</v>
      </c>
      <c r="J202" s="21">
        <f>SE(I202="","-",SE(DATA.VALOR(I202)&lt;HOJE(),"VENCIDO",SE(DATA.VALOR(I202)-HOJE()&lt;=30,"CRÍTICO (&lt;=30D)","REGULAR")))</f>
      </c>
      <c r="K202" s="22" t="s">
        <v>3351</v>
      </c>
      <c r="L202" s="22" t="s">
        <v>2930</v>
      </c>
      <c r="M202" s="22" t="s">
        <v>3352</v>
      </c>
      <c r="N202" s="22" t="s">
        <v>3353</v>
      </c>
    </row>
    <row r="203" ht="20" customHeight="1" spans="1:14" s="23" customFormat="1" x14ac:dyDescent="0.25">
      <c r="A203" s="24" t="s">
        <v>3354</v>
      </c>
      <c r="B203" s="24" t="s">
        <v>94</v>
      </c>
      <c r="C203" s="25" t="s">
        <v>3355</v>
      </c>
      <c r="D203" s="32">
        <v>1020</v>
      </c>
      <c r="E203" s="33">
        <v>10608</v>
      </c>
      <c r="F203" s="25" t="s">
        <v>3356</v>
      </c>
      <c r="G203" s="24" t="s">
        <v>3357</v>
      </c>
      <c r="H203" s="24" t="s">
        <v>3358</v>
      </c>
      <c r="I203" s="24" t="s">
        <v>1823</v>
      </c>
      <c r="J203" s="24">
        <f>SE(I203="","-",SE(DATA.VALOR(I203)&lt;HOJE(),"VENCIDO",SE(DATA.VALOR(I203)-HOJE()&lt;=30,"CRÍTICO (&lt;=30D)","REGULAR")))</f>
      </c>
      <c r="K203" s="25" t="s">
        <v>3359</v>
      </c>
      <c r="L203" s="25" t="s">
        <v>3360</v>
      </c>
      <c r="M203" s="25" t="s">
        <v>3361</v>
      </c>
      <c r="N203" s="25" t="s">
        <v>3362</v>
      </c>
    </row>
    <row r="204" ht="20" customHeight="1" spans="1:14" x14ac:dyDescent="0.25">
      <c r="A204" s="21" t="s">
        <v>3363</v>
      </c>
      <c r="B204" s="21" t="s">
        <v>222</v>
      </c>
      <c r="C204" s="22" t="s">
        <v>3364</v>
      </c>
      <c r="D204" s="30">
        <v>500</v>
      </c>
      <c r="E204" s="31">
        <v>6290</v>
      </c>
      <c r="F204" s="22" t="s">
        <v>3365</v>
      </c>
      <c r="G204" s="21" t="s">
        <v>3366</v>
      </c>
      <c r="H204" s="21" t="s">
        <v>3367</v>
      </c>
      <c r="I204" s="21" t="s">
        <v>3368</v>
      </c>
      <c r="J204" s="21">
        <f>SE(I204="","-",SE(DATA.VALOR(I204)&lt;HOJE(),"VENCIDO",SE(DATA.VALOR(I204)-HOJE()&lt;=30,"CRÍTICO (&lt;=30D)","REGULAR")))</f>
      </c>
      <c r="K204" s="22" t="s">
        <v>3369</v>
      </c>
      <c r="L204" s="22" t="s">
        <v>3370</v>
      </c>
      <c r="M204" s="22" t="s">
        <v>3371</v>
      </c>
      <c r="N204" s="22" t="s">
        <v>3372</v>
      </c>
    </row>
    <row r="205" ht="20" customHeight="1" spans="1:14" s="23" customFormat="1" x14ac:dyDescent="0.25">
      <c r="A205" s="24" t="s">
        <v>3373</v>
      </c>
      <c r="B205" s="24" t="s">
        <v>222</v>
      </c>
      <c r="C205" s="25" t="s">
        <v>3374</v>
      </c>
      <c r="D205" s="32">
        <v>200</v>
      </c>
      <c r="E205" s="33">
        <v>3996</v>
      </c>
      <c r="F205" s="25" t="s">
        <v>3365</v>
      </c>
      <c r="G205" s="24" t="s">
        <v>3366</v>
      </c>
      <c r="H205" s="24" t="s">
        <v>3375</v>
      </c>
      <c r="I205" s="24" t="s">
        <v>1376</v>
      </c>
      <c r="J205" s="24">
        <f>SE(I205="","-",SE(DATA.VALOR(I205)&lt;HOJE(),"VENCIDO",SE(DATA.VALOR(I205)-HOJE()&lt;=30,"CRÍTICO (&lt;=30D)","REGULAR")))</f>
      </c>
      <c r="K205" s="25" t="s">
        <v>3369</v>
      </c>
      <c r="L205" s="25" t="s">
        <v>3370</v>
      </c>
      <c r="M205" s="25" t="s">
        <v>3371</v>
      </c>
      <c r="N205" s="25" t="s">
        <v>3372</v>
      </c>
    </row>
    <row r="206" ht="20" customHeight="1" spans="1:14" x14ac:dyDescent="0.25">
      <c r="A206" s="21" t="s">
        <v>3376</v>
      </c>
      <c r="B206" s="21" t="s">
        <v>222</v>
      </c>
      <c r="C206" s="22" t="s">
        <v>3377</v>
      </c>
      <c r="D206" s="30">
        <v>147</v>
      </c>
      <c r="E206" s="31">
        <v>3528</v>
      </c>
      <c r="F206" s="22" t="s">
        <v>3365</v>
      </c>
      <c r="G206" s="21" t="s">
        <v>3366</v>
      </c>
      <c r="H206" s="21" t="s">
        <v>3378</v>
      </c>
      <c r="I206" s="21" t="s">
        <v>1345</v>
      </c>
      <c r="J206" s="21">
        <f>SE(I206="","-",SE(DATA.VALOR(I206)&lt;HOJE(),"VENCIDO",SE(DATA.VALOR(I206)-HOJE()&lt;=30,"CRÍTICO (&lt;=30D)","REGULAR")))</f>
      </c>
      <c r="K206" s="22" t="s">
        <v>3369</v>
      </c>
      <c r="L206" s="22" t="s">
        <v>3370</v>
      </c>
      <c r="M206" s="22" t="s">
        <v>3371</v>
      </c>
      <c r="N206" s="22" t="s">
        <v>3372</v>
      </c>
    </row>
    <row r="207" ht="20" customHeight="1" spans="1:14" s="23" customFormat="1" x14ac:dyDescent="0.25">
      <c r="A207" s="24" t="s">
        <v>3379</v>
      </c>
      <c r="B207" s="24" t="s">
        <v>222</v>
      </c>
      <c r="C207" s="25" t="s">
        <v>3380</v>
      </c>
      <c r="D207" s="32">
        <v>301</v>
      </c>
      <c r="E207" s="33">
        <v>7211.96</v>
      </c>
      <c r="F207" s="25" t="s">
        <v>3365</v>
      </c>
      <c r="G207" s="24" t="s">
        <v>3366</v>
      </c>
      <c r="H207" s="24" t="s">
        <v>3381</v>
      </c>
      <c r="I207" s="24" t="s">
        <v>3382</v>
      </c>
      <c r="J207" s="24">
        <f>SE(I207="","-",SE(DATA.VALOR(I207)&lt;HOJE(),"VENCIDO",SE(DATA.VALOR(I207)-HOJE()&lt;=30,"CRÍTICO (&lt;=30D)","REGULAR")))</f>
      </c>
      <c r="K207" s="25" t="s">
        <v>3369</v>
      </c>
      <c r="L207" s="25" t="s">
        <v>3370</v>
      </c>
      <c r="M207" s="25" t="s">
        <v>3371</v>
      </c>
      <c r="N207" s="25" t="s">
        <v>3372</v>
      </c>
    </row>
    <row r="208" ht="20" customHeight="1" spans="1:14" x14ac:dyDescent="0.25">
      <c r="A208" s="21" t="s">
        <v>3383</v>
      </c>
      <c r="B208" s="21" t="s">
        <v>2764</v>
      </c>
      <c r="C208" s="22" t="s">
        <v>2741</v>
      </c>
      <c r="D208" s="30">
        <v>204.9</v>
      </c>
      <c r="E208" s="31">
        <v>0</v>
      </c>
      <c r="F208" s="22" t="s">
        <v>2880</v>
      </c>
      <c r="G208" s="21" t="s">
        <v>87</v>
      </c>
      <c r="H208" s="21" t="s">
        <v>2767</v>
      </c>
      <c r="I208" s="21" t="s">
        <v>2768</v>
      </c>
      <c r="J208" s="21">
        <f>SE(I208="","-",SE(DATA.VALOR(I208)&lt;HOJE(),"VENCIDO",SE(DATA.VALOR(I208)-HOJE()&lt;=30,"CRÍTICO (&lt;=30D)","REGULAR")))</f>
      </c>
      <c r="K208" s="22" t="s">
        <v>2881</v>
      </c>
      <c r="L208" s="22" t="s">
        <v>2882</v>
      </c>
      <c r="M208" s="22" t="s">
        <v>63</v>
      </c>
      <c r="N208" s="22" t="s">
        <v>3384</v>
      </c>
    </row>
    <row r="209" ht="20" customHeight="1" spans="1:14" s="23" customFormat="1" x14ac:dyDescent="0.25">
      <c r="A209" s="24" t="s">
        <v>3385</v>
      </c>
      <c r="B209" s="24" t="s">
        <v>2764</v>
      </c>
      <c r="C209" s="25" t="s">
        <v>2675</v>
      </c>
      <c r="D209" s="32">
        <v>158.1</v>
      </c>
      <c r="E209" s="33">
        <v>0</v>
      </c>
      <c r="F209" s="25" t="s">
        <v>2880</v>
      </c>
      <c r="G209" s="24" t="s">
        <v>87</v>
      </c>
      <c r="H209" s="24" t="s">
        <v>2767</v>
      </c>
      <c r="I209" s="24" t="s">
        <v>2768</v>
      </c>
      <c r="J209" s="24">
        <f>SE(I209="","-",SE(DATA.VALOR(I209)&lt;HOJE(),"VENCIDO",SE(DATA.VALOR(I209)-HOJE()&lt;=30,"CRÍTICO (&lt;=30D)","REGULAR")))</f>
      </c>
      <c r="K209" s="25" t="s">
        <v>2881</v>
      </c>
      <c r="L209" s="25" t="s">
        <v>2882</v>
      </c>
      <c r="M209" s="25" t="s">
        <v>63</v>
      </c>
      <c r="N209" s="25" t="s">
        <v>3384</v>
      </c>
    </row>
    <row r="210" ht="20" customHeight="1" spans="1:14" x14ac:dyDescent="0.25">
      <c r="A210" s="21" t="s">
        <v>3386</v>
      </c>
      <c r="B210" s="21" t="s">
        <v>2764</v>
      </c>
      <c r="C210" s="22" t="s">
        <v>2746</v>
      </c>
      <c r="D210" s="30">
        <v>194</v>
      </c>
      <c r="E210" s="31">
        <v>0</v>
      </c>
      <c r="F210" s="22" t="s">
        <v>2880</v>
      </c>
      <c r="G210" s="21" t="s">
        <v>87</v>
      </c>
      <c r="H210" s="21" t="s">
        <v>2767</v>
      </c>
      <c r="I210" s="21" t="s">
        <v>2768</v>
      </c>
      <c r="J210" s="21">
        <f>SE(I210="","-",SE(DATA.VALOR(I210)&lt;HOJE(),"VENCIDO",SE(DATA.VALOR(I210)-HOJE()&lt;=30,"CRÍTICO (&lt;=30D)","REGULAR")))</f>
      </c>
      <c r="K210" s="22" t="s">
        <v>2881</v>
      </c>
      <c r="L210" s="22" t="s">
        <v>2882</v>
      </c>
      <c r="M210" s="22" t="s">
        <v>63</v>
      </c>
      <c r="N210" s="22" t="s">
        <v>3384</v>
      </c>
    </row>
    <row r="211" ht="20" customHeight="1" spans="1:14" s="23" customFormat="1" x14ac:dyDescent="0.25">
      <c r="A211" s="24" t="s">
        <v>3387</v>
      </c>
      <c r="B211" s="24" t="s">
        <v>2764</v>
      </c>
      <c r="C211" s="25" t="s">
        <v>2716</v>
      </c>
      <c r="D211" s="32">
        <v>220.2</v>
      </c>
      <c r="E211" s="33">
        <v>0</v>
      </c>
      <c r="F211" s="25" t="s">
        <v>2880</v>
      </c>
      <c r="G211" s="24" t="s">
        <v>87</v>
      </c>
      <c r="H211" s="24" t="s">
        <v>2767</v>
      </c>
      <c r="I211" s="24" t="s">
        <v>2768</v>
      </c>
      <c r="J211" s="24">
        <f>SE(I211="","-",SE(DATA.VALOR(I211)&lt;HOJE(),"VENCIDO",SE(DATA.VALOR(I211)-HOJE()&lt;=30,"CRÍTICO (&lt;=30D)","REGULAR")))</f>
      </c>
      <c r="K211" s="25" t="s">
        <v>2881</v>
      </c>
      <c r="L211" s="25" t="s">
        <v>2882</v>
      </c>
      <c r="M211" s="25" t="s">
        <v>63</v>
      </c>
      <c r="N211" s="25" t="s">
        <v>3384</v>
      </c>
    </row>
    <row r="212" ht="20" customHeight="1" spans="1:14" x14ac:dyDescent="0.25">
      <c r="A212" s="21" t="s">
        <v>3388</v>
      </c>
      <c r="B212" s="21" t="s">
        <v>2764</v>
      </c>
      <c r="C212" s="22" t="s">
        <v>2696</v>
      </c>
      <c r="D212" s="30">
        <v>196</v>
      </c>
      <c r="E212" s="31">
        <v>0</v>
      </c>
      <c r="F212" s="22" t="s">
        <v>2880</v>
      </c>
      <c r="G212" s="21" t="s">
        <v>87</v>
      </c>
      <c r="H212" s="21" t="s">
        <v>2767</v>
      </c>
      <c r="I212" s="21" t="s">
        <v>2764</v>
      </c>
      <c r="J212" s="21">
        <f>SE(I212="","-",SE(DATA.VALOR(I212)&lt;HOJE(),"VENCIDO",SE(DATA.VALOR(I212)-HOJE()&lt;=30,"CRÍTICO (&lt;=30D)","REGULAR")))</f>
      </c>
      <c r="K212" s="22" t="s">
        <v>2881</v>
      </c>
      <c r="L212" s="22" t="s">
        <v>2882</v>
      </c>
      <c r="M212" s="22" t="s">
        <v>63</v>
      </c>
      <c r="N212" s="22" t="s">
        <v>3384</v>
      </c>
    </row>
    <row r="213" ht="20" customHeight="1" spans="1:14" s="23" customFormat="1" x14ac:dyDescent="0.25">
      <c r="A213" s="24" t="s">
        <v>3389</v>
      </c>
      <c r="B213" s="24" t="s">
        <v>3123</v>
      </c>
      <c r="C213" s="25" t="s">
        <v>2666</v>
      </c>
      <c r="D213" s="32">
        <v>74.2</v>
      </c>
      <c r="E213" s="33">
        <v>233.73</v>
      </c>
      <c r="F213" s="25" t="s">
        <v>2880</v>
      </c>
      <c r="G213" s="24" t="s">
        <v>1726</v>
      </c>
      <c r="H213" s="24" t="s">
        <v>3390</v>
      </c>
      <c r="I213" s="24" t="s">
        <v>222</v>
      </c>
      <c r="J213" s="24">
        <f>SE(I213="","-",SE(DATA.VALOR(I213)&lt;HOJE(),"VENCIDO",SE(DATA.VALOR(I213)-HOJE()&lt;=30,"CRÍTICO (&lt;=30D)","REGULAR")))</f>
      </c>
      <c r="K213" s="25" t="s">
        <v>3391</v>
      </c>
      <c r="L213" s="25" t="s">
        <v>2882</v>
      </c>
      <c r="M213" s="25" t="s">
        <v>3392</v>
      </c>
      <c r="N213" s="25" t="s">
        <v>3393</v>
      </c>
    </row>
    <row r="214" ht="20" customHeight="1" spans="1:14" x14ac:dyDescent="0.25">
      <c r="A214" s="21" t="s">
        <v>3394</v>
      </c>
      <c r="B214" s="21" t="s">
        <v>3123</v>
      </c>
      <c r="C214" s="22" t="s">
        <v>2741</v>
      </c>
      <c r="D214" s="30">
        <v>196</v>
      </c>
      <c r="E214" s="31">
        <v>666.4</v>
      </c>
      <c r="F214" s="22" t="s">
        <v>2880</v>
      </c>
      <c r="G214" s="21" t="s">
        <v>1726</v>
      </c>
      <c r="H214" s="21" t="s">
        <v>3390</v>
      </c>
      <c r="I214" s="21" t="s">
        <v>222</v>
      </c>
      <c r="J214" s="21">
        <f>SE(I214="","-",SE(DATA.VALOR(I214)&lt;HOJE(),"VENCIDO",SE(DATA.VALOR(I214)-HOJE()&lt;=30,"CRÍTICO (&lt;=30D)","REGULAR")))</f>
      </c>
      <c r="K214" s="22" t="s">
        <v>3391</v>
      </c>
      <c r="L214" s="22" t="s">
        <v>2882</v>
      </c>
      <c r="M214" s="22" t="s">
        <v>3392</v>
      </c>
      <c r="N214" s="22" t="s">
        <v>3393</v>
      </c>
    </row>
    <row r="215" ht="20" customHeight="1" spans="1:14" s="23" customFormat="1" x14ac:dyDescent="0.25">
      <c r="A215" s="24" t="s">
        <v>3395</v>
      </c>
      <c r="B215" s="24" t="s">
        <v>3123</v>
      </c>
      <c r="C215" s="25" t="s">
        <v>2675</v>
      </c>
      <c r="D215" s="32">
        <v>153.4</v>
      </c>
      <c r="E215" s="33">
        <v>605.9300000000001</v>
      </c>
      <c r="F215" s="25" t="s">
        <v>2880</v>
      </c>
      <c r="G215" s="24" t="s">
        <v>1726</v>
      </c>
      <c r="H215" s="24" t="s">
        <v>3390</v>
      </c>
      <c r="I215" s="24" t="s">
        <v>222</v>
      </c>
      <c r="J215" s="24">
        <f>SE(I215="","-",SE(DATA.VALOR(I215)&lt;HOJE(),"VENCIDO",SE(DATA.VALOR(I215)-HOJE()&lt;=30,"CRÍTICO (&lt;=30D)","REGULAR")))</f>
      </c>
      <c r="K215" s="25" t="s">
        <v>3391</v>
      </c>
      <c r="L215" s="25" t="s">
        <v>2882</v>
      </c>
      <c r="M215" s="25" t="s">
        <v>3392</v>
      </c>
      <c r="N215" s="25" t="s">
        <v>3393</v>
      </c>
    </row>
    <row r="216" ht="20" customHeight="1" spans="1:14" x14ac:dyDescent="0.25">
      <c r="A216" s="21" t="s">
        <v>3396</v>
      </c>
      <c r="B216" s="21" t="s">
        <v>3123</v>
      </c>
      <c r="C216" s="22" t="s">
        <v>2746</v>
      </c>
      <c r="D216" s="30">
        <v>214.8</v>
      </c>
      <c r="E216" s="31">
        <v>1267.3200000000002</v>
      </c>
      <c r="F216" s="22" t="s">
        <v>2880</v>
      </c>
      <c r="G216" s="21" t="s">
        <v>1726</v>
      </c>
      <c r="H216" s="21" t="s">
        <v>3390</v>
      </c>
      <c r="I216" s="21" t="s">
        <v>222</v>
      </c>
      <c r="J216" s="21">
        <f>SE(I216="","-",SE(DATA.VALOR(I216)&lt;HOJE(),"VENCIDO",SE(DATA.VALOR(I216)-HOJE()&lt;=30,"CRÍTICO (&lt;=30D)","REGULAR")))</f>
      </c>
      <c r="K216" s="22" t="s">
        <v>3391</v>
      </c>
      <c r="L216" s="22" t="s">
        <v>2882</v>
      </c>
      <c r="M216" s="22" t="s">
        <v>3392</v>
      </c>
      <c r="N216" s="22" t="s">
        <v>3393</v>
      </c>
    </row>
    <row r="217" ht="20" customHeight="1" spans="1:14" s="23" customFormat="1" x14ac:dyDescent="0.25">
      <c r="A217" s="24" t="s">
        <v>3397</v>
      </c>
      <c r="B217" s="24" t="s">
        <v>3123</v>
      </c>
      <c r="C217" s="25" t="s">
        <v>2716</v>
      </c>
      <c r="D217" s="32">
        <v>227.8</v>
      </c>
      <c r="E217" s="33">
        <v>1161.78</v>
      </c>
      <c r="F217" s="25" t="s">
        <v>2880</v>
      </c>
      <c r="G217" s="24" t="s">
        <v>1726</v>
      </c>
      <c r="H217" s="24" t="s">
        <v>3390</v>
      </c>
      <c r="I217" s="24" t="s">
        <v>222</v>
      </c>
      <c r="J217" s="24">
        <f>SE(I217="","-",SE(DATA.VALOR(I217)&lt;HOJE(),"VENCIDO",SE(DATA.VALOR(I217)-HOJE()&lt;=30,"CRÍTICO (&lt;=30D)","REGULAR")))</f>
      </c>
      <c r="K217" s="25" t="s">
        <v>3391</v>
      </c>
      <c r="L217" s="25" t="s">
        <v>2882</v>
      </c>
      <c r="M217" s="25" t="s">
        <v>3392</v>
      </c>
      <c r="N217" s="25" t="s">
        <v>3393</v>
      </c>
    </row>
    <row r="218" ht="20" customHeight="1" spans="1:14" x14ac:dyDescent="0.25">
      <c r="A218" s="21" t="s">
        <v>3398</v>
      </c>
      <c r="B218" s="21" t="s">
        <v>3123</v>
      </c>
      <c r="C218" s="22" t="s">
        <v>2696</v>
      </c>
      <c r="D218" s="30">
        <v>193.6</v>
      </c>
      <c r="E218" s="31">
        <v>696.96</v>
      </c>
      <c r="F218" s="22" t="s">
        <v>2880</v>
      </c>
      <c r="G218" s="21" t="s">
        <v>1726</v>
      </c>
      <c r="H218" s="21" t="s">
        <v>3390</v>
      </c>
      <c r="I218" s="21" t="s">
        <v>222</v>
      </c>
      <c r="J218" s="21">
        <f>SE(I218="","-",SE(DATA.VALOR(I218)&lt;HOJE(),"VENCIDO",SE(DATA.VALOR(I218)-HOJE()&lt;=30,"CRÍTICO (&lt;=30D)","REGULAR")))</f>
      </c>
      <c r="K218" s="22" t="s">
        <v>3391</v>
      </c>
      <c r="L218" s="22" t="s">
        <v>2882</v>
      </c>
      <c r="M218" s="22" t="s">
        <v>3392</v>
      </c>
      <c r="N218" s="22" t="s">
        <v>3393</v>
      </c>
    </row>
    <row r="219" ht="20" customHeight="1" spans="1:14" s="23" customFormat="1" x14ac:dyDescent="0.25">
      <c r="A219" s="24" t="s">
        <v>3399</v>
      </c>
      <c r="B219" s="24" t="s">
        <v>2665</v>
      </c>
      <c r="C219" s="25" t="s">
        <v>2675</v>
      </c>
      <c r="D219" s="32">
        <v>101.6</v>
      </c>
      <c r="E219" s="33">
        <v>0</v>
      </c>
      <c r="F219" s="25" t="s">
        <v>2667</v>
      </c>
      <c r="G219" s="24" t="s">
        <v>2668</v>
      </c>
      <c r="H219" s="24" t="s">
        <v>2676</v>
      </c>
      <c r="I219" s="24" t="s">
        <v>2654</v>
      </c>
      <c r="J219" s="24">
        <f>SE(I219="","-",SE(DATA.VALOR(I219)&lt;HOJE(),"VENCIDO",SE(DATA.VALOR(I219)-HOJE()&lt;=30,"CRÍTICO (&lt;=30D)","REGULAR")))</f>
      </c>
      <c r="K219" s="25" t="s">
        <v>2670</v>
      </c>
      <c r="L219" s="25" t="s">
        <v>2671</v>
      </c>
      <c r="M219" s="25" t="s">
        <v>63</v>
      </c>
      <c r="N219" s="25" t="s">
        <v>3400</v>
      </c>
    </row>
    <row r="220" ht="20" customHeight="1" spans="1:14" x14ac:dyDescent="0.25">
      <c r="A220" s="21" t="s">
        <v>3401</v>
      </c>
      <c r="B220" s="21" t="s">
        <v>2665</v>
      </c>
      <c r="C220" s="22" t="s">
        <v>2679</v>
      </c>
      <c r="D220" s="30">
        <v>39.8</v>
      </c>
      <c r="E220" s="31">
        <v>0</v>
      </c>
      <c r="F220" s="22" t="s">
        <v>2667</v>
      </c>
      <c r="G220" s="21" t="s">
        <v>2668</v>
      </c>
      <c r="H220" s="21" t="s">
        <v>2676</v>
      </c>
      <c r="I220" s="21" t="s">
        <v>2654</v>
      </c>
      <c r="J220" s="21">
        <f>SE(I220="","-",SE(DATA.VALOR(I220)&lt;HOJE(),"VENCIDO",SE(DATA.VALOR(I220)-HOJE()&lt;=30,"CRÍTICO (&lt;=30D)","REGULAR")))</f>
      </c>
      <c r="K220" s="22" t="s">
        <v>2670</v>
      </c>
      <c r="L220" s="22" t="s">
        <v>2671</v>
      </c>
      <c r="M220" s="22" t="s">
        <v>63</v>
      </c>
      <c r="N220" s="22" t="s">
        <v>3402</v>
      </c>
    </row>
    <row r="221" ht="20" customHeight="1" spans="1:14" s="23" customFormat="1" x14ac:dyDescent="0.25">
      <c r="A221" s="24" t="s">
        <v>3403</v>
      </c>
      <c r="B221" s="24" t="s">
        <v>2641</v>
      </c>
      <c r="C221" s="25" t="s">
        <v>2681</v>
      </c>
      <c r="D221" s="32">
        <v>98.4</v>
      </c>
      <c r="E221" s="33">
        <v>0</v>
      </c>
      <c r="F221" s="25" t="s">
        <v>2643</v>
      </c>
      <c r="G221" s="24" t="s">
        <v>2644</v>
      </c>
      <c r="H221" s="24" t="s">
        <v>2645</v>
      </c>
      <c r="I221" s="24" t="s">
        <v>2646</v>
      </c>
      <c r="J221" s="24">
        <f>SE(I221="","-",SE(DATA.VALOR(I221)&lt;HOJE(),"VENCIDO",SE(DATA.VALOR(I221)-HOJE()&lt;=30,"CRÍTICO (&lt;=30D)","REGULAR")))</f>
      </c>
      <c r="K221" s="25" t="s">
        <v>2647</v>
      </c>
      <c r="L221" s="25" t="s">
        <v>2648</v>
      </c>
      <c r="M221" s="25" t="s">
        <v>63</v>
      </c>
      <c r="N221" s="25" t="s">
        <v>3404</v>
      </c>
    </row>
    <row r="222" ht="20" customHeight="1" spans="1:14" x14ac:dyDescent="0.25">
      <c r="A222" s="21" t="s">
        <v>3405</v>
      </c>
      <c r="B222" s="21" t="s">
        <v>2641</v>
      </c>
      <c r="C222" s="22" t="s">
        <v>2642</v>
      </c>
      <c r="D222" s="30">
        <v>76</v>
      </c>
      <c r="E222" s="31">
        <v>0</v>
      </c>
      <c r="F222" s="22" t="s">
        <v>2643</v>
      </c>
      <c r="G222" s="21" t="s">
        <v>2644</v>
      </c>
      <c r="H222" s="21" t="s">
        <v>2645</v>
      </c>
      <c r="I222" s="21" t="s">
        <v>2646</v>
      </c>
      <c r="J222" s="21">
        <f>SE(I222="","-",SE(DATA.VALOR(I222)&lt;HOJE(),"VENCIDO",SE(DATA.VALOR(I222)-HOJE()&lt;=30,"CRÍTICO (&lt;=30D)","REGULAR")))</f>
      </c>
      <c r="K222" s="22" t="s">
        <v>2647</v>
      </c>
      <c r="L222" s="22" t="s">
        <v>2648</v>
      </c>
      <c r="M222" s="22" t="s">
        <v>63</v>
      </c>
      <c r="N222" s="22" t="s">
        <v>3404</v>
      </c>
    </row>
    <row r="223" ht="20" customHeight="1" spans="1:14" s="23" customFormat="1" x14ac:dyDescent="0.25">
      <c r="A223" s="24" t="s">
        <v>3406</v>
      </c>
      <c r="B223" s="24" t="s">
        <v>300</v>
      </c>
      <c r="C223" s="25" t="s">
        <v>2560</v>
      </c>
      <c r="D223" s="32">
        <v>240</v>
      </c>
      <c r="E223" s="33">
        <v>0</v>
      </c>
      <c r="F223" s="25" t="s">
        <v>2561</v>
      </c>
      <c r="G223" s="24" t="s">
        <v>3407</v>
      </c>
      <c r="H223" s="24" t="s">
        <v>3408</v>
      </c>
      <c r="I223" s="24" t="s">
        <v>367</v>
      </c>
      <c r="J223" s="24">
        <f>SE(I223="","-",SE(DATA.VALOR(I223)&lt;HOJE(),"VENCIDO",SE(DATA.VALOR(I223)-HOJE()&lt;=30,"CRÍTICO (&lt;=30D)","REGULAR")))</f>
      </c>
      <c r="K223" s="25" t="s">
        <v>63</v>
      </c>
      <c r="L223" s="25" t="s">
        <v>63</v>
      </c>
      <c r="M223" s="25" t="s">
        <v>3409</v>
      </c>
      <c r="N223" s="25" t="s">
        <v>3410</v>
      </c>
    </row>
    <row r="224" ht="20" customHeight="1" spans="1:14" x14ac:dyDescent="0.25">
      <c r="A224" s="21" t="s">
        <v>3411</v>
      </c>
      <c r="B224" s="21" t="s">
        <v>300</v>
      </c>
      <c r="C224" s="22" t="s">
        <v>2572</v>
      </c>
      <c r="D224" s="30">
        <v>200</v>
      </c>
      <c r="E224" s="31">
        <v>0</v>
      </c>
      <c r="F224" s="22" t="s">
        <v>2561</v>
      </c>
      <c r="G224" s="21" t="s">
        <v>3407</v>
      </c>
      <c r="H224" s="21" t="s">
        <v>3408</v>
      </c>
      <c r="I224" s="21" t="s">
        <v>367</v>
      </c>
      <c r="J224" s="21">
        <f>SE(I224="","-",SE(DATA.VALOR(I224)&lt;HOJE(),"VENCIDO",SE(DATA.VALOR(I224)-HOJE()&lt;=30,"CRÍTICO (&lt;=30D)","REGULAR")))</f>
      </c>
      <c r="K224" s="22" t="s">
        <v>63</v>
      </c>
      <c r="L224" s="22" t="s">
        <v>63</v>
      </c>
      <c r="M224" s="22" t="s">
        <v>3409</v>
      </c>
      <c r="N224" s="22" t="s">
        <v>3410</v>
      </c>
    </row>
    <row r="225" ht="20" customHeight="1" spans="1:14" s="23" customFormat="1" x14ac:dyDescent="0.25">
      <c r="A225" s="24" t="s">
        <v>3412</v>
      </c>
      <c r="B225" s="24" t="s">
        <v>300</v>
      </c>
      <c r="C225" s="25" t="s">
        <v>2959</v>
      </c>
      <c r="D225" s="32">
        <v>310</v>
      </c>
      <c r="E225" s="33">
        <v>2294</v>
      </c>
      <c r="F225" s="25" t="s">
        <v>2616</v>
      </c>
      <c r="G225" s="24" t="s">
        <v>3413</v>
      </c>
      <c r="H225" s="24" t="s">
        <v>3414</v>
      </c>
      <c r="I225" s="24" t="s">
        <v>364</v>
      </c>
      <c r="J225" s="24">
        <f>SE(I225="","-",SE(DATA.VALOR(I225)&lt;HOJE(),"VENCIDO",SE(DATA.VALOR(I225)-HOJE()&lt;=30,"CRÍTICO (&lt;=30D)","REGULAR")))</f>
      </c>
      <c r="K225" s="25" t="s">
        <v>3415</v>
      </c>
      <c r="L225" s="25" t="s">
        <v>3416</v>
      </c>
      <c r="M225" s="25" t="s">
        <v>3417</v>
      </c>
      <c r="N225" s="25" t="s">
        <v>3418</v>
      </c>
    </row>
    <row r="226" ht="20" customHeight="1" spans="1:14" x14ac:dyDescent="0.25">
      <c r="A226" s="21" t="s">
        <v>3419</v>
      </c>
      <c r="B226" s="21" t="s">
        <v>300</v>
      </c>
      <c r="C226" s="22" t="s">
        <v>3245</v>
      </c>
      <c r="D226" s="30">
        <v>10</v>
      </c>
      <c r="E226" s="31">
        <v>250</v>
      </c>
      <c r="F226" s="22" t="s">
        <v>2616</v>
      </c>
      <c r="G226" s="21" t="s">
        <v>3413</v>
      </c>
      <c r="H226" s="21" t="s">
        <v>3414</v>
      </c>
      <c r="I226" s="21" t="s">
        <v>364</v>
      </c>
      <c r="J226" s="21">
        <f>SE(I226="","-",SE(DATA.VALOR(I226)&lt;HOJE(),"VENCIDO",SE(DATA.VALOR(I226)-HOJE()&lt;=30,"CRÍTICO (&lt;=30D)","REGULAR")))</f>
      </c>
      <c r="K226" s="22" t="s">
        <v>3415</v>
      </c>
      <c r="L226" s="22" t="s">
        <v>3416</v>
      </c>
      <c r="M226" s="22" t="s">
        <v>3417</v>
      </c>
      <c r="N226" s="22" t="s">
        <v>3418</v>
      </c>
    </row>
    <row r="227" ht="20" customHeight="1" spans="1:14" s="23" customFormat="1" x14ac:dyDescent="0.25">
      <c r="A227" s="24" t="s">
        <v>3420</v>
      </c>
      <c r="B227" s="24" t="s">
        <v>222</v>
      </c>
      <c r="C227" s="25" t="s">
        <v>2666</v>
      </c>
      <c r="D227" s="32">
        <v>52</v>
      </c>
      <c r="E227" s="33">
        <v>163.79999999999998</v>
      </c>
      <c r="F227" s="25" t="s">
        <v>2809</v>
      </c>
      <c r="G227" s="24" t="s">
        <v>3421</v>
      </c>
      <c r="H227" s="24" t="s">
        <v>3422</v>
      </c>
      <c r="I227" s="24" t="s">
        <v>373</v>
      </c>
      <c r="J227" s="24">
        <f>SE(I227="","-",SE(DATA.VALOR(I227)&lt;HOJE(),"VENCIDO",SE(DATA.VALOR(I227)-HOJE()&lt;=30,"CRÍTICO (&lt;=30D)","REGULAR")))</f>
      </c>
      <c r="K227" s="25" t="s">
        <v>3423</v>
      </c>
      <c r="L227" s="25" t="s">
        <v>2814</v>
      </c>
      <c r="M227" s="25" t="s">
        <v>3424</v>
      </c>
      <c r="N227" s="25" t="s">
        <v>3425</v>
      </c>
    </row>
    <row r="228" ht="20" customHeight="1" spans="1:14" x14ac:dyDescent="0.25">
      <c r="A228" s="21" t="s">
        <v>3426</v>
      </c>
      <c r="B228" s="21" t="s">
        <v>222</v>
      </c>
      <c r="C228" s="22" t="s">
        <v>2675</v>
      </c>
      <c r="D228" s="30">
        <v>135</v>
      </c>
      <c r="E228" s="31">
        <v>533.25</v>
      </c>
      <c r="F228" s="22" t="s">
        <v>2809</v>
      </c>
      <c r="G228" s="21" t="s">
        <v>3421</v>
      </c>
      <c r="H228" s="21" t="s">
        <v>3422</v>
      </c>
      <c r="I228" s="21" t="s">
        <v>373</v>
      </c>
      <c r="J228" s="21">
        <f>SE(I228="","-",SE(DATA.VALOR(I228)&lt;HOJE(),"VENCIDO",SE(DATA.VALOR(I228)-HOJE()&lt;=30,"CRÍTICO (&lt;=30D)","REGULAR")))</f>
      </c>
      <c r="K228" s="22" t="s">
        <v>3423</v>
      </c>
      <c r="L228" s="22" t="s">
        <v>2814</v>
      </c>
      <c r="M228" s="22" t="s">
        <v>3424</v>
      </c>
      <c r="N228" s="22" t="s">
        <v>3425</v>
      </c>
    </row>
    <row r="229" ht="20" customHeight="1" spans="1:14" s="23" customFormat="1" x14ac:dyDescent="0.25">
      <c r="A229" s="24" t="s">
        <v>3427</v>
      </c>
      <c r="B229" s="24" t="s">
        <v>222</v>
      </c>
      <c r="C229" s="25" t="s">
        <v>2696</v>
      </c>
      <c r="D229" s="32">
        <v>176</v>
      </c>
      <c r="E229" s="33">
        <v>633.6</v>
      </c>
      <c r="F229" s="25" t="s">
        <v>2809</v>
      </c>
      <c r="G229" s="24" t="s">
        <v>3421</v>
      </c>
      <c r="H229" s="24" t="s">
        <v>3422</v>
      </c>
      <c r="I229" s="24" t="s">
        <v>373</v>
      </c>
      <c r="J229" s="24">
        <f>SE(I229="","-",SE(DATA.VALOR(I229)&lt;HOJE(),"VENCIDO",SE(DATA.VALOR(I229)-HOJE()&lt;=30,"CRÍTICO (&lt;=30D)","REGULAR")))</f>
      </c>
      <c r="K229" s="25" t="s">
        <v>3423</v>
      </c>
      <c r="L229" s="25" t="s">
        <v>2814</v>
      </c>
      <c r="M229" s="25" t="s">
        <v>3424</v>
      </c>
      <c r="N229" s="25" t="s">
        <v>3425</v>
      </c>
    </row>
    <row r="230" ht="20" customHeight="1" spans="1:14" x14ac:dyDescent="0.25">
      <c r="A230" s="21" t="s">
        <v>3428</v>
      </c>
      <c r="B230" s="21" t="s">
        <v>222</v>
      </c>
      <c r="C230" s="22" t="s">
        <v>2746</v>
      </c>
      <c r="D230" s="30">
        <v>212</v>
      </c>
      <c r="E230" s="31">
        <v>1250.8000000000002</v>
      </c>
      <c r="F230" s="22" t="s">
        <v>2809</v>
      </c>
      <c r="G230" s="21" t="s">
        <v>3421</v>
      </c>
      <c r="H230" s="21" t="s">
        <v>3422</v>
      </c>
      <c r="I230" s="21" t="s">
        <v>373</v>
      </c>
      <c r="J230" s="21">
        <f>SE(I230="","-",SE(DATA.VALOR(I230)&lt;HOJE(),"VENCIDO",SE(DATA.VALOR(I230)-HOJE()&lt;=30,"CRÍTICO (&lt;=30D)","REGULAR")))</f>
      </c>
      <c r="K230" s="22" t="s">
        <v>3423</v>
      </c>
      <c r="L230" s="22" t="s">
        <v>2814</v>
      </c>
      <c r="M230" s="22" t="s">
        <v>3424</v>
      </c>
      <c r="N230" s="22" t="s">
        <v>3425</v>
      </c>
    </row>
    <row r="231" ht="20" customHeight="1" spans="1:14" s="23" customFormat="1" x14ac:dyDescent="0.25">
      <c r="A231" s="24" t="s">
        <v>3429</v>
      </c>
      <c r="B231" s="24" t="s">
        <v>222</v>
      </c>
      <c r="C231" s="25" t="s">
        <v>2679</v>
      </c>
      <c r="D231" s="32">
        <v>40</v>
      </c>
      <c r="E231" s="33">
        <v>219.20000000000002</v>
      </c>
      <c r="F231" s="25" t="s">
        <v>2809</v>
      </c>
      <c r="G231" s="24" t="s">
        <v>3421</v>
      </c>
      <c r="H231" s="24" t="s">
        <v>3422</v>
      </c>
      <c r="I231" s="24" t="s">
        <v>373</v>
      </c>
      <c r="J231" s="24">
        <f>SE(I231="","-",SE(DATA.VALOR(I231)&lt;HOJE(),"VENCIDO",SE(DATA.VALOR(I231)-HOJE()&lt;=30,"CRÍTICO (&lt;=30D)","REGULAR")))</f>
      </c>
      <c r="K231" s="25" t="s">
        <v>3423</v>
      </c>
      <c r="L231" s="25" t="s">
        <v>2814</v>
      </c>
      <c r="M231" s="25" t="s">
        <v>3424</v>
      </c>
      <c r="N231" s="25" t="s">
        <v>3425</v>
      </c>
    </row>
    <row r="232" ht="20" customHeight="1" spans="1:14" x14ac:dyDescent="0.25">
      <c r="A232" s="21" t="s">
        <v>3430</v>
      </c>
      <c r="B232" s="21" t="s">
        <v>222</v>
      </c>
      <c r="C232" s="22" t="s">
        <v>2741</v>
      </c>
      <c r="D232" s="30">
        <v>298</v>
      </c>
      <c r="E232" s="31">
        <v>1013.1999999999999</v>
      </c>
      <c r="F232" s="22" t="s">
        <v>2809</v>
      </c>
      <c r="G232" s="21" t="s">
        <v>3421</v>
      </c>
      <c r="H232" s="21" t="s">
        <v>3422</v>
      </c>
      <c r="I232" s="21" t="s">
        <v>373</v>
      </c>
      <c r="J232" s="21">
        <f>SE(I232="","-",SE(DATA.VALOR(I232)&lt;HOJE(),"VENCIDO",SE(DATA.VALOR(I232)-HOJE()&lt;=30,"CRÍTICO (&lt;=30D)","REGULAR")))</f>
      </c>
      <c r="K232" s="22" t="s">
        <v>3423</v>
      </c>
      <c r="L232" s="22" t="s">
        <v>2814</v>
      </c>
      <c r="M232" s="22" t="s">
        <v>3424</v>
      </c>
      <c r="N232" s="22" t="s">
        <v>3425</v>
      </c>
    </row>
    <row r="233" ht="20" customHeight="1" spans="1:14" s="23" customFormat="1" x14ac:dyDescent="0.25">
      <c r="A233" s="24" t="s">
        <v>3431</v>
      </c>
      <c r="B233" s="24" t="s">
        <v>222</v>
      </c>
      <c r="C233" s="25" t="s">
        <v>2681</v>
      </c>
      <c r="D233" s="32">
        <v>30</v>
      </c>
      <c r="E233" s="33">
        <v>195</v>
      </c>
      <c r="F233" s="25" t="s">
        <v>2809</v>
      </c>
      <c r="G233" s="24" t="s">
        <v>3421</v>
      </c>
      <c r="H233" s="24" t="s">
        <v>3422</v>
      </c>
      <c r="I233" s="24" t="s">
        <v>373</v>
      </c>
      <c r="J233" s="24">
        <f>SE(I233="","-",SE(DATA.VALOR(I233)&lt;HOJE(),"VENCIDO",SE(DATA.VALOR(I233)-HOJE()&lt;=30,"CRÍTICO (&lt;=30D)","REGULAR")))</f>
      </c>
      <c r="K233" s="25" t="s">
        <v>3423</v>
      </c>
      <c r="L233" s="25" t="s">
        <v>2814</v>
      </c>
      <c r="M233" s="25" t="s">
        <v>3424</v>
      </c>
      <c r="N233" s="25" t="s">
        <v>3425</v>
      </c>
    </row>
    <row r="234" ht="20" customHeight="1" spans="1:14" x14ac:dyDescent="0.25">
      <c r="A234" s="21" t="s">
        <v>3432</v>
      </c>
      <c r="B234" s="21" t="s">
        <v>300</v>
      </c>
      <c r="C234" s="22" t="s">
        <v>2529</v>
      </c>
      <c r="D234" s="30">
        <v>100</v>
      </c>
      <c r="E234" s="31">
        <v>1500</v>
      </c>
      <c r="F234" s="22" t="s">
        <v>2530</v>
      </c>
      <c r="G234" s="21" t="s">
        <v>3433</v>
      </c>
      <c r="H234" s="21" t="s">
        <v>3434</v>
      </c>
      <c r="I234" s="21" t="s">
        <v>2148</v>
      </c>
      <c r="J234" s="21">
        <f>SE(I234="","-",SE(DATA.VALOR(I234)&lt;HOJE(),"VENCIDO",SE(DATA.VALOR(I234)-HOJE()&lt;=30,"CRÍTICO (&lt;=30D)","REGULAR")))</f>
      </c>
      <c r="K234" s="22" t="s">
        <v>3435</v>
      </c>
      <c r="L234" s="22" t="s">
        <v>3436</v>
      </c>
      <c r="M234" s="22" t="s">
        <v>3437</v>
      </c>
      <c r="N234" s="22" t="s">
        <v>3438</v>
      </c>
    </row>
    <row r="235" ht="20" customHeight="1" spans="1:14" s="23" customFormat="1" x14ac:dyDescent="0.25">
      <c r="A235" s="24" t="s">
        <v>3439</v>
      </c>
      <c r="B235" s="24" t="s">
        <v>300</v>
      </c>
      <c r="C235" s="25" t="s">
        <v>2535</v>
      </c>
      <c r="D235" s="32">
        <v>208</v>
      </c>
      <c r="E235" s="33">
        <v>624</v>
      </c>
      <c r="F235" s="25" t="s">
        <v>2530</v>
      </c>
      <c r="G235" s="24" t="s">
        <v>3433</v>
      </c>
      <c r="H235" s="24" t="s">
        <v>3440</v>
      </c>
      <c r="I235" s="24" t="s">
        <v>3441</v>
      </c>
      <c r="J235" s="24">
        <f>SE(I235="","-",SE(DATA.VALOR(I235)&lt;HOJE(),"VENCIDO",SE(DATA.VALOR(I235)-HOJE()&lt;=30,"CRÍTICO (&lt;=30D)","REGULAR")))</f>
      </c>
      <c r="K235" s="25" t="s">
        <v>3435</v>
      </c>
      <c r="L235" s="25" t="s">
        <v>3436</v>
      </c>
      <c r="M235" s="25" t="s">
        <v>3437</v>
      </c>
      <c r="N235" s="25" t="s">
        <v>3438</v>
      </c>
    </row>
    <row r="236" ht="20" customHeight="1" spans="1:14" x14ac:dyDescent="0.25">
      <c r="A236" s="21" t="s">
        <v>3442</v>
      </c>
      <c r="B236" s="21" t="s">
        <v>300</v>
      </c>
      <c r="C236" s="22" t="s">
        <v>2540</v>
      </c>
      <c r="D236" s="30">
        <v>9350</v>
      </c>
      <c r="E236" s="31">
        <v>3272.5</v>
      </c>
      <c r="F236" s="22" t="s">
        <v>2530</v>
      </c>
      <c r="G236" s="21" t="s">
        <v>3443</v>
      </c>
      <c r="H236" s="21" t="s">
        <v>3444</v>
      </c>
      <c r="I236" s="21" t="s">
        <v>2542</v>
      </c>
      <c r="J236" s="21">
        <f>SE(I236="","-",SE(DATA.VALOR(I236)&lt;HOJE(),"VENCIDO",SE(DATA.VALOR(I236)-HOJE()&lt;=30,"CRÍTICO (&lt;=30D)","REGULAR")))</f>
      </c>
      <c r="K236" s="22" t="s">
        <v>3445</v>
      </c>
      <c r="L236" s="22" t="s">
        <v>3446</v>
      </c>
      <c r="M236" s="22" t="s">
        <v>3437</v>
      </c>
      <c r="N236" s="22" t="s">
        <v>3447</v>
      </c>
    </row>
    <row r="237" ht="20" customHeight="1" spans="1:14" s="23" customFormat="1" x14ac:dyDescent="0.25">
      <c r="A237" s="24" t="s">
        <v>3448</v>
      </c>
      <c r="B237" s="24" t="s">
        <v>300</v>
      </c>
      <c r="C237" s="25" t="s">
        <v>3449</v>
      </c>
      <c r="D237" s="32">
        <v>1500</v>
      </c>
      <c r="E237" s="33">
        <v>11700</v>
      </c>
      <c r="F237" s="25" t="s">
        <v>3450</v>
      </c>
      <c r="G237" s="24" t="s">
        <v>3451</v>
      </c>
      <c r="H237" s="24" t="s">
        <v>3452</v>
      </c>
      <c r="I237" s="24" t="s">
        <v>3453</v>
      </c>
      <c r="J237" s="24">
        <f>SE(I237="","-",SE(DATA.VALOR(I237)&lt;HOJE(),"VENCIDO",SE(DATA.VALOR(I237)-HOJE()&lt;=30,"CRÍTICO (&lt;=30D)","REGULAR")))</f>
      </c>
      <c r="K237" s="25" t="s">
        <v>3454</v>
      </c>
      <c r="L237" s="25" t="s">
        <v>3455</v>
      </c>
      <c r="M237" s="25" t="s">
        <v>3456</v>
      </c>
      <c r="N237" s="25" t="s">
        <v>3457</v>
      </c>
    </row>
    <row r="238" ht="20" customHeight="1" spans="1:14" x14ac:dyDescent="0.25">
      <c r="A238" s="21" t="s">
        <v>3458</v>
      </c>
      <c r="B238" s="21" t="s">
        <v>300</v>
      </c>
      <c r="C238" s="22" t="s">
        <v>3459</v>
      </c>
      <c r="D238" s="30">
        <v>500</v>
      </c>
      <c r="E238" s="31">
        <v>3150</v>
      </c>
      <c r="F238" s="22" t="s">
        <v>3460</v>
      </c>
      <c r="G238" s="21" t="s">
        <v>2554</v>
      </c>
      <c r="H238" s="21" t="s">
        <v>3461</v>
      </c>
      <c r="I238" s="21" t="s">
        <v>3462</v>
      </c>
      <c r="J238" s="21">
        <f>SE(I238="","-",SE(DATA.VALOR(I238)&lt;HOJE(),"VENCIDO",SE(DATA.VALOR(I238)-HOJE()&lt;=30,"CRÍTICO (&lt;=30D)","REGULAR")))</f>
      </c>
      <c r="K238" s="22" t="s">
        <v>3463</v>
      </c>
      <c r="L238" s="22" t="s">
        <v>3464</v>
      </c>
      <c r="M238" s="22" t="s">
        <v>3465</v>
      </c>
      <c r="N238" s="22" t="s">
        <v>3466</v>
      </c>
    </row>
    <row r="239" ht="20" customHeight="1" spans="1:14" s="23" customFormat="1" x14ac:dyDescent="0.25">
      <c r="A239" s="24" t="s">
        <v>3467</v>
      </c>
      <c r="B239" s="24" t="s">
        <v>3123</v>
      </c>
      <c r="C239" s="25" t="s">
        <v>2968</v>
      </c>
      <c r="D239" s="32">
        <v>750</v>
      </c>
      <c r="E239" s="33">
        <v>1380</v>
      </c>
      <c r="F239" s="25" t="s">
        <v>2616</v>
      </c>
      <c r="G239" s="24" t="s">
        <v>3468</v>
      </c>
      <c r="H239" s="24" t="s">
        <v>3469</v>
      </c>
      <c r="I239" s="24" t="s">
        <v>580</v>
      </c>
      <c r="J239" s="24">
        <f>SE(I239="","-",SE(DATA.VALOR(I239)&lt;HOJE(),"VENCIDO",SE(DATA.VALOR(I239)-HOJE()&lt;=30,"CRÍTICO (&lt;=30D)","REGULAR")))</f>
      </c>
      <c r="K239" s="25" t="s">
        <v>3470</v>
      </c>
      <c r="L239" s="25" t="s">
        <v>3471</v>
      </c>
      <c r="M239" s="25" t="s">
        <v>3472</v>
      </c>
      <c r="N239" s="25" t="s">
        <v>3473</v>
      </c>
    </row>
    <row r="240" ht="20" customHeight="1" spans="1:14" x14ac:dyDescent="0.25">
      <c r="A240" s="21" t="s">
        <v>3474</v>
      </c>
      <c r="B240" s="21" t="s">
        <v>3123</v>
      </c>
      <c r="C240" s="22" t="s">
        <v>2975</v>
      </c>
      <c r="D240" s="30">
        <v>300</v>
      </c>
      <c r="E240" s="31">
        <v>486.00000000000006</v>
      </c>
      <c r="F240" s="22" t="s">
        <v>2616</v>
      </c>
      <c r="G240" s="21" t="s">
        <v>3468</v>
      </c>
      <c r="H240" s="21" t="s">
        <v>3469</v>
      </c>
      <c r="I240" s="21" t="s">
        <v>580</v>
      </c>
      <c r="J240" s="21">
        <f>SE(I240="","-",SE(DATA.VALOR(I240)&lt;HOJE(),"VENCIDO",SE(DATA.VALOR(I240)-HOJE()&lt;=30,"CRÍTICO (&lt;=30D)","REGULAR")))</f>
      </c>
      <c r="K240" s="22" t="s">
        <v>3470</v>
      </c>
      <c r="L240" s="22" t="s">
        <v>3471</v>
      </c>
      <c r="M240" s="22" t="s">
        <v>3472</v>
      </c>
      <c r="N240" s="22" t="s">
        <v>3473</v>
      </c>
    </row>
    <row r="241" ht="20" customHeight="1" spans="1:14" s="23" customFormat="1" x14ac:dyDescent="0.25">
      <c r="A241" s="24" t="s">
        <v>3475</v>
      </c>
      <c r="B241" s="24" t="s">
        <v>334</v>
      </c>
      <c r="C241" s="25" t="s">
        <v>2666</v>
      </c>
      <c r="D241" s="32">
        <v>59</v>
      </c>
      <c r="E241" s="33">
        <v>185.85</v>
      </c>
      <c r="F241" s="25" t="s">
        <v>2863</v>
      </c>
      <c r="G241" s="24" t="s">
        <v>733</v>
      </c>
      <c r="H241" s="24" t="s">
        <v>3476</v>
      </c>
      <c r="I241" s="24" t="s">
        <v>639</v>
      </c>
      <c r="J241" s="24">
        <f>SE(I241="","-",SE(DATA.VALOR(I241)&lt;HOJE(),"VENCIDO",SE(DATA.VALOR(I241)-HOJE()&lt;=30,"CRÍTICO (&lt;=30D)","REGULAR")))</f>
      </c>
      <c r="K241" s="25" t="s">
        <v>3477</v>
      </c>
      <c r="L241" s="25" t="s">
        <v>2868</v>
      </c>
      <c r="M241" s="25" t="s">
        <v>3478</v>
      </c>
      <c r="N241" s="25" t="s">
        <v>3479</v>
      </c>
    </row>
    <row r="242" ht="20" customHeight="1" spans="1:14" x14ac:dyDescent="0.25">
      <c r="A242" s="21" t="s">
        <v>3480</v>
      </c>
      <c r="B242" s="21" t="s">
        <v>334</v>
      </c>
      <c r="C242" s="22" t="s">
        <v>2716</v>
      </c>
      <c r="D242" s="30">
        <v>187.7</v>
      </c>
      <c r="E242" s="31">
        <v>957.2699999999999</v>
      </c>
      <c r="F242" s="22" t="s">
        <v>2863</v>
      </c>
      <c r="G242" s="21" t="s">
        <v>733</v>
      </c>
      <c r="H242" s="21" t="s">
        <v>3476</v>
      </c>
      <c r="I242" s="21" t="s">
        <v>490</v>
      </c>
      <c r="J242" s="21">
        <f>SE(I242="","-",SE(DATA.VALOR(I242)&lt;HOJE(),"VENCIDO",SE(DATA.VALOR(I242)-HOJE()&lt;=30,"CRÍTICO (&lt;=30D)","REGULAR")))</f>
      </c>
      <c r="K242" s="22" t="s">
        <v>3477</v>
      </c>
      <c r="L242" s="22" t="s">
        <v>2868</v>
      </c>
      <c r="M242" s="22" t="s">
        <v>3478</v>
      </c>
      <c r="N242" s="22" t="s">
        <v>3479</v>
      </c>
    </row>
    <row r="243" ht="20" customHeight="1" spans="1:14" s="23" customFormat="1" x14ac:dyDescent="0.25">
      <c r="A243" s="24" t="s">
        <v>3481</v>
      </c>
      <c r="B243" s="24" t="s">
        <v>334</v>
      </c>
      <c r="C243" s="25" t="s">
        <v>2696</v>
      </c>
      <c r="D243" s="32">
        <v>137.72</v>
      </c>
      <c r="E243" s="33">
        <v>495.79200000000003</v>
      </c>
      <c r="F243" s="25" t="s">
        <v>2863</v>
      </c>
      <c r="G243" s="24" t="s">
        <v>733</v>
      </c>
      <c r="H243" s="24" t="s">
        <v>3476</v>
      </c>
      <c r="I243" s="24" t="s">
        <v>490</v>
      </c>
      <c r="J243" s="24">
        <f>SE(I243="","-",SE(DATA.VALOR(I243)&lt;HOJE(),"VENCIDO",SE(DATA.VALOR(I243)-HOJE()&lt;=30,"CRÍTICO (&lt;=30D)","REGULAR")))</f>
      </c>
      <c r="K243" s="25" t="s">
        <v>3477</v>
      </c>
      <c r="L243" s="25" t="s">
        <v>2868</v>
      </c>
      <c r="M243" s="25" t="s">
        <v>3478</v>
      </c>
      <c r="N243" s="25" t="s">
        <v>3479</v>
      </c>
    </row>
    <row r="244" ht="20" customHeight="1" spans="1:14" x14ac:dyDescent="0.25">
      <c r="A244" s="21" t="s">
        <v>3482</v>
      </c>
      <c r="B244" s="21" t="s">
        <v>231</v>
      </c>
      <c r="C244" s="22" t="s">
        <v>3483</v>
      </c>
      <c r="D244" s="30">
        <v>600</v>
      </c>
      <c r="E244" s="31">
        <v>7770</v>
      </c>
      <c r="F244" s="22" t="s">
        <v>3484</v>
      </c>
      <c r="G244" s="21" t="s">
        <v>3485</v>
      </c>
      <c r="H244" s="21" t="s">
        <v>3486</v>
      </c>
      <c r="I244" s="21" t="s">
        <v>3487</v>
      </c>
      <c r="J244" s="21">
        <f>SE(I244="","-",SE(DATA.VALOR(I244)&lt;HOJE(),"VENCIDO",SE(DATA.VALOR(I244)-HOJE()&lt;=30,"CRÍTICO (&lt;=30D)","REGULAR")))</f>
      </c>
      <c r="K244" s="22" t="s">
        <v>3488</v>
      </c>
      <c r="L244" s="22" t="s">
        <v>3489</v>
      </c>
      <c r="M244" s="22" t="s">
        <v>3490</v>
      </c>
      <c r="N244" s="22" t="s">
        <v>3491</v>
      </c>
    </row>
    <row r="245" ht="20" customHeight="1" spans="1:14" s="23" customFormat="1" x14ac:dyDescent="0.25">
      <c r="A245" s="24" t="s">
        <v>3492</v>
      </c>
      <c r="B245" s="24" t="s">
        <v>373</v>
      </c>
      <c r="C245" s="25" t="s">
        <v>2666</v>
      </c>
      <c r="D245" s="32">
        <v>70</v>
      </c>
      <c r="E245" s="33">
        <v>0</v>
      </c>
      <c r="F245" s="25" t="s">
        <v>2757</v>
      </c>
      <c r="G245" s="24" t="s">
        <v>3202</v>
      </c>
      <c r="H245" s="24" t="s">
        <v>3203</v>
      </c>
      <c r="I245" s="24" t="s">
        <v>65</v>
      </c>
      <c r="J245" s="24">
        <f>SE(I245="","-",SE(DATA.VALOR(I245)&lt;HOJE(),"VENCIDO",SE(DATA.VALOR(I245)-HOJE()&lt;=30,"CRÍTICO (&lt;=30D)","REGULAR")))</f>
      </c>
      <c r="K245" s="25" t="s">
        <v>63</v>
      </c>
      <c r="L245" s="25" t="s">
        <v>63</v>
      </c>
      <c r="M245" s="25" t="s">
        <v>3204</v>
      </c>
      <c r="N245" s="25" t="s">
        <v>3493</v>
      </c>
    </row>
    <row r="246" ht="20" customHeight="1" spans="1:14" x14ac:dyDescent="0.25">
      <c r="A246" s="21" t="s">
        <v>3494</v>
      </c>
      <c r="B246" s="21" t="s">
        <v>373</v>
      </c>
      <c r="C246" s="22" t="s">
        <v>2679</v>
      </c>
      <c r="D246" s="30">
        <v>39</v>
      </c>
      <c r="E246" s="31">
        <v>0</v>
      </c>
      <c r="F246" s="22" t="s">
        <v>2757</v>
      </c>
      <c r="G246" s="21" t="s">
        <v>3202</v>
      </c>
      <c r="H246" s="21" t="s">
        <v>3203</v>
      </c>
      <c r="I246" s="21" t="s">
        <v>65</v>
      </c>
      <c r="J246" s="21">
        <f>SE(I246="","-",SE(DATA.VALOR(I246)&lt;HOJE(),"VENCIDO",SE(DATA.VALOR(I246)-HOJE()&lt;=30,"CRÍTICO (&lt;=30D)","REGULAR")))</f>
      </c>
      <c r="K246" s="22" t="s">
        <v>63</v>
      </c>
      <c r="L246" s="22" t="s">
        <v>63</v>
      </c>
      <c r="M246" s="22" t="s">
        <v>3204</v>
      </c>
      <c r="N246" s="22" t="s">
        <v>3495</v>
      </c>
    </row>
    <row r="247" ht="20" customHeight="1" spans="1:14" s="23" customFormat="1" x14ac:dyDescent="0.25">
      <c r="A247" s="24" t="s">
        <v>3496</v>
      </c>
      <c r="B247" s="24" t="s">
        <v>373</v>
      </c>
      <c r="C247" s="25" t="s">
        <v>2696</v>
      </c>
      <c r="D247" s="32">
        <v>107</v>
      </c>
      <c r="E247" s="33">
        <v>0</v>
      </c>
      <c r="F247" s="25" t="s">
        <v>2757</v>
      </c>
      <c r="G247" s="24" t="s">
        <v>3202</v>
      </c>
      <c r="H247" s="24" t="s">
        <v>3203</v>
      </c>
      <c r="I247" s="24" t="s">
        <v>65</v>
      </c>
      <c r="J247" s="24">
        <f>SE(I247="","-",SE(DATA.VALOR(I247)&lt;HOJE(),"VENCIDO",SE(DATA.VALOR(I247)-HOJE()&lt;=30,"CRÍTICO (&lt;=30D)","REGULAR")))</f>
      </c>
      <c r="K247" s="25" t="s">
        <v>63</v>
      </c>
      <c r="L247" s="25" t="s">
        <v>63</v>
      </c>
      <c r="M247" s="25" t="s">
        <v>3204</v>
      </c>
      <c r="N247" s="25" t="s">
        <v>3495</v>
      </c>
    </row>
    <row r="248" ht="20" customHeight="1" spans="1:14" x14ac:dyDescent="0.25">
      <c r="A248" s="21" t="s">
        <v>3497</v>
      </c>
      <c r="B248" s="21" t="s">
        <v>373</v>
      </c>
      <c r="C248" s="22" t="s">
        <v>2666</v>
      </c>
      <c r="D248" s="30">
        <v>73.9</v>
      </c>
      <c r="E248" s="31">
        <v>0</v>
      </c>
      <c r="F248" s="22" t="s">
        <v>2796</v>
      </c>
      <c r="G248" s="21" t="s">
        <v>3498</v>
      </c>
      <c r="H248" s="21" t="s">
        <v>3499</v>
      </c>
      <c r="I248" s="21" t="s">
        <v>63</v>
      </c>
      <c r="J248" s="21" t="s">
        <v>20</v>
      </c>
      <c r="K248" s="22" t="s">
        <v>63</v>
      </c>
      <c r="L248" s="22" t="s">
        <v>63</v>
      </c>
      <c r="M248" s="22" t="s">
        <v>63</v>
      </c>
      <c r="N248" s="22" t="s">
        <v>3500</v>
      </c>
    </row>
    <row r="249" ht="20" customHeight="1" spans="1:14" s="23" customFormat="1" x14ac:dyDescent="0.25">
      <c r="A249" s="24" t="s">
        <v>3501</v>
      </c>
      <c r="B249" s="24" t="s">
        <v>373</v>
      </c>
      <c r="C249" s="25" t="s">
        <v>2741</v>
      </c>
      <c r="D249" s="32">
        <v>149.3</v>
      </c>
      <c r="E249" s="33">
        <v>0</v>
      </c>
      <c r="F249" s="25" t="s">
        <v>2796</v>
      </c>
      <c r="G249" s="24" t="s">
        <v>3498</v>
      </c>
      <c r="H249" s="24" t="s">
        <v>3499</v>
      </c>
      <c r="I249" s="24" t="s">
        <v>63</v>
      </c>
      <c r="J249" s="24" t="s">
        <v>20</v>
      </c>
      <c r="K249" s="25" t="s">
        <v>63</v>
      </c>
      <c r="L249" s="25" t="s">
        <v>63</v>
      </c>
      <c r="M249" s="25" t="s">
        <v>63</v>
      </c>
      <c r="N249" s="25" t="s">
        <v>3500</v>
      </c>
    </row>
    <row r="250" ht="20" customHeight="1" spans="1:14" x14ac:dyDescent="0.25">
      <c r="A250" s="21" t="s">
        <v>3502</v>
      </c>
      <c r="B250" s="21" t="s">
        <v>373</v>
      </c>
      <c r="C250" s="22" t="s">
        <v>2746</v>
      </c>
      <c r="D250" s="30">
        <v>218.75</v>
      </c>
      <c r="E250" s="31">
        <v>0</v>
      </c>
      <c r="F250" s="22" t="s">
        <v>2796</v>
      </c>
      <c r="G250" s="21" t="s">
        <v>3498</v>
      </c>
      <c r="H250" s="21" t="s">
        <v>3499</v>
      </c>
      <c r="I250" s="21" t="s">
        <v>63</v>
      </c>
      <c r="J250" s="21" t="s">
        <v>20</v>
      </c>
      <c r="K250" s="22" t="s">
        <v>63</v>
      </c>
      <c r="L250" s="22" t="s">
        <v>63</v>
      </c>
      <c r="M250" s="22" t="s">
        <v>63</v>
      </c>
      <c r="N250" s="22" t="s">
        <v>3503</v>
      </c>
    </row>
    <row r="251" ht="20" customHeight="1" spans="1:14" s="23" customFormat="1" x14ac:dyDescent="0.25">
      <c r="A251" s="24" t="s">
        <v>3504</v>
      </c>
      <c r="B251" s="24" t="s">
        <v>373</v>
      </c>
      <c r="C251" s="25" t="s">
        <v>2773</v>
      </c>
      <c r="D251" s="32">
        <v>36.6</v>
      </c>
      <c r="E251" s="33">
        <v>0</v>
      </c>
      <c r="F251" s="25" t="s">
        <v>2796</v>
      </c>
      <c r="G251" s="24" t="s">
        <v>3498</v>
      </c>
      <c r="H251" s="24" t="s">
        <v>3499</v>
      </c>
      <c r="I251" s="24" t="s">
        <v>63</v>
      </c>
      <c r="J251" s="24" t="s">
        <v>20</v>
      </c>
      <c r="K251" s="25" t="s">
        <v>63</v>
      </c>
      <c r="L251" s="25" t="s">
        <v>63</v>
      </c>
      <c r="M251" s="25" t="s">
        <v>63</v>
      </c>
      <c r="N251" s="25" t="s">
        <v>3503</v>
      </c>
    </row>
    <row r="252" ht="20" customHeight="1" spans="1:14" x14ac:dyDescent="0.25">
      <c r="A252" s="21" t="s">
        <v>3505</v>
      </c>
      <c r="B252" s="21" t="s">
        <v>92</v>
      </c>
      <c r="C252" s="22" t="s">
        <v>2642</v>
      </c>
      <c r="D252" s="30">
        <v>186</v>
      </c>
      <c r="E252" s="31">
        <v>539.4</v>
      </c>
      <c r="F252" s="22" t="s">
        <v>2643</v>
      </c>
      <c r="G252" s="21" t="s">
        <v>3506</v>
      </c>
      <c r="H252" s="21" t="s">
        <v>3507</v>
      </c>
      <c r="I252" s="21" t="s">
        <v>222</v>
      </c>
      <c r="J252" s="21">
        <f>SE(I252="","-",SE(DATA.VALOR(I252)&lt;HOJE(),"VENCIDO",SE(DATA.VALOR(I252)-HOJE()&lt;=30,"CRÍTICO (&lt;=30D)","REGULAR")))</f>
      </c>
      <c r="K252" s="22" t="s">
        <v>3508</v>
      </c>
      <c r="L252" s="22" t="s">
        <v>2648</v>
      </c>
      <c r="M252" s="22" t="s">
        <v>3509</v>
      </c>
      <c r="N252" s="22" t="s">
        <v>3510</v>
      </c>
    </row>
    <row r="253" ht="20" customHeight="1" spans="1:14" s="23" customFormat="1" x14ac:dyDescent="0.25">
      <c r="A253" s="24" t="s">
        <v>3511</v>
      </c>
      <c r="B253" s="24" t="s">
        <v>231</v>
      </c>
      <c r="C253" s="25" t="s">
        <v>2709</v>
      </c>
      <c r="D253" s="32">
        <v>206</v>
      </c>
      <c r="E253" s="33">
        <v>0</v>
      </c>
      <c r="F253" s="25" t="s">
        <v>2700</v>
      </c>
      <c r="G253" s="24" t="s">
        <v>3512</v>
      </c>
      <c r="H253" s="24" t="s">
        <v>3513</v>
      </c>
      <c r="I253" s="24" t="s">
        <v>231</v>
      </c>
      <c r="J253" s="24">
        <f>SE(I253="","-",SE(DATA.VALOR(I253)&lt;HOJE(),"VENCIDO",SE(DATA.VALOR(I253)-HOJE()&lt;=30,"CRÍTICO (&lt;=30D)","REGULAR")))</f>
      </c>
      <c r="K253" s="25" t="s">
        <v>63</v>
      </c>
      <c r="L253" s="25" t="s">
        <v>63</v>
      </c>
      <c r="M253" s="25" t="s">
        <v>3514</v>
      </c>
      <c r="N253" s="25" t="s">
        <v>3515</v>
      </c>
    </row>
    <row r="254" ht="20" customHeight="1" spans="1:14" x14ac:dyDescent="0.25">
      <c r="A254" s="21" t="s">
        <v>3516</v>
      </c>
      <c r="B254" s="21" t="s">
        <v>231</v>
      </c>
      <c r="C254" s="22" t="s">
        <v>2712</v>
      </c>
      <c r="D254" s="30">
        <v>43</v>
      </c>
      <c r="E254" s="31">
        <v>0</v>
      </c>
      <c r="F254" s="22" t="s">
        <v>2700</v>
      </c>
      <c r="G254" s="21" t="s">
        <v>3512</v>
      </c>
      <c r="H254" s="21" t="s">
        <v>3513</v>
      </c>
      <c r="I254" s="21" t="s">
        <v>231</v>
      </c>
      <c r="J254" s="21">
        <f>SE(I254="","-",SE(DATA.VALOR(I254)&lt;HOJE(),"VENCIDO",SE(DATA.VALOR(I254)-HOJE()&lt;=30,"CRÍTICO (&lt;=30D)","REGULAR")))</f>
      </c>
      <c r="K254" s="22" t="s">
        <v>63</v>
      </c>
      <c r="L254" s="22" t="s">
        <v>63</v>
      </c>
      <c r="M254" s="22" t="s">
        <v>3514</v>
      </c>
      <c r="N254" s="22" t="s">
        <v>3515</v>
      </c>
    </row>
    <row r="255" ht="20" customHeight="1" spans="1:14" s="23" customFormat="1" x14ac:dyDescent="0.25">
      <c r="A255" s="24" t="s">
        <v>3517</v>
      </c>
      <c r="B255" s="24" t="s">
        <v>231</v>
      </c>
      <c r="C255" s="25" t="s">
        <v>2793</v>
      </c>
      <c r="D255" s="32">
        <v>268</v>
      </c>
      <c r="E255" s="33">
        <v>0</v>
      </c>
      <c r="F255" s="25" t="s">
        <v>2700</v>
      </c>
      <c r="G255" s="24" t="s">
        <v>3512</v>
      </c>
      <c r="H255" s="24" t="s">
        <v>3513</v>
      </c>
      <c r="I255" s="24" t="s">
        <v>231</v>
      </c>
      <c r="J255" s="24">
        <f>SE(I255="","-",SE(DATA.VALOR(I255)&lt;HOJE(),"VENCIDO",SE(DATA.VALOR(I255)-HOJE()&lt;=30,"CRÍTICO (&lt;=30D)","REGULAR")))</f>
      </c>
      <c r="K255" s="25" t="s">
        <v>63</v>
      </c>
      <c r="L255" s="25" t="s">
        <v>63</v>
      </c>
      <c r="M255" s="25" t="s">
        <v>3514</v>
      </c>
      <c r="N255" s="25" t="s">
        <v>3518</v>
      </c>
    </row>
    <row r="256" ht="20" customHeight="1" spans="1:14" x14ac:dyDescent="0.25">
      <c r="A256" s="21" t="s">
        <v>3519</v>
      </c>
      <c r="B256" s="21" t="s">
        <v>231</v>
      </c>
      <c r="C256" s="22" t="s">
        <v>2773</v>
      </c>
      <c r="D256" s="30">
        <v>40</v>
      </c>
      <c r="E256" s="31">
        <v>0</v>
      </c>
      <c r="F256" s="22" t="s">
        <v>2700</v>
      </c>
      <c r="G256" s="21" t="s">
        <v>3512</v>
      </c>
      <c r="H256" s="21" t="s">
        <v>3513</v>
      </c>
      <c r="I256" s="21" t="s">
        <v>231</v>
      </c>
      <c r="J256" s="21">
        <f>SE(I256="","-",SE(DATA.VALOR(I256)&lt;HOJE(),"VENCIDO",SE(DATA.VALOR(I256)-HOJE()&lt;=30,"CRÍTICO (&lt;=30D)","REGULAR")))</f>
      </c>
      <c r="K256" s="22" t="s">
        <v>63</v>
      </c>
      <c r="L256" s="22" t="s">
        <v>63</v>
      </c>
      <c r="M256" s="22" t="s">
        <v>3514</v>
      </c>
      <c r="N256" s="22" t="s">
        <v>3518</v>
      </c>
    </row>
    <row r="257" ht="20" customHeight="1" spans="1:14" s="23" customFormat="1" x14ac:dyDescent="0.25">
      <c r="A257" s="24" t="s">
        <v>3520</v>
      </c>
      <c r="B257" s="24" t="s">
        <v>3123</v>
      </c>
      <c r="C257" s="25" t="s">
        <v>2515</v>
      </c>
      <c r="D257" s="32">
        <v>200</v>
      </c>
      <c r="E257" s="33">
        <v>856</v>
      </c>
      <c r="F257" s="25" t="s">
        <v>2516</v>
      </c>
      <c r="G257" s="24" t="s">
        <v>3521</v>
      </c>
      <c r="H257" s="24" t="s">
        <v>3522</v>
      </c>
      <c r="I257" s="24" t="s">
        <v>3523</v>
      </c>
      <c r="J257" s="24">
        <f>SE(I257="","-",SE(DATA.VALOR(I257)&lt;HOJE(),"VENCIDO",SE(DATA.VALOR(I257)-HOJE()&lt;=30,"CRÍTICO (&lt;=30D)","REGULAR")))</f>
      </c>
      <c r="K257" s="25" t="s">
        <v>3524</v>
      </c>
      <c r="L257" s="25" t="s">
        <v>2521</v>
      </c>
      <c r="M257" s="25" t="s">
        <v>3525</v>
      </c>
      <c r="N257" s="25" t="s">
        <v>3526</v>
      </c>
    </row>
    <row r="258" ht="20" customHeight="1" spans="1:14" x14ac:dyDescent="0.25">
      <c r="A258" s="21" t="s">
        <v>3527</v>
      </c>
      <c r="B258" s="21" t="s">
        <v>3123</v>
      </c>
      <c r="C258" s="22" t="s">
        <v>2525</v>
      </c>
      <c r="D258" s="30">
        <v>175</v>
      </c>
      <c r="E258" s="31">
        <v>1046.5</v>
      </c>
      <c r="F258" s="22" t="s">
        <v>2516</v>
      </c>
      <c r="G258" s="21" t="s">
        <v>3521</v>
      </c>
      <c r="H258" s="21" t="s">
        <v>3528</v>
      </c>
      <c r="I258" s="21" t="s">
        <v>3529</v>
      </c>
      <c r="J258" s="21">
        <f>SE(I258="","-",SE(DATA.VALOR(I258)&lt;HOJE(),"VENCIDO",SE(DATA.VALOR(I258)-HOJE()&lt;=30,"CRÍTICO (&lt;=30D)","REGULAR")))</f>
      </c>
      <c r="K258" s="22" t="s">
        <v>3524</v>
      </c>
      <c r="L258" s="22" t="s">
        <v>2521</v>
      </c>
      <c r="M258" s="22" t="s">
        <v>3525</v>
      </c>
      <c r="N258" s="22" t="s">
        <v>3526</v>
      </c>
    </row>
    <row r="259" ht="20" customHeight="1" spans="1:14" s="23" customFormat="1" x14ac:dyDescent="0.25">
      <c r="A259" s="24" t="s">
        <v>3530</v>
      </c>
      <c r="B259" s="24" t="s">
        <v>300</v>
      </c>
      <c r="C259" s="25" t="s">
        <v>3531</v>
      </c>
      <c r="D259" s="32">
        <v>75</v>
      </c>
      <c r="E259" s="33">
        <v>233.25</v>
      </c>
      <c r="F259" s="25" t="s">
        <v>3532</v>
      </c>
      <c r="G259" s="24" t="s">
        <v>3533</v>
      </c>
      <c r="H259" s="24" t="s">
        <v>3534</v>
      </c>
      <c r="I259" s="24" t="s">
        <v>3535</v>
      </c>
      <c r="J259" s="24">
        <f>SE(I259="","-",SE(DATA.VALOR(I259)&lt;HOJE(),"VENCIDO",SE(DATA.VALOR(I259)-HOJE()&lt;=30,"CRÍTICO (&lt;=30D)","REGULAR")))</f>
      </c>
      <c r="K259" s="25" t="s">
        <v>3536</v>
      </c>
      <c r="L259" s="25" t="s">
        <v>3537</v>
      </c>
      <c r="M259" s="25" t="s">
        <v>3538</v>
      </c>
      <c r="N259" s="25" t="s">
        <v>3539</v>
      </c>
    </row>
    <row r="260" ht="20" customHeight="1" spans="1:14" x14ac:dyDescent="0.25">
      <c r="A260" s="21" t="s">
        <v>3540</v>
      </c>
      <c r="B260" s="21" t="s">
        <v>300</v>
      </c>
      <c r="C260" s="22" t="s">
        <v>3541</v>
      </c>
      <c r="D260" s="30">
        <v>75</v>
      </c>
      <c r="E260" s="31">
        <v>233.25</v>
      </c>
      <c r="F260" s="22" t="s">
        <v>3532</v>
      </c>
      <c r="G260" s="21" t="s">
        <v>3533</v>
      </c>
      <c r="H260" s="21" t="s">
        <v>3534</v>
      </c>
      <c r="I260" s="21" t="s">
        <v>3535</v>
      </c>
      <c r="J260" s="21">
        <f>SE(I260="","-",SE(DATA.VALOR(I260)&lt;HOJE(),"VENCIDO",SE(DATA.VALOR(I260)-HOJE()&lt;=30,"CRÍTICO (&lt;=30D)","REGULAR")))</f>
      </c>
      <c r="K260" s="22" t="s">
        <v>3536</v>
      </c>
      <c r="L260" s="22" t="s">
        <v>3537</v>
      </c>
      <c r="M260" s="22" t="s">
        <v>3538</v>
      </c>
      <c r="N260" s="22" t="s">
        <v>3539</v>
      </c>
    </row>
    <row r="261" ht="20" customHeight="1" spans="1:14" s="23" customFormat="1" x14ac:dyDescent="0.25">
      <c r="A261" s="24" t="s">
        <v>3542</v>
      </c>
      <c r="B261" s="24" t="s">
        <v>300</v>
      </c>
      <c r="C261" s="25" t="s">
        <v>3543</v>
      </c>
      <c r="D261" s="32">
        <v>250</v>
      </c>
      <c r="E261" s="33">
        <v>820</v>
      </c>
      <c r="F261" s="25" t="s">
        <v>3532</v>
      </c>
      <c r="G261" s="24" t="s">
        <v>3533</v>
      </c>
      <c r="H261" s="24" t="s">
        <v>3544</v>
      </c>
      <c r="I261" s="24" t="s">
        <v>3545</v>
      </c>
      <c r="J261" s="24">
        <f>SE(I261="","-",SE(DATA.VALOR(I261)&lt;HOJE(),"VENCIDO",SE(DATA.VALOR(I261)-HOJE()&lt;=30,"CRÍTICO (&lt;=30D)","REGULAR")))</f>
      </c>
      <c r="K261" s="25" t="s">
        <v>3536</v>
      </c>
      <c r="L261" s="25" t="s">
        <v>3537</v>
      </c>
      <c r="M261" s="25" t="s">
        <v>3538</v>
      </c>
      <c r="N261" s="25" t="s">
        <v>3539</v>
      </c>
    </row>
    <row r="262" ht="20" customHeight="1" spans="1:14" x14ac:dyDescent="0.25">
      <c r="A262" s="21" t="s">
        <v>3546</v>
      </c>
      <c r="B262" s="21" t="s">
        <v>300</v>
      </c>
      <c r="C262" s="22" t="s">
        <v>3547</v>
      </c>
      <c r="D262" s="30">
        <v>250</v>
      </c>
      <c r="E262" s="31">
        <v>1495</v>
      </c>
      <c r="F262" s="22" t="s">
        <v>3532</v>
      </c>
      <c r="G262" s="21" t="s">
        <v>3533</v>
      </c>
      <c r="H262" s="21" t="s">
        <v>3548</v>
      </c>
      <c r="I262" s="21" t="s">
        <v>3549</v>
      </c>
      <c r="J262" s="21">
        <f>SE(I262="","-",SE(DATA.VALOR(I262)&lt;HOJE(),"VENCIDO",SE(DATA.VALOR(I262)-HOJE()&lt;=30,"CRÍTICO (&lt;=30D)","REGULAR")))</f>
      </c>
      <c r="K262" s="22" t="s">
        <v>3536</v>
      </c>
      <c r="L262" s="22" t="s">
        <v>3537</v>
      </c>
      <c r="M262" s="22" t="s">
        <v>3538</v>
      </c>
      <c r="N262" s="22" t="s">
        <v>3539</v>
      </c>
    </row>
    <row r="263" ht="20" customHeight="1" spans="1:14" s="23" customFormat="1" x14ac:dyDescent="0.25">
      <c r="A263" s="24" t="s">
        <v>3550</v>
      </c>
      <c r="B263" s="24" t="s">
        <v>399</v>
      </c>
      <c r="C263" s="25" t="s">
        <v>2606</v>
      </c>
      <c r="D263" s="32">
        <v>833</v>
      </c>
      <c r="E263" s="33">
        <v>22116.15</v>
      </c>
      <c r="F263" s="25" t="s">
        <v>2607</v>
      </c>
      <c r="G263" s="24" t="s">
        <v>3551</v>
      </c>
      <c r="H263" s="24" t="s">
        <v>3552</v>
      </c>
      <c r="I263" s="24" t="s">
        <v>1196</v>
      </c>
      <c r="J263" s="24">
        <f>SE(I263="","-",SE(DATA.VALOR(I263)&lt;HOJE(),"VENCIDO",SE(DATA.VALOR(I263)-HOJE()&lt;=30,"CRÍTICO (&lt;=30D)","REGULAR")))</f>
      </c>
      <c r="K263" s="25" t="s">
        <v>3553</v>
      </c>
      <c r="L263" s="25" t="s">
        <v>2611</v>
      </c>
      <c r="M263" s="25" t="s">
        <v>3554</v>
      </c>
      <c r="N263" s="25" t="s">
        <v>3555</v>
      </c>
    </row>
    <row r="264" ht="20" customHeight="1" spans="1:14" x14ac:dyDescent="0.25">
      <c r="A264" s="21" t="s">
        <v>3556</v>
      </c>
      <c r="B264" s="21" t="s">
        <v>180</v>
      </c>
      <c r="C264" s="22" t="s">
        <v>3323</v>
      </c>
      <c r="D264" s="30">
        <v>600</v>
      </c>
      <c r="E264" s="31">
        <v>7740</v>
      </c>
      <c r="F264" s="22" t="s">
        <v>3324</v>
      </c>
      <c r="G264" s="21" t="s">
        <v>3557</v>
      </c>
      <c r="H264" s="21" t="s">
        <v>3558</v>
      </c>
      <c r="I264" s="21" t="s">
        <v>3327</v>
      </c>
      <c r="J264" s="21">
        <f>SE(I264="","-",SE(DATA.VALOR(I264)&lt;HOJE(),"VENCIDO",SE(DATA.VALOR(I264)-HOJE()&lt;=30,"CRÍTICO (&lt;=30D)","REGULAR")))</f>
      </c>
      <c r="K264" s="22" t="s">
        <v>3559</v>
      </c>
      <c r="L264" s="22" t="s">
        <v>3560</v>
      </c>
      <c r="M264" s="22" t="s">
        <v>3561</v>
      </c>
      <c r="N264" s="22" t="s">
        <v>3562</v>
      </c>
    </row>
    <row r="265" ht="20" customHeight="1" spans="1:14" s="23" customFormat="1" x14ac:dyDescent="0.25">
      <c r="A265" s="24" t="s">
        <v>3563</v>
      </c>
      <c r="B265" s="24" t="s">
        <v>415</v>
      </c>
      <c r="C265" s="25" t="s">
        <v>2666</v>
      </c>
      <c r="D265" s="32">
        <v>57</v>
      </c>
      <c r="E265" s="33">
        <v>179.54999999999998</v>
      </c>
      <c r="F265" s="25" t="s">
        <v>2796</v>
      </c>
      <c r="G265" s="24" t="s">
        <v>3564</v>
      </c>
      <c r="H265" s="24" t="s">
        <v>3565</v>
      </c>
      <c r="I265" s="24" t="s">
        <v>807</v>
      </c>
      <c r="J265" s="24">
        <f>SE(I265="","-",SE(DATA.VALOR(I265)&lt;HOJE(),"VENCIDO",SE(DATA.VALOR(I265)-HOJE()&lt;=30,"CRÍTICO (&lt;=30D)","REGULAR")))</f>
      </c>
      <c r="K265" s="25" t="s">
        <v>3566</v>
      </c>
      <c r="L265" s="25" t="s">
        <v>2800</v>
      </c>
      <c r="M265" s="25" t="s">
        <v>3567</v>
      </c>
      <c r="N265" s="25" t="s">
        <v>3568</v>
      </c>
    </row>
    <row r="266" ht="20" customHeight="1" spans="1:14" x14ac:dyDescent="0.25">
      <c r="A266" s="21" t="s">
        <v>3569</v>
      </c>
      <c r="B266" s="21" t="s">
        <v>415</v>
      </c>
      <c r="C266" s="22" t="s">
        <v>3570</v>
      </c>
      <c r="D266" s="30">
        <v>26</v>
      </c>
      <c r="E266" s="31">
        <v>104</v>
      </c>
      <c r="F266" s="22" t="s">
        <v>2796</v>
      </c>
      <c r="G266" s="21" t="s">
        <v>3564</v>
      </c>
      <c r="H266" s="21" t="s">
        <v>3565</v>
      </c>
      <c r="I266" s="21" t="s">
        <v>807</v>
      </c>
      <c r="J266" s="21">
        <f>SE(I266="","-",SE(DATA.VALOR(I266)&lt;HOJE(),"VENCIDO",SE(DATA.VALOR(I266)-HOJE()&lt;=30,"CRÍTICO (&lt;=30D)","REGULAR")))</f>
      </c>
      <c r="K266" s="22" t="s">
        <v>3566</v>
      </c>
      <c r="L266" s="22" t="s">
        <v>2800</v>
      </c>
      <c r="M266" s="22" t="s">
        <v>3567</v>
      </c>
      <c r="N266" s="22" t="s">
        <v>3568</v>
      </c>
    </row>
    <row r="267" ht="20" customHeight="1" spans="1:14" s="23" customFormat="1" x14ac:dyDescent="0.25">
      <c r="A267" s="24" t="s">
        <v>3571</v>
      </c>
      <c r="B267" s="24" t="s">
        <v>415</v>
      </c>
      <c r="C267" s="25" t="s">
        <v>3572</v>
      </c>
      <c r="D267" s="32">
        <v>480</v>
      </c>
      <c r="E267" s="33">
        <v>3960</v>
      </c>
      <c r="F267" s="25" t="s">
        <v>3460</v>
      </c>
      <c r="G267" s="24" t="s">
        <v>3573</v>
      </c>
      <c r="H267" s="24" t="s">
        <v>3574</v>
      </c>
      <c r="I267" s="24" t="s">
        <v>3575</v>
      </c>
      <c r="J267" s="24">
        <f>SE(I267="","-",SE(DATA.VALOR(I267)&lt;HOJE(),"VENCIDO",SE(DATA.VALOR(I267)-HOJE()&lt;=30,"CRÍTICO (&lt;=30D)","REGULAR")))</f>
      </c>
      <c r="K267" s="25" t="s">
        <v>3576</v>
      </c>
      <c r="L267" s="25" t="s">
        <v>3577</v>
      </c>
      <c r="M267" s="25" t="s">
        <v>3578</v>
      </c>
      <c r="N267" s="25" t="s">
        <v>3579</v>
      </c>
    </row>
    <row r="268" ht="20" customHeight="1" spans="1:14" x14ac:dyDescent="0.25">
      <c r="A268" s="21" t="s">
        <v>3580</v>
      </c>
      <c r="B268" s="21" t="s">
        <v>531</v>
      </c>
      <c r="C268" s="22" t="s">
        <v>2578</v>
      </c>
      <c r="D268" s="30">
        <v>875</v>
      </c>
      <c r="E268" s="31">
        <v>4348.75</v>
      </c>
      <c r="F268" s="22" t="s">
        <v>2579</v>
      </c>
      <c r="G268" s="21" t="s">
        <v>3581</v>
      </c>
      <c r="H268" s="21" t="s">
        <v>3582</v>
      </c>
      <c r="I268" s="21" t="s">
        <v>694</v>
      </c>
      <c r="J268" s="21">
        <f>SE(I268="","-",SE(DATA.VALOR(I268)&lt;HOJE(),"VENCIDO",SE(DATA.VALOR(I268)-HOJE()&lt;=30,"CRÍTICO (&lt;=30D)","REGULAR")))</f>
      </c>
      <c r="K268" s="22" t="s">
        <v>3583</v>
      </c>
      <c r="L268" s="22" t="s">
        <v>3083</v>
      </c>
      <c r="M268" s="22" t="s">
        <v>3584</v>
      </c>
      <c r="N268" s="22" t="s">
        <v>3585</v>
      </c>
    </row>
    <row r="269" ht="20" customHeight="1" spans="1:14" s="23" customFormat="1" x14ac:dyDescent="0.25">
      <c r="A269" s="24" t="s">
        <v>3586</v>
      </c>
      <c r="B269" s="24" t="s">
        <v>490</v>
      </c>
      <c r="C269" s="25" t="s">
        <v>2606</v>
      </c>
      <c r="D269" s="32">
        <v>906</v>
      </c>
      <c r="E269" s="33">
        <v>24054.3</v>
      </c>
      <c r="F269" s="25" t="s">
        <v>2607</v>
      </c>
      <c r="G269" s="24" t="s">
        <v>3587</v>
      </c>
      <c r="H269" s="24" t="s">
        <v>3588</v>
      </c>
      <c r="I269" s="24" t="s">
        <v>1433</v>
      </c>
      <c r="J269" s="24">
        <f>SE(I269="","-",SE(DATA.VALOR(I269)&lt;HOJE(),"VENCIDO",SE(DATA.VALOR(I269)-HOJE()&lt;=30,"CRÍTICO (&lt;=30D)","REGULAR")))</f>
      </c>
      <c r="K269" s="25" t="s">
        <v>3589</v>
      </c>
      <c r="L269" s="25" t="s">
        <v>2611</v>
      </c>
      <c r="M269" s="25" t="s">
        <v>3590</v>
      </c>
      <c r="N269" s="25" t="s">
        <v>3591</v>
      </c>
    </row>
    <row r="270" ht="20" customHeight="1" spans="1:14" x14ac:dyDescent="0.25">
      <c r="A270" s="21" t="s">
        <v>3592</v>
      </c>
      <c r="B270" s="21" t="s">
        <v>300</v>
      </c>
      <c r="C270" s="22" t="s">
        <v>3593</v>
      </c>
      <c r="D270" s="30">
        <v>21</v>
      </c>
      <c r="E270" s="31">
        <v>213.78</v>
      </c>
      <c r="F270" s="22" t="s">
        <v>3532</v>
      </c>
      <c r="G270" s="21" t="s">
        <v>3533</v>
      </c>
      <c r="H270" s="21" t="s">
        <v>3194</v>
      </c>
      <c r="I270" s="21" t="s">
        <v>63</v>
      </c>
      <c r="J270" s="21" t="s">
        <v>20</v>
      </c>
      <c r="K270" s="22" t="s">
        <v>3536</v>
      </c>
      <c r="L270" s="22" t="s">
        <v>3537</v>
      </c>
      <c r="M270" s="22" t="s">
        <v>3538</v>
      </c>
      <c r="N270" s="22" t="s">
        <v>3594</v>
      </c>
    </row>
    <row r="271" ht="20" customHeight="1" spans="1:14" s="23" customFormat="1" x14ac:dyDescent="0.25">
      <c r="A271" s="24" t="s">
        <v>3595</v>
      </c>
      <c r="B271" s="24" t="s">
        <v>531</v>
      </c>
      <c r="C271" s="25" t="s">
        <v>2586</v>
      </c>
      <c r="D271" s="32">
        <v>4084</v>
      </c>
      <c r="E271" s="33">
        <v>26954.399999999998</v>
      </c>
      <c r="F271" s="25" t="s">
        <v>2587</v>
      </c>
      <c r="G271" s="24" t="s">
        <v>3596</v>
      </c>
      <c r="H271" s="24" t="s">
        <v>3597</v>
      </c>
      <c r="I271" s="24" t="s">
        <v>3598</v>
      </c>
      <c r="J271" s="24">
        <f>SE(I271="","-",SE(DATA.VALOR(I271)&lt;HOJE(),"VENCIDO",SE(DATA.VALOR(I271)-HOJE()&lt;=30,"CRÍTICO (&lt;=30D)","REGULAR")))</f>
      </c>
      <c r="K271" s="25" t="s">
        <v>3599</v>
      </c>
      <c r="L271" s="25" t="s">
        <v>2592</v>
      </c>
      <c r="M271" s="25" t="s">
        <v>3600</v>
      </c>
      <c r="N271" s="25" t="s">
        <v>3601</v>
      </c>
    </row>
    <row r="272" ht="20" customHeight="1" spans="1:14" x14ac:dyDescent="0.25">
      <c r="A272" s="21" t="s">
        <v>3602</v>
      </c>
      <c r="B272" s="21" t="s">
        <v>292</v>
      </c>
      <c r="C272" s="22" t="s">
        <v>2681</v>
      </c>
      <c r="D272" s="30">
        <v>63</v>
      </c>
      <c r="E272" s="31">
        <v>409.5</v>
      </c>
      <c r="F272" s="22" t="s">
        <v>2809</v>
      </c>
      <c r="G272" s="21" t="s">
        <v>3603</v>
      </c>
      <c r="H272" s="21" t="s">
        <v>3604</v>
      </c>
      <c r="I272" s="21" t="s">
        <v>399</v>
      </c>
      <c r="J272" s="21">
        <f>SE(I272="","-",SE(DATA.VALOR(I272)&lt;HOJE(),"VENCIDO",SE(DATA.VALOR(I272)-HOJE()&lt;=30,"CRÍTICO (&lt;=30D)","REGULAR")))</f>
      </c>
      <c r="K272" s="22" t="s">
        <v>3605</v>
      </c>
      <c r="L272" s="22" t="s">
        <v>2814</v>
      </c>
      <c r="M272" s="22" t="s">
        <v>3606</v>
      </c>
      <c r="N272" s="22" t="s">
        <v>3607</v>
      </c>
    </row>
    <row r="273" ht="20" customHeight="1" spans="1:14" s="23" customFormat="1" x14ac:dyDescent="0.25">
      <c r="A273" s="24" t="s">
        <v>3608</v>
      </c>
      <c r="B273" s="24" t="s">
        <v>373</v>
      </c>
      <c r="C273" s="25" t="s">
        <v>2681</v>
      </c>
      <c r="D273" s="32">
        <v>80</v>
      </c>
      <c r="E273" s="33">
        <v>520</v>
      </c>
      <c r="F273" s="25" t="s">
        <v>2809</v>
      </c>
      <c r="G273" s="24" t="s">
        <v>3609</v>
      </c>
      <c r="H273" s="24" t="s">
        <v>3164</v>
      </c>
      <c r="I273" s="24" t="s">
        <v>63</v>
      </c>
      <c r="J273" s="24" t="s">
        <v>20</v>
      </c>
      <c r="K273" s="25" t="s">
        <v>3610</v>
      </c>
      <c r="L273" s="25" t="s">
        <v>2950</v>
      </c>
      <c r="M273" s="25" t="s">
        <v>3611</v>
      </c>
      <c r="N273" s="25" t="s">
        <v>3612</v>
      </c>
    </row>
    <row r="274" ht="20" customHeight="1" spans="1:14" x14ac:dyDescent="0.25">
      <c r="A274" s="21" t="s">
        <v>3613</v>
      </c>
      <c r="B274" s="21" t="s">
        <v>3614</v>
      </c>
      <c r="C274" s="22" t="s">
        <v>2666</v>
      </c>
      <c r="D274" s="30">
        <v>75.5</v>
      </c>
      <c r="E274" s="31">
        <v>0</v>
      </c>
      <c r="F274" s="22" t="s">
        <v>2880</v>
      </c>
      <c r="G274" s="21" t="s">
        <v>3183</v>
      </c>
      <c r="H274" s="21" t="s">
        <v>3615</v>
      </c>
      <c r="I274" s="21" t="s">
        <v>3616</v>
      </c>
      <c r="J274" s="21">
        <f>SE(I274="","-",SE(DATA.VALOR(I274)&lt;HOJE(),"VENCIDO",SE(DATA.VALOR(I274)-HOJE()&lt;=30,"CRÍTICO (&lt;=30D)","REGULAR")))</f>
      </c>
      <c r="K274" s="22" t="s">
        <v>63</v>
      </c>
      <c r="L274" s="22" t="s">
        <v>63</v>
      </c>
      <c r="M274" s="22" t="s">
        <v>3617</v>
      </c>
      <c r="N274" s="22" t="s">
        <v>3618</v>
      </c>
    </row>
    <row r="275" ht="20" customHeight="1" spans="1:14" s="23" customFormat="1" x14ac:dyDescent="0.25">
      <c r="A275" s="24" t="s">
        <v>3619</v>
      </c>
      <c r="B275" s="24" t="s">
        <v>3614</v>
      </c>
      <c r="C275" s="25" t="s">
        <v>2741</v>
      </c>
      <c r="D275" s="32">
        <v>202.6</v>
      </c>
      <c r="E275" s="33">
        <v>0</v>
      </c>
      <c r="F275" s="25" t="s">
        <v>2880</v>
      </c>
      <c r="G275" s="24" t="s">
        <v>3183</v>
      </c>
      <c r="H275" s="24" t="s">
        <v>3615</v>
      </c>
      <c r="I275" s="24" t="s">
        <v>3616</v>
      </c>
      <c r="J275" s="24">
        <f>SE(I275="","-",SE(DATA.VALOR(I275)&lt;HOJE(),"VENCIDO",SE(DATA.VALOR(I275)-HOJE()&lt;=30,"CRÍTICO (&lt;=30D)","REGULAR")))</f>
      </c>
      <c r="K275" s="25" t="s">
        <v>63</v>
      </c>
      <c r="L275" s="25" t="s">
        <v>63</v>
      </c>
      <c r="M275" s="25" t="s">
        <v>3617</v>
      </c>
      <c r="N275" s="25" t="s">
        <v>3618</v>
      </c>
    </row>
    <row r="276" ht="20" customHeight="1" spans="1:14" x14ac:dyDescent="0.25">
      <c r="A276" s="21" t="s">
        <v>3620</v>
      </c>
      <c r="B276" s="21" t="s">
        <v>3614</v>
      </c>
      <c r="C276" s="22" t="s">
        <v>2675</v>
      </c>
      <c r="D276" s="30">
        <v>158</v>
      </c>
      <c r="E276" s="31">
        <v>0</v>
      </c>
      <c r="F276" s="22" t="s">
        <v>2880</v>
      </c>
      <c r="G276" s="21" t="s">
        <v>3183</v>
      </c>
      <c r="H276" s="21" t="s">
        <v>3615</v>
      </c>
      <c r="I276" s="21" t="s">
        <v>3616</v>
      </c>
      <c r="J276" s="21">
        <f>SE(I276="","-",SE(DATA.VALOR(I276)&lt;HOJE(),"VENCIDO",SE(DATA.VALOR(I276)-HOJE()&lt;=30,"CRÍTICO (&lt;=30D)","REGULAR")))</f>
      </c>
      <c r="K276" s="22" t="s">
        <v>63</v>
      </c>
      <c r="L276" s="22" t="s">
        <v>63</v>
      </c>
      <c r="M276" s="22" t="s">
        <v>3617</v>
      </c>
      <c r="N276" s="22" t="s">
        <v>3618</v>
      </c>
    </row>
    <row r="277" ht="20" customHeight="1" spans="1:14" s="23" customFormat="1" x14ac:dyDescent="0.25">
      <c r="A277" s="24" t="s">
        <v>3621</v>
      </c>
      <c r="B277" s="24" t="s">
        <v>3614</v>
      </c>
      <c r="C277" s="25" t="s">
        <v>2746</v>
      </c>
      <c r="D277" s="32">
        <v>217.6</v>
      </c>
      <c r="E277" s="33">
        <v>0</v>
      </c>
      <c r="F277" s="25" t="s">
        <v>2880</v>
      </c>
      <c r="G277" s="24" t="s">
        <v>3183</v>
      </c>
      <c r="H277" s="24" t="s">
        <v>3615</v>
      </c>
      <c r="I277" s="24" t="s">
        <v>3616</v>
      </c>
      <c r="J277" s="24">
        <f>SE(I277="","-",SE(DATA.VALOR(I277)&lt;HOJE(),"VENCIDO",SE(DATA.VALOR(I277)-HOJE()&lt;=30,"CRÍTICO (&lt;=30D)","REGULAR")))</f>
      </c>
      <c r="K277" s="25" t="s">
        <v>63</v>
      </c>
      <c r="L277" s="25" t="s">
        <v>63</v>
      </c>
      <c r="M277" s="25" t="s">
        <v>3617</v>
      </c>
      <c r="N277" s="25" t="s">
        <v>3622</v>
      </c>
    </row>
    <row r="278" ht="20" customHeight="1" spans="1:14" x14ac:dyDescent="0.25">
      <c r="A278" s="21" t="s">
        <v>3623</v>
      </c>
      <c r="B278" s="21" t="s">
        <v>3614</v>
      </c>
      <c r="C278" s="22" t="s">
        <v>2716</v>
      </c>
      <c r="D278" s="30">
        <v>220.9</v>
      </c>
      <c r="E278" s="31">
        <v>0</v>
      </c>
      <c r="F278" s="22" t="s">
        <v>2880</v>
      </c>
      <c r="G278" s="21" t="s">
        <v>3183</v>
      </c>
      <c r="H278" s="21" t="s">
        <v>3615</v>
      </c>
      <c r="I278" s="21" t="s">
        <v>3616</v>
      </c>
      <c r="J278" s="21">
        <f>SE(I278="","-",SE(DATA.VALOR(I278)&lt;HOJE(),"VENCIDO",SE(DATA.VALOR(I278)-HOJE()&lt;=30,"CRÍTICO (&lt;=30D)","REGULAR")))</f>
      </c>
      <c r="K278" s="22" t="s">
        <v>63</v>
      </c>
      <c r="L278" s="22" t="s">
        <v>63</v>
      </c>
      <c r="M278" s="22" t="s">
        <v>3617</v>
      </c>
      <c r="N278" s="22" t="s">
        <v>3622</v>
      </c>
    </row>
    <row r="279" ht="20" customHeight="1" spans="1:14" s="23" customFormat="1" x14ac:dyDescent="0.25">
      <c r="A279" s="24" t="s">
        <v>3624</v>
      </c>
      <c r="B279" s="24" t="s">
        <v>3614</v>
      </c>
      <c r="C279" s="25" t="s">
        <v>2696</v>
      </c>
      <c r="D279" s="32">
        <v>132.7</v>
      </c>
      <c r="E279" s="33">
        <v>0</v>
      </c>
      <c r="F279" s="25" t="s">
        <v>2880</v>
      </c>
      <c r="G279" s="24" t="s">
        <v>3183</v>
      </c>
      <c r="H279" s="24" t="s">
        <v>3615</v>
      </c>
      <c r="I279" s="24" t="s">
        <v>3616</v>
      </c>
      <c r="J279" s="24">
        <f>SE(I279="","-",SE(DATA.VALOR(I279)&lt;HOJE(),"VENCIDO",SE(DATA.VALOR(I279)-HOJE()&lt;=30,"CRÍTICO (&lt;=30D)","REGULAR")))</f>
      </c>
      <c r="K279" s="25" t="s">
        <v>63</v>
      </c>
      <c r="L279" s="25" t="s">
        <v>63</v>
      </c>
      <c r="M279" s="25" t="s">
        <v>3617</v>
      </c>
      <c r="N279" s="25" t="s">
        <v>3625</v>
      </c>
    </row>
    <row r="280" ht="20" customHeight="1" spans="1:14" x14ac:dyDescent="0.25">
      <c r="A280" s="21" t="s">
        <v>3626</v>
      </c>
      <c r="B280" s="21" t="s">
        <v>2948</v>
      </c>
      <c r="C280" s="22" t="s">
        <v>2666</v>
      </c>
      <c r="D280" s="30">
        <v>73.9</v>
      </c>
      <c r="E280" s="31">
        <v>0</v>
      </c>
      <c r="F280" s="22" t="s">
        <v>2796</v>
      </c>
      <c r="G280" s="21" t="s">
        <v>3498</v>
      </c>
      <c r="H280" s="21" t="s">
        <v>3164</v>
      </c>
      <c r="I280" s="21" t="s">
        <v>63</v>
      </c>
      <c r="J280" s="21" t="s">
        <v>20</v>
      </c>
      <c r="K280" s="22" t="s">
        <v>63</v>
      </c>
      <c r="L280" s="22" t="s">
        <v>63</v>
      </c>
      <c r="M280" s="22" t="s">
        <v>3627</v>
      </c>
      <c r="N280" s="22" t="s">
        <v>3628</v>
      </c>
    </row>
    <row r="281" ht="20" customHeight="1" spans="1:14" s="23" customFormat="1" x14ac:dyDescent="0.25">
      <c r="A281" s="24" t="s">
        <v>3629</v>
      </c>
      <c r="B281" s="24" t="s">
        <v>2948</v>
      </c>
      <c r="C281" s="25" t="s">
        <v>2741</v>
      </c>
      <c r="D281" s="32">
        <v>149.3</v>
      </c>
      <c r="E281" s="33">
        <v>0</v>
      </c>
      <c r="F281" s="25" t="s">
        <v>2796</v>
      </c>
      <c r="G281" s="24" t="s">
        <v>3498</v>
      </c>
      <c r="H281" s="24" t="s">
        <v>3164</v>
      </c>
      <c r="I281" s="24" t="s">
        <v>63</v>
      </c>
      <c r="J281" s="24" t="s">
        <v>20</v>
      </c>
      <c r="K281" s="25" t="s">
        <v>63</v>
      </c>
      <c r="L281" s="25" t="s">
        <v>63</v>
      </c>
      <c r="M281" s="25" t="s">
        <v>3627</v>
      </c>
      <c r="N281" s="25" t="s">
        <v>3630</v>
      </c>
    </row>
    <row r="282" ht="20" customHeight="1" spans="1:14" x14ac:dyDescent="0.25">
      <c r="A282" s="21" t="s">
        <v>3631</v>
      </c>
      <c r="B282" s="21" t="s">
        <v>2948</v>
      </c>
      <c r="C282" s="22" t="s">
        <v>2746</v>
      </c>
      <c r="D282" s="30">
        <v>218.75</v>
      </c>
      <c r="E282" s="31">
        <v>0</v>
      </c>
      <c r="F282" s="22" t="s">
        <v>2796</v>
      </c>
      <c r="G282" s="21" t="s">
        <v>3498</v>
      </c>
      <c r="H282" s="21" t="s">
        <v>3164</v>
      </c>
      <c r="I282" s="21" t="s">
        <v>63</v>
      </c>
      <c r="J282" s="21" t="s">
        <v>20</v>
      </c>
      <c r="K282" s="22" t="s">
        <v>63</v>
      </c>
      <c r="L282" s="22" t="s">
        <v>63</v>
      </c>
      <c r="M282" s="22" t="s">
        <v>3627</v>
      </c>
      <c r="N282" s="22" t="s">
        <v>3630</v>
      </c>
    </row>
    <row r="283" ht="20" customHeight="1" spans="1:14" s="23" customFormat="1" x14ac:dyDescent="0.25">
      <c r="A283" s="24" t="s">
        <v>3632</v>
      </c>
      <c r="B283" s="24" t="s">
        <v>2948</v>
      </c>
      <c r="C283" s="25" t="s">
        <v>2773</v>
      </c>
      <c r="D283" s="32">
        <v>36.6</v>
      </c>
      <c r="E283" s="33">
        <v>0</v>
      </c>
      <c r="F283" s="25" t="s">
        <v>2796</v>
      </c>
      <c r="G283" s="24" t="s">
        <v>3498</v>
      </c>
      <c r="H283" s="24" t="s">
        <v>3164</v>
      </c>
      <c r="I283" s="24" t="s">
        <v>63</v>
      </c>
      <c r="J283" s="24" t="s">
        <v>20</v>
      </c>
      <c r="K283" s="25" t="s">
        <v>63</v>
      </c>
      <c r="L283" s="25" t="s">
        <v>63</v>
      </c>
      <c r="M283" s="25" t="s">
        <v>3627</v>
      </c>
      <c r="N283" s="25" t="s">
        <v>3633</v>
      </c>
    </row>
    <row r="284" ht="20" customHeight="1" spans="1:14" x14ac:dyDescent="0.25">
      <c r="A284" s="21" t="s">
        <v>3634</v>
      </c>
      <c r="B284" s="21" t="s">
        <v>580</v>
      </c>
      <c r="C284" s="22" t="s">
        <v>2924</v>
      </c>
      <c r="D284" s="30">
        <v>1675</v>
      </c>
      <c r="E284" s="31">
        <v>22629.25</v>
      </c>
      <c r="F284" s="22" t="s">
        <v>2925</v>
      </c>
      <c r="G284" s="21" t="s">
        <v>3635</v>
      </c>
      <c r="H284" s="21" t="s">
        <v>3636</v>
      </c>
      <c r="I284" s="21" t="s">
        <v>3637</v>
      </c>
      <c r="J284" s="21">
        <f>SE(I284="","-",SE(DATA.VALOR(I284)&lt;HOJE(),"VENCIDO",SE(DATA.VALOR(I284)-HOJE()&lt;=30,"CRÍTICO (&lt;=30D)","REGULAR")))</f>
      </c>
      <c r="K284" s="22" t="s">
        <v>3638</v>
      </c>
      <c r="L284" s="22" t="s">
        <v>2930</v>
      </c>
      <c r="M284" s="22" t="s">
        <v>3639</v>
      </c>
      <c r="N284" s="22" t="s">
        <v>3640</v>
      </c>
    </row>
    <row r="285" ht="20" customHeight="1" spans="1:14" s="23" customFormat="1" x14ac:dyDescent="0.25">
      <c r="A285" s="24" t="s">
        <v>3641</v>
      </c>
      <c r="B285" s="24" t="s">
        <v>568</v>
      </c>
      <c r="C285" s="25" t="s">
        <v>2709</v>
      </c>
      <c r="D285" s="32">
        <v>175</v>
      </c>
      <c r="E285" s="33">
        <v>647.5</v>
      </c>
      <c r="F285" s="25" t="s">
        <v>2765</v>
      </c>
      <c r="G285" s="24" t="s">
        <v>3642</v>
      </c>
      <c r="H285" s="24" t="s">
        <v>3643</v>
      </c>
      <c r="I285" s="24" t="s">
        <v>858</v>
      </c>
      <c r="J285" s="24">
        <f>SE(I285="","-",SE(DATA.VALOR(I285)&lt;HOJE(),"VENCIDO",SE(DATA.VALOR(I285)-HOJE()&lt;=30,"CRÍTICO (&lt;=30D)","REGULAR")))</f>
      </c>
      <c r="K285" s="25" t="s">
        <v>3644</v>
      </c>
      <c r="L285" s="25" t="s">
        <v>3109</v>
      </c>
      <c r="M285" s="25" t="s">
        <v>3645</v>
      </c>
      <c r="N285" s="25" t="s">
        <v>3646</v>
      </c>
    </row>
    <row r="286" ht="20" customHeight="1" spans="1:14" x14ac:dyDescent="0.25">
      <c r="A286" s="21" t="s">
        <v>3647</v>
      </c>
      <c r="B286" s="21" t="s">
        <v>568</v>
      </c>
      <c r="C286" s="22" t="s">
        <v>2709</v>
      </c>
      <c r="D286" s="30">
        <v>175</v>
      </c>
      <c r="E286" s="31">
        <v>647.5</v>
      </c>
      <c r="F286" s="22" t="s">
        <v>3100</v>
      </c>
      <c r="G286" s="21" t="s">
        <v>3648</v>
      </c>
      <c r="H286" s="21" t="s">
        <v>3643</v>
      </c>
      <c r="I286" s="21" t="s">
        <v>858</v>
      </c>
      <c r="J286" s="21">
        <f>SE(I286="","-",SE(DATA.VALOR(I286)&lt;HOJE(),"VENCIDO",SE(DATA.VALOR(I286)-HOJE()&lt;=30,"CRÍTICO (&lt;=30D)","REGULAR")))</f>
      </c>
      <c r="K286" s="22" t="s">
        <v>3649</v>
      </c>
      <c r="L286" s="22" t="s">
        <v>3650</v>
      </c>
      <c r="M286" s="22" t="s">
        <v>3651</v>
      </c>
      <c r="N286" s="22" t="s">
        <v>3652</v>
      </c>
    </row>
    <row r="287" ht="20" customHeight="1" spans="1:14" s="23" customFormat="1" x14ac:dyDescent="0.25">
      <c r="A287" s="24" t="s">
        <v>3653</v>
      </c>
      <c r="B287" s="24" t="s">
        <v>568</v>
      </c>
      <c r="C287" s="25" t="s">
        <v>2709</v>
      </c>
      <c r="D287" s="32">
        <v>175</v>
      </c>
      <c r="E287" s="33">
        <v>647.5</v>
      </c>
      <c r="F287" s="25" t="s">
        <v>2994</v>
      </c>
      <c r="G287" s="24" t="s">
        <v>3654</v>
      </c>
      <c r="H287" s="24" t="s">
        <v>3643</v>
      </c>
      <c r="I287" s="24" t="s">
        <v>858</v>
      </c>
      <c r="J287" s="24">
        <f>SE(I287="","-",SE(DATA.VALOR(I287)&lt;HOJE(),"VENCIDO",SE(DATA.VALOR(I287)-HOJE()&lt;=30,"CRÍTICO (&lt;=30D)","REGULAR")))</f>
      </c>
      <c r="K287" s="25" t="s">
        <v>3655</v>
      </c>
      <c r="L287" s="25" t="s">
        <v>3656</v>
      </c>
      <c r="M287" s="25" t="s">
        <v>3657</v>
      </c>
      <c r="N287" s="25" t="s">
        <v>3658</v>
      </c>
    </row>
    <row r="288" ht="20" customHeight="1" spans="1:14" x14ac:dyDescent="0.25">
      <c r="A288" s="21" t="s">
        <v>3659</v>
      </c>
      <c r="B288" s="21" t="s">
        <v>706</v>
      </c>
      <c r="C288" s="22" t="s">
        <v>2666</v>
      </c>
      <c r="D288" s="30">
        <v>70</v>
      </c>
      <c r="E288" s="31">
        <v>0</v>
      </c>
      <c r="F288" s="22" t="s">
        <v>2757</v>
      </c>
      <c r="G288" s="21" t="s">
        <v>3202</v>
      </c>
      <c r="H288" s="21" t="s">
        <v>3499</v>
      </c>
      <c r="I288" s="21" t="s">
        <v>63</v>
      </c>
      <c r="J288" s="21" t="s">
        <v>20</v>
      </c>
      <c r="K288" s="22" t="s">
        <v>63</v>
      </c>
      <c r="L288" s="22" t="s">
        <v>63</v>
      </c>
      <c r="M288" s="22" t="s">
        <v>3204</v>
      </c>
      <c r="N288" s="22" t="s">
        <v>3660</v>
      </c>
    </row>
    <row r="289" ht="20" customHeight="1" spans="1:14" s="23" customFormat="1" x14ac:dyDescent="0.25">
      <c r="A289" s="24" t="s">
        <v>3661</v>
      </c>
      <c r="B289" s="24" t="s">
        <v>706</v>
      </c>
      <c r="C289" s="25" t="s">
        <v>2696</v>
      </c>
      <c r="D289" s="32">
        <v>107</v>
      </c>
      <c r="E289" s="33">
        <v>0</v>
      </c>
      <c r="F289" s="25" t="s">
        <v>2757</v>
      </c>
      <c r="G289" s="24" t="s">
        <v>3202</v>
      </c>
      <c r="H289" s="24" t="s">
        <v>3499</v>
      </c>
      <c r="I289" s="24" t="s">
        <v>63</v>
      </c>
      <c r="J289" s="24" t="s">
        <v>20</v>
      </c>
      <c r="K289" s="25" t="s">
        <v>63</v>
      </c>
      <c r="L289" s="25" t="s">
        <v>63</v>
      </c>
      <c r="M289" s="25" t="s">
        <v>3204</v>
      </c>
      <c r="N289" s="25" t="s">
        <v>3660</v>
      </c>
    </row>
    <row r="290" ht="20" customHeight="1" spans="1:14" x14ac:dyDescent="0.25">
      <c r="A290" s="21" t="s">
        <v>3662</v>
      </c>
      <c r="B290" s="21" t="s">
        <v>706</v>
      </c>
      <c r="C290" s="22" t="s">
        <v>2679</v>
      </c>
      <c r="D290" s="30">
        <v>39</v>
      </c>
      <c r="E290" s="31">
        <v>0</v>
      </c>
      <c r="F290" s="22" t="s">
        <v>2757</v>
      </c>
      <c r="G290" s="21" t="s">
        <v>3202</v>
      </c>
      <c r="H290" s="21" t="s">
        <v>3499</v>
      </c>
      <c r="I290" s="21" t="s">
        <v>63</v>
      </c>
      <c r="J290" s="21" t="s">
        <v>20</v>
      </c>
      <c r="K290" s="22" t="s">
        <v>63</v>
      </c>
      <c r="L290" s="22" t="s">
        <v>63</v>
      </c>
      <c r="M290" s="22" t="s">
        <v>3204</v>
      </c>
      <c r="N290" s="22" t="s">
        <v>3663</v>
      </c>
    </row>
    <row r="291" ht="20" customHeight="1" spans="1:14" s="23" customFormat="1" x14ac:dyDescent="0.25">
      <c r="A291" s="24" t="s">
        <v>3664</v>
      </c>
      <c r="B291" s="24" t="s">
        <v>706</v>
      </c>
      <c r="C291" s="25" t="s">
        <v>2560</v>
      </c>
      <c r="D291" s="32">
        <v>10</v>
      </c>
      <c r="E291" s="33">
        <v>0</v>
      </c>
      <c r="F291" s="25" t="s">
        <v>2561</v>
      </c>
      <c r="G291" s="24" t="s">
        <v>3407</v>
      </c>
      <c r="H291" s="24" t="s">
        <v>3408</v>
      </c>
      <c r="I291" s="24" t="s">
        <v>367</v>
      </c>
      <c r="J291" s="24">
        <f>SE(I291="","-",SE(DATA.VALOR(I291)&lt;HOJE(),"VENCIDO",SE(DATA.VALOR(I291)-HOJE()&lt;=30,"CRÍTICO (&lt;=30D)","REGULAR")))</f>
      </c>
      <c r="K291" s="25" t="s">
        <v>63</v>
      </c>
      <c r="L291" s="25" t="s">
        <v>63</v>
      </c>
      <c r="M291" s="25" t="s">
        <v>3409</v>
      </c>
      <c r="N291" s="25" t="s">
        <v>3665</v>
      </c>
    </row>
    <row r="292" ht="20" customHeight="1" spans="1:14" x14ac:dyDescent="0.25">
      <c r="A292" s="21" t="s">
        <v>3666</v>
      </c>
      <c r="B292" s="21" t="s">
        <v>706</v>
      </c>
      <c r="C292" s="22" t="s">
        <v>2666</v>
      </c>
      <c r="D292" s="30">
        <v>70</v>
      </c>
      <c r="E292" s="31">
        <v>0</v>
      </c>
      <c r="F292" s="22" t="s">
        <v>2757</v>
      </c>
      <c r="G292" s="21" t="s">
        <v>3202</v>
      </c>
      <c r="H292" s="21" t="s">
        <v>3499</v>
      </c>
      <c r="I292" s="21" t="s">
        <v>63</v>
      </c>
      <c r="J292" s="21" t="s">
        <v>20</v>
      </c>
      <c r="K292" s="22" t="s">
        <v>63</v>
      </c>
      <c r="L292" s="22" t="s">
        <v>63</v>
      </c>
      <c r="M292" s="22" t="s">
        <v>3204</v>
      </c>
      <c r="N292" s="22" t="s">
        <v>3667</v>
      </c>
    </row>
    <row r="293" ht="20" customHeight="1" spans="1:14" s="23" customFormat="1" x14ac:dyDescent="0.25">
      <c r="A293" s="24" t="s">
        <v>3668</v>
      </c>
      <c r="B293" s="24" t="s">
        <v>706</v>
      </c>
      <c r="C293" s="25" t="s">
        <v>2696</v>
      </c>
      <c r="D293" s="32">
        <v>107</v>
      </c>
      <c r="E293" s="33">
        <v>0</v>
      </c>
      <c r="F293" s="25" t="s">
        <v>2757</v>
      </c>
      <c r="G293" s="24" t="s">
        <v>3202</v>
      </c>
      <c r="H293" s="24" t="s">
        <v>3499</v>
      </c>
      <c r="I293" s="24" t="s">
        <v>63</v>
      </c>
      <c r="J293" s="24" t="s">
        <v>20</v>
      </c>
      <c r="K293" s="25" t="s">
        <v>63</v>
      </c>
      <c r="L293" s="25" t="s">
        <v>63</v>
      </c>
      <c r="M293" s="25" t="s">
        <v>3204</v>
      </c>
      <c r="N293" s="25" t="s">
        <v>3669</v>
      </c>
    </row>
    <row r="294" ht="20" customHeight="1" spans="1:14" x14ac:dyDescent="0.25">
      <c r="A294" s="21" t="s">
        <v>3670</v>
      </c>
      <c r="B294" s="21" t="s">
        <v>706</v>
      </c>
      <c r="C294" s="22" t="s">
        <v>2679</v>
      </c>
      <c r="D294" s="30">
        <v>39</v>
      </c>
      <c r="E294" s="31">
        <v>0</v>
      </c>
      <c r="F294" s="22" t="s">
        <v>2757</v>
      </c>
      <c r="G294" s="21" t="s">
        <v>3202</v>
      </c>
      <c r="H294" s="21" t="s">
        <v>3499</v>
      </c>
      <c r="I294" s="21" t="s">
        <v>63</v>
      </c>
      <c r="J294" s="21" t="s">
        <v>20</v>
      </c>
      <c r="K294" s="22" t="s">
        <v>63</v>
      </c>
      <c r="L294" s="22" t="s">
        <v>63</v>
      </c>
      <c r="M294" s="22" t="s">
        <v>3204</v>
      </c>
      <c r="N294" s="22" t="s">
        <v>3669</v>
      </c>
    </row>
    <row r="295" ht="20" customHeight="1" spans="1:14" s="23" customFormat="1" x14ac:dyDescent="0.25">
      <c r="A295" s="24" t="s">
        <v>3671</v>
      </c>
      <c r="B295" s="24" t="s">
        <v>2564</v>
      </c>
      <c r="C295" s="25" t="s">
        <v>2666</v>
      </c>
      <c r="D295" s="32">
        <v>70</v>
      </c>
      <c r="E295" s="33">
        <v>0</v>
      </c>
      <c r="F295" s="25" t="s">
        <v>2757</v>
      </c>
      <c r="G295" s="24" t="s">
        <v>3202</v>
      </c>
      <c r="H295" s="24" t="s">
        <v>3499</v>
      </c>
      <c r="I295" s="24" t="s">
        <v>63</v>
      </c>
      <c r="J295" s="24" t="s">
        <v>20</v>
      </c>
      <c r="K295" s="25" t="s">
        <v>63</v>
      </c>
      <c r="L295" s="25" t="s">
        <v>63</v>
      </c>
      <c r="M295" s="25" t="s">
        <v>3204</v>
      </c>
      <c r="N295" s="25" t="s">
        <v>3672</v>
      </c>
    </row>
    <row r="296" ht="20" customHeight="1" spans="1:14" x14ac:dyDescent="0.25">
      <c r="A296" s="21" t="s">
        <v>3673</v>
      </c>
      <c r="B296" s="21" t="s">
        <v>2564</v>
      </c>
      <c r="C296" s="22" t="s">
        <v>2696</v>
      </c>
      <c r="D296" s="30">
        <v>107</v>
      </c>
      <c r="E296" s="31">
        <v>0</v>
      </c>
      <c r="F296" s="22" t="s">
        <v>2757</v>
      </c>
      <c r="G296" s="21" t="s">
        <v>3202</v>
      </c>
      <c r="H296" s="21" t="s">
        <v>3499</v>
      </c>
      <c r="I296" s="21" t="s">
        <v>63</v>
      </c>
      <c r="J296" s="21" t="s">
        <v>20</v>
      </c>
      <c r="K296" s="22" t="s">
        <v>63</v>
      </c>
      <c r="L296" s="22" t="s">
        <v>63</v>
      </c>
      <c r="M296" s="22" t="s">
        <v>3204</v>
      </c>
      <c r="N296" s="22" t="s">
        <v>3672</v>
      </c>
    </row>
    <row r="297" ht="20" customHeight="1" spans="1:14" s="23" customFormat="1" x14ac:dyDescent="0.25">
      <c r="A297" s="24" t="s">
        <v>3674</v>
      </c>
      <c r="B297" s="24" t="s">
        <v>2564</v>
      </c>
      <c r="C297" s="25" t="s">
        <v>2679</v>
      </c>
      <c r="D297" s="32">
        <v>39</v>
      </c>
      <c r="E297" s="33">
        <v>0</v>
      </c>
      <c r="F297" s="25" t="s">
        <v>2757</v>
      </c>
      <c r="G297" s="24" t="s">
        <v>3202</v>
      </c>
      <c r="H297" s="24" t="s">
        <v>3499</v>
      </c>
      <c r="I297" s="24" t="s">
        <v>63</v>
      </c>
      <c r="J297" s="24" t="s">
        <v>20</v>
      </c>
      <c r="K297" s="25" t="s">
        <v>63</v>
      </c>
      <c r="L297" s="25" t="s">
        <v>63</v>
      </c>
      <c r="M297" s="25" t="s">
        <v>3204</v>
      </c>
      <c r="N297" s="25" t="s">
        <v>3672</v>
      </c>
    </row>
    <row r="298" ht="20" customHeight="1" spans="1:14" x14ac:dyDescent="0.25">
      <c r="A298" s="21" t="s">
        <v>3675</v>
      </c>
      <c r="B298" s="21" t="s">
        <v>568</v>
      </c>
      <c r="C298" s="22" t="s">
        <v>2624</v>
      </c>
      <c r="D298" s="30">
        <v>2534</v>
      </c>
      <c r="E298" s="31">
        <v>55874.700000000004</v>
      </c>
      <c r="F298" s="22" t="s">
        <v>2607</v>
      </c>
      <c r="G298" s="21" t="s">
        <v>3676</v>
      </c>
      <c r="H298" s="21" t="s">
        <v>3677</v>
      </c>
      <c r="I298" s="21" t="s">
        <v>1467</v>
      </c>
      <c r="J298" s="21">
        <f>SE(I298="","-",SE(DATA.VALOR(I298)&lt;HOJE(),"VENCIDO",SE(DATA.VALOR(I298)-HOJE()&lt;=30,"CRÍTICO (&lt;=30D)","REGULAR")))</f>
      </c>
      <c r="K298" s="22" t="s">
        <v>3678</v>
      </c>
      <c r="L298" s="22" t="s">
        <v>3679</v>
      </c>
      <c r="M298" s="22" t="s">
        <v>3680</v>
      </c>
      <c r="N298" s="22" t="s">
        <v>3681</v>
      </c>
    </row>
    <row r="299" ht="20" customHeight="1" spans="1:14" s="23" customFormat="1" x14ac:dyDescent="0.25">
      <c r="A299" s="24" t="s">
        <v>3682</v>
      </c>
      <c r="B299" s="24" t="s">
        <v>777</v>
      </c>
      <c r="C299" s="25" t="s">
        <v>3245</v>
      </c>
      <c r="D299" s="32">
        <v>10</v>
      </c>
      <c r="E299" s="33">
        <v>250</v>
      </c>
      <c r="F299" s="25" t="s">
        <v>2616</v>
      </c>
      <c r="G299" s="24" t="s">
        <v>3683</v>
      </c>
      <c r="H299" s="24" t="s">
        <v>3684</v>
      </c>
      <c r="I299" s="24" t="s">
        <v>883</v>
      </c>
      <c r="J299" s="24">
        <f>SE(I299="","-",SE(DATA.VALOR(I299)&lt;HOJE(),"VENCIDO",SE(DATA.VALOR(I299)-HOJE()&lt;=30,"CRÍTICO (&lt;=30D)","REGULAR")))</f>
      </c>
      <c r="K299" s="25" t="s">
        <v>3685</v>
      </c>
      <c r="L299" s="25" t="s">
        <v>2964</v>
      </c>
      <c r="M299" s="25" t="s">
        <v>3686</v>
      </c>
      <c r="N299" s="25" t="s">
        <v>3687</v>
      </c>
    </row>
    <row r="300" ht="20" customHeight="1" spans="1:14" x14ac:dyDescent="0.25">
      <c r="A300" s="21" t="s">
        <v>3688</v>
      </c>
      <c r="B300" s="21" t="s">
        <v>777</v>
      </c>
      <c r="C300" s="22" t="s">
        <v>2959</v>
      </c>
      <c r="D300" s="30">
        <v>310</v>
      </c>
      <c r="E300" s="31">
        <v>2294</v>
      </c>
      <c r="F300" s="22" t="s">
        <v>2616</v>
      </c>
      <c r="G300" s="21" t="s">
        <v>3683</v>
      </c>
      <c r="H300" s="21" t="s">
        <v>3689</v>
      </c>
      <c r="I300" s="21" t="s">
        <v>883</v>
      </c>
      <c r="J300" s="21">
        <f>SE(I300="","-",SE(DATA.VALOR(I300)&lt;HOJE(),"VENCIDO",SE(DATA.VALOR(I300)-HOJE()&lt;=30,"CRÍTICO (&lt;=30D)","REGULAR")))</f>
      </c>
      <c r="K300" s="22" t="s">
        <v>3685</v>
      </c>
      <c r="L300" s="22" t="s">
        <v>2964</v>
      </c>
      <c r="M300" s="22" t="s">
        <v>3686</v>
      </c>
      <c r="N300" s="22" t="s">
        <v>3687</v>
      </c>
    </row>
    <row r="301" ht="20" customHeight="1" spans="1:14" s="23" customFormat="1" x14ac:dyDescent="0.25">
      <c r="A301" s="24" t="s">
        <v>3690</v>
      </c>
      <c r="B301" s="24" t="s">
        <v>777</v>
      </c>
      <c r="C301" s="25" t="s">
        <v>2968</v>
      </c>
      <c r="D301" s="32">
        <v>750</v>
      </c>
      <c r="E301" s="33">
        <v>1380</v>
      </c>
      <c r="F301" s="25" t="s">
        <v>2616</v>
      </c>
      <c r="G301" s="24" t="s">
        <v>3691</v>
      </c>
      <c r="H301" s="24" t="s">
        <v>3689</v>
      </c>
      <c r="I301" s="24" t="s">
        <v>883</v>
      </c>
      <c r="J301" s="24">
        <f>SE(I301="","-",SE(DATA.VALOR(I301)&lt;HOJE(),"VENCIDO",SE(DATA.VALOR(I301)-HOJE()&lt;=30,"CRÍTICO (&lt;=30D)","REGULAR")))</f>
      </c>
      <c r="K301" s="25" t="s">
        <v>3692</v>
      </c>
      <c r="L301" s="25" t="s">
        <v>3693</v>
      </c>
      <c r="M301" s="25" t="s">
        <v>3694</v>
      </c>
      <c r="N301" s="25" t="s">
        <v>3695</v>
      </c>
    </row>
    <row r="302" ht="20" customHeight="1" spans="1:14" x14ac:dyDescent="0.25">
      <c r="A302" s="21" t="s">
        <v>3696</v>
      </c>
      <c r="B302" s="21" t="s">
        <v>777</v>
      </c>
      <c r="C302" s="22" t="s">
        <v>2975</v>
      </c>
      <c r="D302" s="30">
        <v>300</v>
      </c>
      <c r="E302" s="31">
        <v>486.00000000000006</v>
      </c>
      <c r="F302" s="22" t="s">
        <v>2616</v>
      </c>
      <c r="G302" s="21" t="s">
        <v>3691</v>
      </c>
      <c r="H302" s="21" t="s">
        <v>3689</v>
      </c>
      <c r="I302" s="21" t="s">
        <v>883</v>
      </c>
      <c r="J302" s="21">
        <f>SE(I302="","-",SE(DATA.VALOR(I302)&lt;HOJE(),"VENCIDO",SE(DATA.VALOR(I302)-HOJE()&lt;=30,"CRÍTICO (&lt;=30D)","REGULAR")))</f>
      </c>
      <c r="K302" s="22" t="s">
        <v>3692</v>
      </c>
      <c r="L302" s="22" t="s">
        <v>3693</v>
      </c>
      <c r="M302" s="22" t="s">
        <v>3694</v>
      </c>
      <c r="N302" s="22" t="s">
        <v>3695</v>
      </c>
    </row>
    <row r="303" ht="20" customHeight="1" spans="1:14" s="23" customFormat="1" x14ac:dyDescent="0.25">
      <c r="A303" s="24" t="s">
        <v>3697</v>
      </c>
      <c r="B303" s="24" t="s">
        <v>807</v>
      </c>
      <c r="C303" s="25" t="s">
        <v>3698</v>
      </c>
      <c r="D303" s="32">
        <v>1000</v>
      </c>
      <c r="E303" s="33">
        <v>0</v>
      </c>
      <c r="F303" s="25" t="s">
        <v>3699</v>
      </c>
      <c r="G303" s="24" t="s">
        <v>3700</v>
      </c>
      <c r="H303" s="24" t="s">
        <v>3701</v>
      </c>
      <c r="I303" s="24" t="s">
        <v>1802</v>
      </c>
      <c r="J303" s="24">
        <f>SE(I303="","-",SE(DATA.VALOR(I303)&lt;HOJE(),"VENCIDO",SE(DATA.VALOR(I303)-HOJE()&lt;=30,"CRÍTICO (&lt;=30D)","REGULAR")))</f>
      </c>
      <c r="K303" s="25" t="s">
        <v>3702</v>
      </c>
      <c r="L303" s="25" t="s">
        <v>3703</v>
      </c>
      <c r="M303" s="25" t="s">
        <v>3704</v>
      </c>
      <c r="N303" s="25" t="s">
        <v>3705</v>
      </c>
    </row>
    <row r="304" ht="20" customHeight="1" spans="1:14" x14ac:dyDescent="0.25">
      <c r="A304" s="21" t="s">
        <v>3706</v>
      </c>
      <c r="B304" s="21" t="s">
        <v>807</v>
      </c>
      <c r="C304" s="22" t="s">
        <v>3707</v>
      </c>
      <c r="D304" s="30">
        <v>50</v>
      </c>
      <c r="E304" s="31">
        <v>0</v>
      </c>
      <c r="F304" s="22" t="s">
        <v>3699</v>
      </c>
      <c r="G304" s="21" t="s">
        <v>3700</v>
      </c>
      <c r="H304" s="21" t="s">
        <v>3708</v>
      </c>
      <c r="I304" s="21" t="s">
        <v>1780</v>
      </c>
      <c r="J304" s="21">
        <f>SE(I304="","-",SE(DATA.VALOR(I304)&lt;HOJE(),"VENCIDO",SE(DATA.VALOR(I304)-HOJE()&lt;=30,"CRÍTICO (&lt;=30D)","REGULAR")))</f>
      </c>
      <c r="K304" s="22" t="s">
        <v>3702</v>
      </c>
      <c r="L304" s="22" t="s">
        <v>3703</v>
      </c>
      <c r="M304" s="22" t="s">
        <v>3704</v>
      </c>
      <c r="N304" s="22" t="s">
        <v>3705</v>
      </c>
    </row>
    <row r="305" ht="20" customHeight="1" spans="1:14" s="23" customFormat="1" x14ac:dyDescent="0.25">
      <c r="A305" s="24" t="s">
        <v>3709</v>
      </c>
      <c r="B305" s="24" t="s">
        <v>807</v>
      </c>
      <c r="C305" s="25" t="s">
        <v>3710</v>
      </c>
      <c r="D305" s="32">
        <v>200</v>
      </c>
      <c r="E305" s="33">
        <v>0</v>
      </c>
      <c r="F305" s="25" t="s">
        <v>3699</v>
      </c>
      <c r="G305" s="24" t="s">
        <v>3700</v>
      </c>
      <c r="H305" s="24" t="s">
        <v>3701</v>
      </c>
      <c r="I305" s="24" t="s">
        <v>1016</v>
      </c>
      <c r="J305" s="24">
        <f>SE(I305="","-",SE(DATA.VALOR(I305)&lt;HOJE(),"VENCIDO",SE(DATA.VALOR(I305)-HOJE()&lt;=30,"CRÍTICO (&lt;=30D)","REGULAR")))</f>
      </c>
      <c r="K305" s="25" t="s">
        <v>3702</v>
      </c>
      <c r="L305" s="25" t="s">
        <v>3703</v>
      </c>
      <c r="M305" s="25" t="s">
        <v>3704</v>
      </c>
      <c r="N305" s="25" t="s">
        <v>3705</v>
      </c>
    </row>
    <row r="306" ht="20" customHeight="1" spans="1:14" x14ac:dyDescent="0.25">
      <c r="A306" s="21" t="s">
        <v>3711</v>
      </c>
      <c r="B306" s="21" t="s">
        <v>568</v>
      </c>
      <c r="C306" s="22" t="s">
        <v>2666</v>
      </c>
      <c r="D306" s="30">
        <v>61.619</v>
      </c>
      <c r="E306" s="31">
        <v>194.1</v>
      </c>
      <c r="F306" s="22" t="s">
        <v>2667</v>
      </c>
      <c r="G306" s="21" t="s">
        <v>3712</v>
      </c>
      <c r="H306" s="21" t="s">
        <v>3713</v>
      </c>
      <c r="I306" s="21" t="s">
        <v>963</v>
      </c>
      <c r="J306" s="21">
        <f>SE(I306="","-",SE(DATA.VALOR(I306)&lt;HOJE(),"VENCIDO",SE(DATA.VALOR(I306)-HOJE()&lt;=30,"CRÍTICO (&lt;=30D)","REGULAR")))</f>
      </c>
      <c r="K306" s="22" t="s">
        <v>3714</v>
      </c>
      <c r="L306" s="22" t="s">
        <v>2671</v>
      </c>
      <c r="M306" s="22" t="s">
        <v>3715</v>
      </c>
      <c r="N306" s="22" t="s">
        <v>3716</v>
      </c>
    </row>
    <row r="307" ht="20" customHeight="1" spans="1:14" s="23" customFormat="1" x14ac:dyDescent="0.25">
      <c r="A307" s="24" t="s">
        <v>3717</v>
      </c>
      <c r="B307" s="24" t="s">
        <v>568</v>
      </c>
      <c r="C307" s="25" t="s">
        <v>2675</v>
      </c>
      <c r="D307" s="32">
        <v>188.6</v>
      </c>
      <c r="E307" s="33">
        <v>744.97</v>
      </c>
      <c r="F307" s="25" t="s">
        <v>2667</v>
      </c>
      <c r="G307" s="24" t="s">
        <v>3712</v>
      </c>
      <c r="H307" s="24" t="s">
        <v>3713</v>
      </c>
      <c r="I307" s="24" t="s">
        <v>963</v>
      </c>
      <c r="J307" s="24">
        <f>SE(I307="","-",SE(DATA.VALOR(I307)&lt;HOJE(),"VENCIDO",SE(DATA.VALOR(I307)-HOJE()&lt;=30,"CRÍTICO (&lt;=30D)","REGULAR")))</f>
      </c>
      <c r="K307" s="25" t="s">
        <v>3714</v>
      </c>
      <c r="L307" s="25" t="s">
        <v>2671</v>
      </c>
      <c r="M307" s="25" t="s">
        <v>3715</v>
      </c>
      <c r="N307" s="25" t="s">
        <v>3716</v>
      </c>
    </row>
    <row r="308" ht="20" customHeight="1" spans="1:14" x14ac:dyDescent="0.25">
      <c r="A308" s="21" t="s">
        <v>3718</v>
      </c>
      <c r="B308" s="21" t="s">
        <v>568</v>
      </c>
      <c r="C308" s="22" t="s">
        <v>2679</v>
      </c>
      <c r="D308" s="30">
        <v>59.4681</v>
      </c>
      <c r="E308" s="31">
        <v>325.89</v>
      </c>
      <c r="F308" s="22" t="s">
        <v>2667</v>
      </c>
      <c r="G308" s="21" t="s">
        <v>3712</v>
      </c>
      <c r="H308" s="21" t="s">
        <v>3713</v>
      </c>
      <c r="I308" s="21" t="s">
        <v>963</v>
      </c>
      <c r="J308" s="21">
        <f>SE(I308="","-",SE(DATA.VALOR(I308)&lt;HOJE(),"VENCIDO",SE(DATA.VALOR(I308)-HOJE()&lt;=30,"CRÍTICO (&lt;=30D)","REGULAR")))</f>
      </c>
      <c r="K308" s="22" t="s">
        <v>3714</v>
      </c>
      <c r="L308" s="22" t="s">
        <v>2671</v>
      </c>
      <c r="M308" s="22" t="s">
        <v>3715</v>
      </c>
      <c r="N308" s="22" t="s">
        <v>3716</v>
      </c>
    </row>
    <row r="309" ht="20" customHeight="1" spans="1:14" s="23" customFormat="1" x14ac:dyDescent="0.25">
      <c r="A309" s="24" t="s">
        <v>3719</v>
      </c>
      <c r="B309" s="24" t="s">
        <v>568</v>
      </c>
      <c r="C309" s="25" t="s">
        <v>2684</v>
      </c>
      <c r="D309" s="32">
        <v>261.8</v>
      </c>
      <c r="E309" s="33">
        <v>963.4240000000001</v>
      </c>
      <c r="F309" s="25" t="s">
        <v>2734</v>
      </c>
      <c r="G309" s="24" t="s">
        <v>3720</v>
      </c>
      <c r="H309" s="24" t="s">
        <v>3194</v>
      </c>
      <c r="I309" s="24" t="s">
        <v>63</v>
      </c>
      <c r="J309" s="24" t="s">
        <v>20</v>
      </c>
      <c r="K309" s="25" t="s">
        <v>3721</v>
      </c>
      <c r="L309" s="25" t="s">
        <v>2738</v>
      </c>
      <c r="M309" s="25" t="s">
        <v>3722</v>
      </c>
      <c r="N309" s="25" t="s">
        <v>3723</v>
      </c>
    </row>
    <row r="310" ht="20" customHeight="1" spans="1:14" x14ac:dyDescent="0.25">
      <c r="A310" s="21" t="s">
        <v>3724</v>
      </c>
      <c r="B310" s="21" t="s">
        <v>568</v>
      </c>
      <c r="C310" s="22" t="s">
        <v>2746</v>
      </c>
      <c r="D310" s="30">
        <v>238.5</v>
      </c>
      <c r="E310" s="31">
        <v>1407.15</v>
      </c>
      <c r="F310" s="22" t="s">
        <v>2734</v>
      </c>
      <c r="G310" s="21" t="s">
        <v>3720</v>
      </c>
      <c r="H310" s="21" t="s">
        <v>3194</v>
      </c>
      <c r="I310" s="21" t="s">
        <v>63</v>
      </c>
      <c r="J310" s="21" t="s">
        <v>20</v>
      </c>
      <c r="K310" s="22" t="s">
        <v>3721</v>
      </c>
      <c r="L310" s="22" t="s">
        <v>2738</v>
      </c>
      <c r="M310" s="22" t="s">
        <v>3722</v>
      </c>
      <c r="N310" s="22" t="s">
        <v>3723</v>
      </c>
    </row>
    <row r="311" ht="20" customHeight="1" spans="1:14" s="23" customFormat="1" x14ac:dyDescent="0.25">
      <c r="A311" s="24" t="s">
        <v>3725</v>
      </c>
      <c r="B311" s="24" t="s">
        <v>568</v>
      </c>
      <c r="C311" s="25" t="s">
        <v>2696</v>
      </c>
      <c r="D311" s="32">
        <v>38.7</v>
      </c>
      <c r="E311" s="33">
        <v>139.32000000000002</v>
      </c>
      <c r="F311" s="25" t="s">
        <v>2734</v>
      </c>
      <c r="G311" s="24" t="s">
        <v>3720</v>
      </c>
      <c r="H311" s="24" t="s">
        <v>3194</v>
      </c>
      <c r="I311" s="24" t="s">
        <v>63</v>
      </c>
      <c r="J311" s="24" t="s">
        <v>20</v>
      </c>
      <c r="K311" s="25" t="s">
        <v>3721</v>
      </c>
      <c r="L311" s="25" t="s">
        <v>2738</v>
      </c>
      <c r="M311" s="25" t="s">
        <v>3722</v>
      </c>
      <c r="N311" s="25" t="s">
        <v>3723</v>
      </c>
    </row>
    <row r="312" ht="20" customHeight="1" spans="1:14" x14ac:dyDescent="0.25">
      <c r="A312" s="21" t="s">
        <v>3726</v>
      </c>
      <c r="B312" s="21" t="s">
        <v>568</v>
      </c>
      <c r="C312" s="22" t="s">
        <v>2741</v>
      </c>
      <c r="D312" s="30">
        <v>143.8</v>
      </c>
      <c r="E312" s="31">
        <v>488.92</v>
      </c>
      <c r="F312" s="22" t="s">
        <v>2734</v>
      </c>
      <c r="G312" s="21" t="s">
        <v>3720</v>
      </c>
      <c r="H312" s="21" t="s">
        <v>3194</v>
      </c>
      <c r="I312" s="21" t="s">
        <v>63</v>
      </c>
      <c r="J312" s="21" t="s">
        <v>20</v>
      </c>
      <c r="K312" s="22" t="s">
        <v>3721</v>
      </c>
      <c r="L312" s="22" t="s">
        <v>2738</v>
      </c>
      <c r="M312" s="22" t="s">
        <v>3722</v>
      </c>
      <c r="N312" s="22" t="s">
        <v>3723</v>
      </c>
    </row>
    <row r="313" ht="20" customHeight="1" spans="1:14" s="23" customFormat="1" x14ac:dyDescent="0.25">
      <c r="A313" s="24" t="s">
        <v>3727</v>
      </c>
      <c r="B313" s="24" t="s">
        <v>568</v>
      </c>
      <c r="C313" s="25" t="s">
        <v>2666</v>
      </c>
      <c r="D313" s="32">
        <v>6.4</v>
      </c>
      <c r="E313" s="33">
        <v>20.16</v>
      </c>
      <c r="F313" s="25" t="s">
        <v>2734</v>
      </c>
      <c r="G313" s="24" t="s">
        <v>3720</v>
      </c>
      <c r="H313" s="24" t="s">
        <v>3194</v>
      </c>
      <c r="I313" s="24" t="s">
        <v>63</v>
      </c>
      <c r="J313" s="24" t="s">
        <v>20</v>
      </c>
      <c r="K313" s="25" t="s">
        <v>3721</v>
      </c>
      <c r="L313" s="25" t="s">
        <v>2738</v>
      </c>
      <c r="M313" s="25" t="s">
        <v>3722</v>
      </c>
      <c r="N313" s="25" t="s">
        <v>3723</v>
      </c>
    </row>
    <row r="314" ht="20" customHeight="1" spans="1:14" x14ac:dyDescent="0.25">
      <c r="A314" s="21" t="s">
        <v>3728</v>
      </c>
      <c r="B314" s="21" t="s">
        <v>568</v>
      </c>
      <c r="C314" s="22" t="s">
        <v>2749</v>
      </c>
      <c r="D314" s="30">
        <v>347.3</v>
      </c>
      <c r="E314" s="31">
        <v>1107.887</v>
      </c>
      <c r="F314" s="22" t="s">
        <v>2734</v>
      </c>
      <c r="G314" s="21" t="s">
        <v>3720</v>
      </c>
      <c r="H314" s="21" t="s">
        <v>3194</v>
      </c>
      <c r="I314" s="21" t="s">
        <v>63</v>
      </c>
      <c r="J314" s="21" t="s">
        <v>20</v>
      </c>
      <c r="K314" s="22" t="s">
        <v>3721</v>
      </c>
      <c r="L314" s="22" t="s">
        <v>2738</v>
      </c>
      <c r="M314" s="22" t="s">
        <v>3722</v>
      </c>
      <c r="N314" s="22" t="s">
        <v>3723</v>
      </c>
    </row>
    <row r="315" ht="20" customHeight="1" spans="1:14" s="23" customFormat="1" x14ac:dyDescent="0.25">
      <c r="A315" s="24" t="s">
        <v>3729</v>
      </c>
      <c r="B315" s="24" t="s">
        <v>568</v>
      </c>
      <c r="C315" s="25" t="s">
        <v>2675</v>
      </c>
      <c r="D315" s="32">
        <v>144.6</v>
      </c>
      <c r="E315" s="33">
        <v>571.17</v>
      </c>
      <c r="F315" s="25" t="s">
        <v>2734</v>
      </c>
      <c r="G315" s="24" t="s">
        <v>3720</v>
      </c>
      <c r="H315" s="24" t="s">
        <v>3194</v>
      </c>
      <c r="I315" s="24" t="s">
        <v>63</v>
      </c>
      <c r="J315" s="24" t="s">
        <v>20</v>
      </c>
      <c r="K315" s="25" t="s">
        <v>3721</v>
      </c>
      <c r="L315" s="25" t="s">
        <v>2738</v>
      </c>
      <c r="M315" s="25" t="s">
        <v>3722</v>
      </c>
      <c r="N315" s="25" t="s">
        <v>3723</v>
      </c>
    </row>
    <row r="316" ht="20" customHeight="1" spans="1:14" x14ac:dyDescent="0.25">
      <c r="A316" s="21" t="s">
        <v>3730</v>
      </c>
      <c r="B316" s="21" t="s">
        <v>568</v>
      </c>
      <c r="C316" s="22" t="s">
        <v>2679</v>
      </c>
      <c r="D316" s="30">
        <v>67</v>
      </c>
      <c r="E316" s="31">
        <v>367.16</v>
      </c>
      <c r="F316" s="22" t="s">
        <v>2734</v>
      </c>
      <c r="G316" s="21" t="s">
        <v>3720</v>
      </c>
      <c r="H316" s="21" t="s">
        <v>3194</v>
      </c>
      <c r="I316" s="21" t="s">
        <v>63</v>
      </c>
      <c r="J316" s="21" t="s">
        <v>20</v>
      </c>
      <c r="K316" s="22" t="s">
        <v>3721</v>
      </c>
      <c r="L316" s="22" t="s">
        <v>2738</v>
      </c>
      <c r="M316" s="22" t="s">
        <v>3722</v>
      </c>
      <c r="N316" s="22" t="s">
        <v>3723</v>
      </c>
    </row>
    <row r="317" ht="20" customHeight="1" spans="1:14" s="23" customFormat="1" x14ac:dyDescent="0.25">
      <c r="A317" s="24" t="s">
        <v>3731</v>
      </c>
      <c r="B317" s="24" t="s">
        <v>568</v>
      </c>
      <c r="C317" s="25" t="s">
        <v>2560</v>
      </c>
      <c r="D317" s="32">
        <v>250</v>
      </c>
      <c r="E317" s="33">
        <v>0</v>
      </c>
      <c r="F317" s="25" t="s">
        <v>2561</v>
      </c>
      <c r="G317" s="24" t="s">
        <v>3732</v>
      </c>
      <c r="H317" s="24" t="s">
        <v>3733</v>
      </c>
      <c r="I317" s="24" t="s">
        <v>1117</v>
      </c>
      <c r="J317" s="24">
        <f>SE(I317="","-",SE(DATA.VALOR(I317)&lt;HOJE(),"VENCIDO",SE(DATA.VALOR(I317)-HOJE()&lt;=30,"CRÍTICO (&lt;=30D)","REGULAR")))</f>
      </c>
      <c r="K317" s="25" t="s">
        <v>63</v>
      </c>
      <c r="L317" s="25" t="s">
        <v>63</v>
      </c>
      <c r="M317" s="25" t="s">
        <v>3734</v>
      </c>
      <c r="N317" s="25" t="s">
        <v>3735</v>
      </c>
    </row>
    <row r="318" ht="20" customHeight="1" spans="1:14" x14ac:dyDescent="0.25">
      <c r="A318" s="21" t="s">
        <v>3736</v>
      </c>
      <c r="B318" s="21" t="s">
        <v>568</v>
      </c>
      <c r="C318" s="22" t="s">
        <v>2572</v>
      </c>
      <c r="D318" s="30">
        <v>200</v>
      </c>
      <c r="E318" s="31">
        <v>0</v>
      </c>
      <c r="F318" s="22" t="s">
        <v>2561</v>
      </c>
      <c r="G318" s="21" t="s">
        <v>3732</v>
      </c>
      <c r="H318" s="21" t="s">
        <v>3733</v>
      </c>
      <c r="I318" s="21" t="s">
        <v>1117</v>
      </c>
      <c r="J318" s="21">
        <f>SE(I318="","-",SE(DATA.VALOR(I318)&lt;HOJE(),"VENCIDO",SE(DATA.VALOR(I318)-HOJE()&lt;=30,"CRÍTICO (&lt;=30D)","REGULAR")))</f>
      </c>
      <c r="K318" s="22" t="s">
        <v>63</v>
      </c>
      <c r="L318" s="22" t="s">
        <v>63</v>
      </c>
      <c r="M318" s="22" t="s">
        <v>3734</v>
      </c>
      <c r="N318" s="22" t="s">
        <v>3735</v>
      </c>
    </row>
    <row r="319" ht="20" customHeight="1" spans="1:14" s="23" customFormat="1" x14ac:dyDescent="0.25">
      <c r="A319" s="24" t="s">
        <v>3737</v>
      </c>
      <c r="B319" s="24" t="s">
        <v>993</v>
      </c>
      <c r="C319" s="25" t="s">
        <v>3738</v>
      </c>
      <c r="D319" s="32">
        <v>310</v>
      </c>
      <c r="E319" s="33">
        <v>2294</v>
      </c>
      <c r="F319" s="25" t="s">
        <v>2616</v>
      </c>
      <c r="G319" s="24" t="s">
        <v>3739</v>
      </c>
      <c r="H319" s="24" t="s">
        <v>3740</v>
      </c>
      <c r="I319" s="24" t="s">
        <v>1104</v>
      </c>
      <c r="J319" s="24">
        <f>SE(I319="","-",SE(DATA.VALOR(I319)&lt;HOJE(),"VENCIDO",SE(DATA.VALOR(I319)-HOJE()&lt;=30,"CRÍTICO (&lt;=30D)","REGULAR")))</f>
      </c>
      <c r="K319" s="25" t="s">
        <v>3741</v>
      </c>
      <c r="L319" s="25" t="s">
        <v>3693</v>
      </c>
      <c r="M319" s="25" t="s">
        <v>3742</v>
      </c>
      <c r="N319" s="25" t="s">
        <v>3743</v>
      </c>
    </row>
    <row r="320" ht="20" customHeight="1" spans="1:14" x14ac:dyDescent="0.25">
      <c r="A320" s="21" t="s">
        <v>3744</v>
      </c>
      <c r="B320" s="21" t="s">
        <v>2582</v>
      </c>
      <c r="C320" s="22" t="s">
        <v>2540</v>
      </c>
      <c r="D320" s="30">
        <v>10650</v>
      </c>
      <c r="E320" s="31">
        <v>3727.4999999999995</v>
      </c>
      <c r="F320" s="22" t="s">
        <v>2530</v>
      </c>
      <c r="G320" s="21" t="s">
        <v>3745</v>
      </c>
      <c r="H320" s="21" t="s">
        <v>3164</v>
      </c>
      <c r="I320" s="21" t="s">
        <v>63</v>
      </c>
      <c r="J320" s="21" t="s">
        <v>20</v>
      </c>
      <c r="K320" s="22" t="s">
        <v>3746</v>
      </c>
      <c r="L320" s="22" t="s">
        <v>3446</v>
      </c>
      <c r="M320" s="22" t="s">
        <v>63</v>
      </c>
      <c r="N320" s="22" t="s">
        <v>3747</v>
      </c>
    </row>
    <row r="321" ht="20" customHeight="1" spans="1:14" s="23" customFormat="1" x14ac:dyDescent="0.25">
      <c r="A321" s="24" t="s">
        <v>3748</v>
      </c>
      <c r="B321" s="24" t="s">
        <v>2631</v>
      </c>
      <c r="C321" s="25" t="s">
        <v>2959</v>
      </c>
      <c r="D321" s="32">
        <v>190</v>
      </c>
      <c r="E321" s="33">
        <v>1406</v>
      </c>
      <c r="F321" s="25" t="s">
        <v>2616</v>
      </c>
      <c r="G321" s="24" t="s">
        <v>2617</v>
      </c>
      <c r="H321" s="24" t="s">
        <v>3194</v>
      </c>
      <c r="I321" s="24" t="s">
        <v>63</v>
      </c>
      <c r="J321" s="24" t="s">
        <v>20</v>
      </c>
      <c r="K321" s="25" t="s">
        <v>3749</v>
      </c>
      <c r="L321" s="25" t="s">
        <v>63</v>
      </c>
      <c r="M321" s="25" t="s">
        <v>3267</v>
      </c>
      <c r="N321" s="25" t="s">
        <v>3750</v>
      </c>
    </row>
    <row r="322" ht="20" customHeight="1" spans="1:14" x14ac:dyDescent="0.25">
      <c r="A322" s="21" t="s">
        <v>3751</v>
      </c>
      <c r="B322" s="21" t="s">
        <v>2631</v>
      </c>
      <c r="C322" s="22" t="s">
        <v>3245</v>
      </c>
      <c r="D322" s="30">
        <v>10</v>
      </c>
      <c r="E322" s="31">
        <v>250</v>
      </c>
      <c r="F322" s="22" t="s">
        <v>2616</v>
      </c>
      <c r="G322" s="21" t="s">
        <v>2617</v>
      </c>
      <c r="H322" s="21" t="s">
        <v>3194</v>
      </c>
      <c r="I322" s="21" t="s">
        <v>63</v>
      </c>
      <c r="J322" s="21" t="s">
        <v>20</v>
      </c>
      <c r="K322" s="22" t="s">
        <v>3749</v>
      </c>
      <c r="L322" s="22" t="s">
        <v>63</v>
      </c>
      <c r="M322" s="22" t="s">
        <v>3267</v>
      </c>
      <c r="N322" s="22" t="s">
        <v>3752</v>
      </c>
    </row>
    <row r="323" ht="20" customHeight="1" spans="1:14" s="23" customFormat="1" x14ac:dyDescent="0.25">
      <c r="A323" s="24" t="s">
        <v>3753</v>
      </c>
      <c r="B323" s="24" t="s">
        <v>3754</v>
      </c>
      <c r="C323" s="25" t="s">
        <v>3306</v>
      </c>
      <c r="D323" s="32">
        <v>1000</v>
      </c>
      <c r="E323" s="33">
        <v>8540</v>
      </c>
      <c r="F323" s="25" t="s">
        <v>3307</v>
      </c>
      <c r="G323" s="24" t="s">
        <v>3755</v>
      </c>
      <c r="H323" s="24" t="s">
        <v>3164</v>
      </c>
      <c r="I323" s="24" t="s">
        <v>63</v>
      </c>
      <c r="J323" s="24" t="s">
        <v>20</v>
      </c>
      <c r="K323" s="25" t="s">
        <v>3756</v>
      </c>
      <c r="L323" s="25" t="s">
        <v>3757</v>
      </c>
      <c r="M323" s="25" t="s">
        <v>3758</v>
      </c>
      <c r="N323" s="25" t="s">
        <v>3759</v>
      </c>
    </row>
    <row r="324" ht="20" customHeight="1" spans="1:14" x14ac:dyDescent="0.25">
      <c r="A324" s="21" t="s">
        <v>3760</v>
      </c>
      <c r="B324" s="21" t="s">
        <v>2582</v>
      </c>
      <c r="C324" s="22" t="s">
        <v>2529</v>
      </c>
      <c r="D324" s="30">
        <v>100</v>
      </c>
      <c r="E324" s="31">
        <v>1500</v>
      </c>
      <c r="F324" s="22" t="s">
        <v>2530</v>
      </c>
      <c r="G324" s="21" t="s">
        <v>3761</v>
      </c>
      <c r="H324" s="21" t="s">
        <v>3164</v>
      </c>
      <c r="I324" s="21" t="s">
        <v>63</v>
      </c>
      <c r="J324" s="21" t="s">
        <v>20</v>
      </c>
      <c r="K324" s="22" t="s">
        <v>3762</v>
      </c>
      <c r="L324" s="22" t="s">
        <v>3436</v>
      </c>
      <c r="M324" s="22" t="s">
        <v>63</v>
      </c>
      <c r="N324" s="22" t="s">
        <v>3763</v>
      </c>
    </row>
    <row r="325" ht="20" customHeight="1" spans="1:14" s="23" customFormat="1" x14ac:dyDescent="0.25">
      <c r="A325" s="24" t="s">
        <v>3764</v>
      </c>
      <c r="B325" s="24" t="s">
        <v>2582</v>
      </c>
      <c r="C325" s="25" t="s">
        <v>2535</v>
      </c>
      <c r="D325" s="32">
        <v>192</v>
      </c>
      <c r="E325" s="33">
        <v>576</v>
      </c>
      <c r="F325" s="25" t="s">
        <v>2530</v>
      </c>
      <c r="G325" s="24" t="s">
        <v>3761</v>
      </c>
      <c r="H325" s="24" t="s">
        <v>3164</v>
      </c>
      <c r="I325" s="24" t="s">
        <v>63</v>
      </c>
      <c r="J325" s="24" t="s">
        <v>20</v>
      </c>
      <c r="K325" s="25" t="s">
        <v>3762</v>
      </c>
      <c r="L325" s="25" t="s">
        <v>3436</v>
      </c>
      <c r="M325" s="25" t="s">
        <v>63</v>
      </c>
      <c r="N325" s="25" t="s">
        <v>3763</v>
      </c>
    </row>
    <row r="326" ht="20" customHeight="1" spans="1:14" x14ac:dyDescent="0.25">
      <c r="A326" s="21" t="s">
        <v>3765</v>
      </c>
      <c r="B326" s="21" t="s">
        <v>2582</v>
      </c>
      <c r="C326" s="22" t="s">
        <v>2545</v>
      </c>
      <c r="D326" s="30">
        <v>50</v>
      </c>
      <c r="E326" s="31">
        <v>150</v>
      </c>
      <c r="F326" s="22" t="s">
        <v>2530</v>
      </c>
      <c r="G326" s="21" t="s">
        <v>3761</v>
      </c>
      <c r="H326" s="21" t="s">
        <v>3164</v>
      </c>
      <c r="I326" s="21" t="s">
        <v>63</v>
      </c>
      <c r="J326" s="21" t="s">
        <v>20</v>
      </c>
      <c r="K326" s="22" t="s">
        <v>3762</v>
      </c>
      <c r="L326" s="22" t="s">
        <v>3436</v>
      </c>
      <c r="M326" s="22" t="s">
        <v>63</v>
      </c>
      <c r="N326" s="22" t="s">
        <v>3763</v>
      </c>
    </row>
    <row r="327" ht="20" customHeight="1" spans="1:14" s="23" customFormat="1" x14ac:dyDescent="0.25">
      <c r="A327" s="24" t="s">
        <v>3766</v>
      </c>
      <c r="B327" s="24" t="s">
        <v>3767</v>
      </c>
      <c r="C327" s="25" t="s">
        <v>2666</v>
      </c>
      <c r="D327" s="32">
        <v>72</v>
      </c>
      <c r="E327" s="33">
        <v>226.79999999999998</v>
      </c>
      <c r="F327" s="25" t="s">
        <v>2667</v>
      </c>
      <c r="G327" s="24" t="s">
        <v>3768</v>
      </c>
      <c r="H327" s="24" t="s">
        <v>3164</v>
      </c>
      <c r="I327" s="24" t="s">
        <v>63</v>
      </c>
      <c r="J327" s="24" t="s">
        <v>20</v>
      </c>
      <c r="K327" s="25" t="s">
        <v>3769</v>
      </c>
      <c r="L327" s="25" t="s">
        <v>2671</v>
      </c>
      <c r="M327" s="25" t="s">
        <v>3770</v>
      </c>
      <c r="N327" s="25" t="s">
        <v>3771</v>
      </c>
    </row>
    <row r="328" ht="20" customHeight="1" spans="1:14" x14ac:dyDescent="0.25">
      <c r="A328" s="21" t="s">
        <v>3772</v>
      </c>
      <c r="B328" s="21" t="s">
        <v>3767</v>
      </c>
      <c r="C328" s="22" t="s">
        <v>2675</v>
      </c>
      <c r="D328" s="30">
        <v>101</v>
      </c>
      <c r="E328" s="31">
        <v>398.95000000000005</v>
      </c>
      <c r="F328" s="22" t="s">
        <v>2667</v>
      </c>
      <c r="G328" s="21" t="s">
        <v>3768</v>
      </c>
      <c r="H328" s="21" t="s">
        <v>3164</v>
      </c>
      <c r="I328" s="21" t="s">
        <v>63</v>
      </c>
      <c r="J328" s="21" t="s">
        <v>20</v>
      </c>
      <c r="K328" s="22" t="s">
        <v>3769</v>
      </c>
      <c r="L328" s="22" t="s">
        <v>2671</v>
      </c>
      <c r="M328" s="22" t="s">
        <v>3770</v>
      </c>
      <c r="N328" s="22" t="s">
        <v>3771</v>
      </c>
    </row>
    <row r="329" ht="20" customHeight="1" spans="1:14" s="23" customFormat="1" x14ac:dyDescent="0.25">
      <c r="A329" s="24" t="s">
        <v>3773</v>
      </c>
      <c r="B329" s="24" t="s">
        <v>2937</v>
      </c>
      <c r="C329" s="25" t="s">
        <v>2578</v>
      </c>
      <c r="D329" s="32">
        <v>600</v>
      </c>
      <c r="E329" s="33">
        <v>2982</v>
      </c>
      <c r="F329" s="25" t="s">
        <v>2652</v>
      </c>
      <c r="G329" s="24" t="s">
        <v>3774</v>
      </c>
      <c r="H329" s="24" t="s">
        <v>3775</v>
      </c>
      <c r="I329" s="24" t="s">
        <v>3776</v>
      </c>
      <c r="J329" s="24">
        <f>SE(I329="","-",SE(DATA.VALOR(I329)&lt;HOJE(),"VENCIDO",SE(DATA.VALOR(I329)-HOJE()&lt;=30,"CRÍTICO (&lt;=30D)","REGULAR")))</f>
      </c>
      <c r="K329" s="25" t="s">
        <v>3777</v>
      </c>
      <c r="L329" s="25" t="s">
        <v>3778</v>
      </c>
      <c r="M329" s="25" t="s">
        <v>3779</v>
      </c>
      <c r="N329" s="25" t="s">
        <v>3780</v>
      </c>
    </row>
    <row r="330" ht="20" customHeight="1" spans="1:14" x14ac:dyDescent="0.25">
      <c r="A330" s="21" t="s">
        <v>3781</v>
      </c>
      <c r="B330" s="21" t="s">
        <v>2582</v>
      </c>
      <c r="C330" s="22" t="s">
        <v>2578</v>
      </c>
      <c r="D330" s="30">
        <v>800</v>
      </c>
      <c r="E330" s="31">
        <v>3976</v>
      </c>
      <c r="F330" s="22" t="s">
        <v>2652</v>
      </c>
      <c r="G330" s="21" t="s">
        <v>2653</v>
      </c>
      <c r="H330" s="21" t="s">
        <v>3164</v>
      </c>
      <c r="I330" s="21" t="s">
        <v>63</v>
      </c>
      <c r="J330" s="21" t="s">
        <v>20</v>
      </c>
      <c r="K330" s="22" t="s">
        <v>63</v>
      </c>
      <c r="L330" s="22" t="s">
        <v>63</v>
      </c>
      <c r="M330" s="22" t="s">
        <v>63</v>
      </c>
      <c r="N330" s="22" t="s">
        <v>3782</v>
      </c>
    </row>
    <row r="331" ht="20" customHeight="1" spans="1:14" s="23" customFormat="1" x14ac:dyDescent="0.25">
      <c r="A331" s="24" t="s">
        <v>3783</v>
      </c>
      <c r="B331" s="24" t="s">
        <v>2934</v>
      </c>
      <c r="C331" s="25" t="s">
        <v>3784</v>
      </c>
      <c r="D331" s="32">
        <v>600</v>
      </c>
      <c r="E331" s="33">
        <v>2982</v>
      </c>
      <c r="F331" s="25" t="s">
        <v>2652</v>
      </c>
      <c r="G331" s="24" t="s">
        <v>3785</v>
      </c>
      <c r="H331" s="24" t="s">
        <v>3164</v>
      </c>
      <c r="I331" s="24" t="s">
        <v>63</v>
      </c>
      <c r="J331" s="24" t="s">
        <v>20</v>
      </c>
      <c r="K331" s="25" t="s">
        <v>3786</v>
      </c>
      <c r="L331" s="25" t="s">
        <v>3778</v>
      </c>
      <c r="M331" s="25" t="s">
        <v>63</v>
      </c>
      <c r="N331" s="25" t="s">
        <v>3787</v>
      </c>
    </row>
    <row r="332" ht="20" customHeight="1" spans="1:14" x14ac:dyDescent="0.25">
      <c r="A332" s="21" t="s">
        <v>3788</v>
      </c>
      <c r="B332" s="21" t="s">
        <v>2937</v>
      </c>
      <c r="C332" s="22" t="s">
        <v>3789</v>
      </c>
      <c r="D332" s="30">
        <v>800</v>
      </c>
      <c r="E332" s="31">
        <v>3976</v>
      </c>
      <c r="F332" s="22" t="s">
        <v>2652</v>
      </c>
      <c r="G332" s="21" t="s">
        <v>63</v>
      </c>
      <c r="H332" s="21" t="s">
        <v>2996</v>
      </c>
      <c r="I332" s="21" t="s">
        <v>2962</v>
      </c>
      <c r="J332" s="21">
        <f>SE(I332="","-",SE(DATA.VALOR(I332)&lt;HOJE(),"VENCIDO",SE(DATA.VALOR(I332)-HOJE()&lt;=30,"CRÍTICO (&lt;=30D)","REGULAR")))</f>
      </c>
      <c r="K332" s="22" t="s">
        <v>63</v>
      </c>
      <c r="L332" s="22" t="s">
        <v>63</v>
      </c>
      <c r="M332" s="22" t="s">
        <v>3790</v>
      </c>
      <c r="N332" s="22" t="s">
        <v>3791</v>
      </c>
    </row>
    <row r="333" ht="20" customHeight="1" spans="1:14" s="23" customFormat="1" x14ac:dyDescent="0.25">
      <c r="A333" s="24" t="s">
        <v>3792</v>
      </c>
      <c r="B333" s="24" t="s">
        <v>1104</v>
      </c>
      <c r="C333" s="25" t="s">
        <v>3793</v>
      </c>
      <c r="D333" s="32">
        <v>600</v>
      </c>
      <c r="E333" s="33">
        <v>3060</v>
      </c>
      <c r="F333" s="25" t="s">
        <v>3460</v>
      </c>
      <c r="G333" s="24" t="s">
        <v>3794</v>
      </c>
      <c r="H333" s="24" t="s">
        <v>3309</v>
      </c>
      <c r="I333" s="24" t="s">
        <v>3795</v>
      </c>
      <c r="J333" s="24">
        <f>SE(I333="","-",SE(DATA.VALOR(I333)&lt;HOJE(),"VENCIDO",SE(DATA.VALOR(I333)-HOJE()&lt;=30,"CRÍTICO (&lt;=30D)","REGULAR")))</f>
      </c>
      <c r="K333" s="25" t="s">
        <v>3796</v>
      </c>
      <c r="L333" s="25" t="s">
        <v>3797</v>
      </c>
      <c r="M333" s="25" t="s">
        <v>3798</v>
      </c>
      <c r="N333" s="25" t="s">
        <v>3799</v>
      </c>
    </row>
    <row r="334" ht="20" customHeight="1" spans="1:14" x14ac:dyDescent="0.25">
      <c r="A334" s="21" t="s">
        <v>3800</v>
      </c>
      <c r="B334" s="21" t="s">
        <v>1104</v>
      </c>
      <c r="C334" s="22" t="s">
        <v>3801</v>
      </c>
      <c r="D334" s="30">
        <v>600</v>
      </c>
      <c r="E334" s="31">
        <v>3060</v>
      </c>
      <c r="F334" s="22" t="s">
        <v>3460</v>
      </c>
      <c r="G334" s="21" t="s">
        <v>3794</v>
      </c>
      <c r="H334" s="21" t="s">
        <v>3309</v>
      </c>
      <c r="I334" s="21" t="s">
        <v>3795</v>
      </c>
      <c r="J334" s="21">
        <f>SE(I334="","-",SE(DATA.VALOR(I334)&lt;HOJE(),"VENCIDO",SE(DATA.VALOR(I334)-HOJE()&lt;=30,"CRÍTICO (&lt;=30D)","REGULAR")))</f>
      </c>
      <c r="K334" s="22" t="s">
        <v>3796</v>
      </c>
      <c r="L334" s="22" t="s">
        <v>3797</v>
      </c>
      <c r="M334" s="22" t="s">
        <v>3798</v>
      </c>
      <c r="N334" s="22" t="s">
        <v>3799</v>
      </c>
    </row>
    <row r="335" ht="20" customHeight="1" spans="1:14" s="23" customFormat="1" x14ac:dyDescent="0.25">
      <c r="A335" s="24" t="s">
        <v>3802</v>
      </c>
      <c r="B335" s="24" t="s">
        <v>1104</v>
      </c>
      <c r="C335" s="25" t="s">
        <v>3803</v>
      </c>
      <c r="D335" s="32">
        <v>170</v>
      </c>
      <c r="E335" s="33">
        <v>1402.5</v>
      </c>
      <c r="F335" s="25" t="s">
        <v>3460</v>
      </c>
      <c r="G335" s="24" t="s">
        <v>3804</v>
      </c>
      <c r="H335" s="24" t="s">
        <v>3805</v>
      </c>
      <c r="I335" s="24" t="s">
        <v>3806</v>
      </c>
      <c r="J335" s="24">
        <f>SE(I335="","-",SE(DATA.VALOR(I335)&lt;HOJE(),"VENCIDO",SE(DATA.VALOR(I335)-HOJE()&lt;=30,"CRÍTICO (&lt;=30D)","REGULAR")))</f>
      </c>
      <c r="K335" s="25" t="s">
        <v>3807</v>
      </c>
      <c r="L335" s="25" t="s">
        <v>3808</v>
      </c>
      <c r="M335" s="25" t="s">
        <v>3809</v>
      </c>
      <c r="N335" s="25" t="s">
        <v>3810</v>
      </c>
    </row>
    <row r="336" ht="20" customHeight="1" spans="1:14" x14ac:dyDescent="0.25">
      <c r="A336" s="21" t="s">
        <v>3811</v>
      </c>
      <c r="B336" s="21" t="s">
        <v>1104</v>
      </c>
      <c r="C336" s="22" t="s">
        <v>3812</v>
      </c>
      <c r="D336" s="30">
        <v>250</v>
      </c>
      <c r="E336" s="31">
        <v>2112.5</v>
      </c>
      <c r="F336" s="22" t="s">
        <v>3460</v>
      </c>
      <c r="G336" s="21" t="s">
        <v>3804</v>
      </c>
      <c r="H336" s="21" t="s">
        <v>3813</v>
      </c>
      <c r="I336" s="21" t="s">
        <v>3806</v>
      </c>
      <c r="J336" s="21">
        <f>SE(I336="","-",SE(DATA.VALOR(I336)&lt;HOJE(),"VENCIDO",SE(DATA.VALOR(I336)-HOJE()&lt;=30,"CRÍTICO (&lt;=30D)","REGULAR")))</f>
      </c>
      <c r="K336" s="22" t="s">
        <v>3807</v>
      </c>
      <c r="L336" s="22" t="s">
        <v>3808</v>
      </c>
      <c r="M336" s="22" t="s">
        <v>3809</v>
      </c>
      <c r="N336" s="22" t="s">
        <v>3814</v>
      </c>
    </row>
    <row r="337" ht="20" customHeight="1" spans="1:14" s="23" customFormat="1" x14ac:dyDescent="0.25">
      <c r="A337" s="24" t="s">
        <v>3815</v>
      </c>
      <c r="B337" s="24" t="s">
        <v>1016</v>
      </c>
      <c r="C337" s="25" t="s">
        <v>3816</v>
      </c>
      <c r="D337" s="32">
        <v>179</v>
      </c>
      <c r="E337" s="33">
        <v>1822.22</v>
      </c>
      <c r="F337" s="25" t="s">
        <v>3532</v>
      </c>
      <c r="G337" s="24" t="s">
        <v>3817</v>
      </c>
      <c r="H337" s="24" t="s">
        <v>3818</v>
      </c>
      <c r="I337" s="24" t="s">
        <v>3819</v>
      </c>
      <c r="J337" s="24">
        <f>SE(I337="","-",SE(DATA.VALOR(I337)&lt;HOJE(),"VENCIDO",SE(DATA.VALOR(I337)-HOJE()&lt;=30,"CRÍTICO (&lt;=30D)","REGULAR")))</f>
      </c>
      <c r="K337" s="25" t="s">
        <v>3820</v>
      </c>
      <c r="L337" s="25" t="s">
        <v>3537</v>
      </c>
      <c r="M337" s="25" t="s">
        <v>3821</v>
      </c>
      <c r="N337" s="25" t="s">
        <v>3822</v>
      </c>
    </row>
    <row r="338" ht="20" customHeight="1" spans="1:14" x14ac:dyDescent="0.25">
      <c r="A338" s="21" t="s">
        <v>3823</v>
      </c>
      <c r="B338" s="21" t="s">
        <v>1104</v>
      </c>
      <c r="C338" s="22" t="s">
        <v>2696</v>
      </c>
      <c r="D338" s="30">
        <v>0</v>
      </c>
      <c r="E338" s="31">
        <v>964.8</v>
      </c>
      <c r="F338" s="22" t="s">
        <v>2717</v>
      </c>
      <c r="G338" s="21" t="s">
        <v>3824</v>
      </c>
      <c r="H338" s="21" t="s">
        <v>2996</v>
      </c>
      <c r="I338" s="21" t="s">
        <v>63</v>
      </c>
      <c r="J338" s="21" t="s">
        <v>20</v>
      </c>
      <c r="K338" s="22" t="s">
        <v>3825</v>
      </c>
      <c r="L338" s="22" t="s">
        <v>3826</v>
      </c>
      <c r="M338" s="22" t="s">
        <v>63</v>
      </c>
      <c r="N338" s="22" t="s">
        <v>3827</v>
      </c>
    </row>
    <row r="339" ht="20" customHeight="1" spans="1:14" s="23" customFormat="1" x14ac:dyDescent="0.25">
      <c r="A339" s="24" t="s">
        <v>3828</v>
      </c>
      <c r="B339" s="24" t="s">
        <v>1076</v>
      </c>
      <c r="C339" s="25" t="s">
        <v>3829</v>
      </c>
      <c r="D339" s="32">
        <v>934</v>
      </c>
      <c r="E339" s="33">
        <v>12618.34</v>
      </c>
      <c r="F339" s="25" t="s">
        <v>2925</v>
      </c>
      <c r="G339" s="24" t="s">
        <v>3830</v>
      </c>
      <c r="H339" s="24" t="s">
        <v>3164</v>
      </c>
      <c r="I339" s="24" t="s">
        <v>63</v>
      </c>
      <c r="J339" s="24" t="s">
        <v>20</v>
      </c>
      <c r="K339" s="25" t="s">
        <v>3831</v>
      </c>
      <c r="L339" s="25" t="s">
        <v>3832</v>
      </c>
      <c r="M339" s="25" t="s">
        <v>3833</v>
      </c>
      <c r="N339" s="25" t="s">
        <v>3834</v>
      </c>
    </row>
    <row r="340" ht="20" customHeight="1" spans="1:14" x14ac:dyDescent="0.25">
      <c r="A340" s="21" t="s">
        <v>3835</v>
      </c>
      <c r="B340" s="21" t="s">
        <v>1076</v>
      </c>
      <c r="C340" s="22" t="s">
        <v>2679</v>
      </c>
      <c r="D340" s="30">
        <v>60.67</v>
      </c>
      <c r="E340" s="31">
        <v>332.48</v>
      </c>
      <c r="F340" s="22" t="s">
        <v>2757</v>
      </c>
      <c r="G340" s="21" t="s">
        <v>3836</v>
      </c>
      <c r="H340" s="21" t="s">
        <v>3164</v>
      </c>
      <c r="I340" s="21" t="s">
        <v>63</v>
      </c>
      <c r="J340" s="21" t="s">
        <v>20</v>
      </c>
      <c r="K340" s="22" t="s">
        <v>3837</v>
      </c>
      <c r="L340" s="22" t="s">
        <v>2760</v>
      </c>
      <c r="M340" s="22" t="s">
        <v>3838</v>
      </c>
      <c r="N340" s="22" t="s">
        <v>3839</v>
      </c>
    </row>
    <row r="341" ht="20" customHeight="1" spans="1:14" s="23" customFormat="1" x14ac:dyDescent="0.25">
      <c r="A341" s="24" t="s">
        <v>3840</v>
      </c>
      <c r="B341" s="24" t="s">
        <v>1076</v>
      </c>
      <c r="C341" s="25" t="s">
        <v>3173</v>
      </c>
      <c r="D341" s="32">
        <v>71.1</v>
      </c>
      <c r="E341" s="33">
        <v>223.96</v>
      </c>
      <c r="F341" s="25" t="s">
        <v>2796</v>
      </c>
      <c r="G341" s="24" t="s">
        <v>3841</v>
      </c>
      <c r="H341" s="24" t="s">
        <v>3842</v>
      </c>
      <c r="I341" s="24" t="s">
        <v>3843</v>
      </c>
      <c r="J341" s="24">
        <f>SE(I341="","-",SE(DATA.VALOR(I341)&lt;HOJE(),"VENCIDO",SE(DATA.VALOR(I341)-HOJE()&lt;=30,"CRÍTICO (&lt;=30D)","REGULAR")))</f>
      </c>
      <c r="K341" s="25" t="s">
        <v>3844</v>
      </c>
      <c r="L341" s="25" t="s">
        <v>3845</v>
      </c>
      <c r="M341" s="25" t="s">
        <v>3846</v>
      </c>
      <c r="N341" s="25" t="s">
        <v>3847</v>
      </c>
    </row>
    <row r="342" ht="20" customHeight="1" spans="1:14" x14ac:dyDescent="0.25">
      <c r="A342" s="21" t="s">
        <v>3848</v>
      </c>
      <c r="B342" s="21" t="s">
        <v>1076</v>
      </c>
      <c r="C342" s="22" t="s">
        <v>3570</v>
      </c>
      <c r="D342" s="30">
        <v>47.4</v>
      </c>
      <c r="E342" s="31">
        <v>189.6</v>
      </c>
      <c r="F342" s="22" t="s">
        <v>2796</v>
      </c>
      <c r="G342" s="21" t="s">
        <v>3841</v>
      </c>
      <c r="H342" s="21" t="s">
        <v>3164</v>
      </c>
      <c r="I342" s="21" t="s">
        <v>63</v>
      </c>
      <c r="J342" s="21" t="s">
        <v>20</v>
      </c>
      <c r="K342" s="22" t="s">
        <v>3844</v>
      </c>
      <c r="L342" s="22" t="s">
        <v>3845</v>
      </c>
      <c r="M342" s="22" t="s">
        <v>3846</v>
      </c>
      <c r="N342" s="22" t="s">
        <v>3849</v>
      </c>
    </row>
    <row r="343" ht="20" customHeight="1" spans="1:14" s="23" customFormat="1" x14ac:dyDescent="0.25">
      <c r="A343" s="24" t="s">
        <v>3850</v>
      </c>
      <c r="B343" s="24" t="s">
        <v>1076</v>
      </c>
      <c r="C343" s="25" t="s">
        <v>3789</v>
      </c>
      <c r="D343" s="32">
        <v>905</v>
      </c>
      <c r="E343" s="33">
        <v>4497.85</v>
      </c>
      <c r="F343" s="25" t="s">
        <v>2579</v>
      </c>
      <c r="G343" s="24" t="s">
        <v>63</v>
      </c>
      <c r="H343" s="24" t="s">
        <v>2996</v>
      </c>
      <c r="I343" s="24" t="s">
        <v>63</v>
      </c>
      <c r="J343" s="24" t="s">
        <v>20</v>
      </c>
      <c r="K343" s="25" t="s">
        <v>63</v>
      </c>
      <c r="L343" s="25" t="s">
        <v>63</v>
      </c>
      <c r="M343" s="25" t="s">
        <v>3851</v>
      </c>
      <c r="N343" s="25" t="s">
        <v>3852</v>
      </c>
    </row>
    <row r="344" ht="20" customHeight="1" spans="1:14" x14ac:dyDescent="0.25">
      <c r="A344" s="21" t="s">
        <v>3853</v>
      </c>
      <c r="B344" s="21" t="s">
        <v>1056</v>
      </c>
      <c r="C344" s="22" t="s">
        <v>3789</v>
      </c>
      <c r="D344" s="30">
        <v>905</v>
      </c>
      <c r="E344" s="31">
        <v>4497.85</v>
      </c>
      <c r="F344" s="22" t="s">
        <v>2579</v>
      </c>
      <c r="G344" s="21" t="s">
        <v>3854</v>
      </c>
      <c r="H344" s="21" t="s">
        <v>3164</v>
      </c>
      <c r="I344" s="21" t="s">
        <v>63</v>
      </c>
      <c r="J344" s="21" t="s">
        <v>20</v>
      </c>
      <c r="K344" s="22" t="s">
        <v>3855</v>
      </c>
      <c r="L344" s="22" t="s">
        <v>3856</v>
      </c>
      <c r="M344" s="22" t="s">
        <v>3851</v>
      </c>
      <c r="N344" s="22" t="s">
        <v>3857</v>
      </c>
    </row>
    <row r="345" ht="20" customHeight="1" spans="1:14" s="23" customFormat="1" x14ac:dyDescent="0.25">
      <c r="A345" s="24" t="s">
        <v>3858</v>
      </c>
      <c r="B345" s="24" t="s">
        <v>1016</v>
      </c>
      <c r="C345" s="25" t="s">
        <v>3859</v>
      </c>
      <c r="D345" s="32">
        <v>1500</v>
      </c>
      <c r="E345" s="33">
        <v>11700</v>
      </c>
      <c r="F345" s="25" t="s">
        <v>3450</v>
      </c>
      <c r="G345" s="24" t="s">
        <v>3860</v>
      </c>
      <c r="H345" s="24" t="s">
        <v>3861</v>
      </c>
      <c r="I345" s="24" t="s">
        <v>3862</v>
      </c>
      <c r="J345" s="24">
        <f>SE(I345="","-",SE(DATA.VALOR(I345)&lt;HOJE(),"VENCIDO",SE(DATA.VALOR(I345)-HOJE()&lt;=30,"CRÍTICO (&lt;=30D)","REGULAR")))</f>
      </c>
      <c r="K345" s="25" t="s">
        <v>3863</v>
      </c>
      <c r="L345" s="25" t="s">
        <v>3864</v>
      </c>
      <c r="M345" s="25" t="s">
        <v>3865</v>
      </c>
      <c r="N345" s="25" t="s">
        <v>3866</v>
      </c>
    </row>
    <row r="346" ht="20" customHeight="1" spans="1:14" x14ac:dyDescent="0.25">
      <c r="A346" s="21" t="s">
        <v>3867</v>
      </c>
      <c r="B346" s="21" t="s">
        <v>1045</v>
      </c>
      <c r="C346" s="22" t="s">
        <v>2780</v>
      </c>
      <c r="D346" s="30">
        <v>1000</v>
      </c>
      <c r="E346" s="31">
        <v>3800</v>
      </c>
      <c r="F346" s="22" t="s">
        <v>2774</v>
      </c>
      <c r="G346" s="21" t="s">
        <v>3868</v>
      </c>
      <c r="H346" s="21" t="s">
        <v>3164</v>
      </c>
      <c r="I346" s="21" t="s">
        <v>63</v>
      </c>
      <c r="J346" s="21" t="s">
        <v>20</v>
      </c>
      <c r="K346" s="22" t="s">
        <v>3869</v>
      </c>
      <c r="L346" s="22" t="s">
        <v>2777</v>
      </c>
      <c r="M346" s="22" t="s">
        <v>3870</v>
      </c>
      <c r="N346" s="22" t="s">
        <v>3871</v>
      </c>
    </row>
    <row r="347" ht="20" customHeight="1" spans="1:14" s="23" customFormat="1" x14ac:dyDescent="0.25">
      <c r="A347" s="24" t="s">
        <v>3872</v>
      </c>
      <c r="B347" s="24" t="s">
        <v>1045</v>
      </c>
      <c r="C347" s="25" t="s">
        <v>2773</v>
      </c>
      <c r="D347" s="32">
        <v>37.5</v>
      </c>
      <c r="E347" s="33">
        <v>150</v>
      </c>
      <c r="F347" s="25" t="s">
        <v>2774</v>
      </c>
      <c r="G347" s="24" t="s">
        <v>3868</v>
      </c>
      <c r="H347" s="24" t="s">
        <v>3164</v>
      </c>
      <c r="I347" s="24" t="s">
        <v>63</v>
      </c>
      <c r="J347" s="24" t="s">
        <v>20</v>
      </c>
      <c r="K347" s="25" t="s">
        <v>3869</v>
      </c>
      <c r="L347" s="25" t="s">
        <v>2777</v>
      </c>
      <c r="M347" s="25" t="s">
        <v>3870</v>
      </c>
      <c r="N347" s="25" t="s">
        <v>3871</v>
      </c>
    </row>
    <row r="348" ht="20" customHeight="1" spans="1:14" x14ac:dyDescent="0.25">
      <c r="A348" s="21" t="s">
        <v>3873</v>
      </c>
      <c r="B348" s="21" t="s">
        <v>1045</v>
      </c>
      <c r="C348" s="22" t="s">
        <v>3874</v>
      </c>
      <c r="D348" s="30">
        <v>266</v>
      </c>
      <c r="E348" s="31">
        <v>6590.23</v>
      </c>
      <c r="F348" s="22" t="s">
        <v>2607</v>
      </c>
      <c r="G348" s="21" t="s">
        <v>3875</v>
      </c>
      <c r="H348" s="21" t="s">
        <v>3164</v>
      </c>
      <c r="I348" s="21" t="s">
        <v>63</v>
      </c>
      <c r="J348" s="21" t="s">
        <v>20</v>
      </c>
      <c r="K348" s="22" t="s">
        <v>3876</v>
      </c>
      <c r="L348" s="22" t="s">
        <v>3679</v>
      </c>
      <c r="M348" s="22" t="s">
        <v>3877</v>
      </c>
      <c r="N348" s="22" t="s">
        <v>3878</v>
      </c>
    </row>
    <row r="349" ht="20" customHeight="1" spans="1:14" s="23" customFormat="1" x14ac:dyDescent="0.25">
      <c r="A349" s="24" t="s">
        <v>3879</v>
      </c>
      <c r="B349" s="24" t="s">
        <v>1045</v>
      </c>
      <c r="C349" s="25" t="s">
        <v>3880</v>
      </c>
      <c r="D349" s="32">
        <v>46</v>
      </c>
      <c r="E349" s="33">
        <v>1372.25</v>
      </c>
      <c r="F349" s="25" t="s">
        <v>2607</v>
      </c>
      <c r="G349" s="24" t="s">
        <v>3875</v>
      </c>
      <c r="H349" s="24" t="s">
        <v>3164</v>
      </c>
      <c r="I349" s="24" t="s">
        <v>63</v>
      </c>
      <c r="J349" s="24" t="s">
        <v>20</v>
      </c>
      <c r="K349" s="25" t="s">
        <v>3876</v>
      </c>
      <c r="L349" s="25" t="s">
        <v>3679</v>
      </c>
      <c r="M349" s="25" t="s">
        <v>3877</v>
      </c>
      <c r="N349" s="25" t="s">
        <v>3881</v>
      </c>
    </row>
    <row r="350" ht="20" customHeight="1" spans="1:14" x14ac:dyDescent="0.25">
      <c r="A350" s="21" t="s">
        <v>3882</v>
      </c>
      <c r="B350" s="21" t="s">
        <v>822</v>
      </c>
      <c r="C350" s="22" t="s">
        <v>3883</v>
      </c>
      <c r="D350" s="30">
        <v>114</v>
      </c>
      <c r="E350" s="31">
        <v>741</v>
      </c>
      <c r="F350" s="22" t="s">
        <v>2643</v>
      </c>
      <c r="G350" s="21" t="s">
        <v>3768</v>
      </c>
      <c r="H350" s="21" t="s">
        <v>3884</v>
      </c>
      <c r="I350" s="21" t="s">
        <v>963</v>
      </c>
      <c r="J350" s="21">
        <f>SE(I350="","-",SE(DATA.VALOR(I350)&lt;HOJE(),"VENCIDO",SE(DATA.VALOR(I350)-HOJE()&lt;=30,"CRÍTICO (&lt;=30D)","REGULAR")))</f>
      </c>
      <c r="K350" s="22" t="s">
        <v>3885</v>
      </c>
      <c r="L350" s="22" t="s">
        <v>3886</v>
      </c>
      <c r="M350" s="22" t="s">
        <v>3887</v>
      </c>
      <c r="N350" s="22" t="s">
        <v>3888</v>
      </c>
    </row>
    <row r="351" ht="20" customHeight="1" spans="1:14" s="23" customFormat="1" x14ac:dyDescent="0.25">
      <c r="A351" s="24" t="s">
        <v>3889</v>
      </c>
      <c r="B351" s="24" t="s">
        <v>822</v>
      </c>
      <c r="C351" s="25" t="s">
        <v>3890</v>
      </c>
      <c r="D351" s="32">
        <v>230</v>
      </c>
      <c r="E351" s="33">
        <v>667</v>
      </c>
      <c r="F351" s="25" t="s">
        <v>2643</v>
      </c>
      <c r="G351" s="24" t="s">
        <v>3768</v>
      </c>
      <c r="H351" s="24" t="s">
        <v>3884</v>
      </c>
      <c r="I351" s="24" t="s">
        <v>963</v>
      </c>
      <c r="J351" s="24">
        <f>SE(I351="","-",SE(DATA.VALOR(I351)&lt;HOJE(),"VENCIDO",SE(DATA.VALOR(I351)-HOJE()&lt;=30,"CRÍTICO (&lt;=30D)","REGULAR")))</f>
      </c>
      <c r="K351" s="25" t="s">
        <v>3885</v>
      </c>
      <c r="L351" s="25" t="s">
        <v>3886</v>
      </c>
      <c r="M351" s="25" t="s">
        <v>3887</v>
      </c>
      <c r="N351" s="25" t="s">
        <v>3888</v>
      </c>
    </row>
    <row r="352" ht="20" customHeight="1" spans="1:14" x14ac:dyDescent="0.25">
      <c r="A352" s="21" t="s">
        <v>3891</v>
      </c>
      <c r="B352" s="21" t="s">
        <v>1045</v>
      </c>
      <c r="C352" s="22" t="s">
        <v>3892</v>
      </c>
      <c r="D352" s="30">
        <v>500</v>
      </c>
      <c r="E352" s="31">
        <v>7147.73</v>
      </c>
      <c r="F352" s="22" t="s">
        <v>3365</v>
      </c>
      <c r="G352" s="21" t="s">
        <v>3893</v>
      </c>
      <c r="H352" s="21" t="s">
        <v>3164</v>
      </c>
      <c r="I352" s="21" t="s">
        <v>63</v>
      </c>
      <c r="J352" s="21" t="s">
        <v>20</v>
      </c>
      <c r="K352" s="22" t="s">
        <v>3894</v>
      </c>
      <c r="L352" s="22" t="s">
        <v>3895</v>
      </c>
      <c r="M352" s="22" t="s">
        <v>3896</v>
      </c>
      <c r="N352" s="22" t="s">
        <v>3897</v>
      </c>
    </row>
    <row r="353" ht="20" customHeight="1" spans="1:14" s="23" customFormat="1" x14ac:dyDescent="0.25">
      <c r="A353" s="24" t="s">
        <v>3898</v>
      </c>
      <c r="B353" s="24" t="s">
        <v>1045</v>
      </c>
      <c r="C353" s="25" t="s">
        <v>3899</v>
      </c>
      <c r="D353" s="32">
        <v>556</v>
      </c>
      <c r="E353" s="33">
        <v>15138.36</v>
      </c>
      <c r="F353" s="25" t="s">
        <v>3365</v>
      </c>
      <c r="G353" s="24" t="s">
        <v>3893</v>
      </c>
      <c r="H353" s="24" t="s">
        <v>3900</v>
      </c>
      <c r="I353" s="24" t="s">
        <v>3901</v>
      </c>
      <c r="J353" s="24">
        <f>SE(I353="","-",SE(DATA.VALOR(I353)&lt;HOJE(),"VENCIDO",SE(DATA.VALOR(I353)-HOJE()&lt;=30,"CRÍTICO (&lt;=30D)","REGULAR")))</f>
      </c>
      <c r="K353" s="25" t="s">
        <v>3894</v>
      </c>
      <c r="L353" s="25" t="s">
        <v>3895</v>
      </c>
      <c r="M353" s="25" t="s">
        <v>3896</v>
      </c>
      <c r="N353" s="25" t="s">
        <v>3897</v>
      </c>
    </row>
    <row r="354" ht="20" customHeight="1" spans="1:14" x14ac:dyDescent="0.25">
      <c r="A354" s="21" t="s">
        <v>3902</v>
      </c>
      <c r="B354" s="21" t="s">
        <v>1045</v>
      </c>
      <c r="C354" s="22" t="s">
        <v>3903</v>
      </c>
      <c r="D354" s="30">
        <v>187</v>
      </c>
      <c r="E354" s="31">
        <v>4556.41</v>
      </c>
      <c r="F354" s="22" t="s">
        <v>3365</v>
      </c>
      <c r="G354" s="21" t="s">
        <v>3893</v>
      </c>
      <c r="H354" s="21" t="s">
        <v>3164</v>
      </c>
      <c r="I354" s="21" t="s">
        <v>63</v>
      </c>
      <c r="J354" s="21" t="s">
        <v>20</v>
      </c>
      <c r="K354" s="22" t="s">
        <v>3894</v>
      </c>
      <c r="L354" s="22" t="s">
        <v>3895</v>
      </c>
      <c r="M354" s="22" t="s">
        <v>3896</v>
      </c>
      <c r="N354" s="22" t="s">
        <v>3897</v>
      </c>
    </row>
    <row r="355" ht="20" customHeight="1" spans="1:14" s="23" customFormat="1" x14ac:dyDescent="0.25">
      <c r="A355" s="24" t="s">
        <v>3904</v>
      </c>
      <c r="B355" s="24" t="s">
        <v>1045</v>
      </c>
      <c r="C355" s="25" t="s">
        <v>3905</v>
      </c>
      <c r="D355" s="32">
        <v>6</v>
      </c>
      <c r="E355" s="33">
        <v>146.2</v>
      </c>
      <c r="F355" s="25" t="s">
        <v>3365</v>
      </c>
      <c r="G355" s="24" t="s">
        <v>3893</v>
      </c>
      <c r="H355" s="24" t="s">
        <v>3164</v>
      </c>
      <c r="I355" s="24" t="s">
        <v>63</v>
      </c>
      <c r="J355" s="24" t="s">
        <v>20</v>
      </c>
      <c r="K355" s="25" t="s">
        <v>3894</v>
      </c>
      <c r="L355" s="25" t="s">
        <v>3895</v>
      </c>
      <c r="M355" s="25" t="s">
        <v>3896</v>
      </c>
      <c r="N355" s="25" t="s">
        <v>3906</v>
      </c>
    </row>
    <row r="356" ht="20" customHeight="1" spans="1:14" x14ac:dyDescent="0.25">
      <c r="A356" s="21" t="s">
        <v>3907</v>
      </c>
      <c r="B356" s="21" t="s">
        <v>1045</v>
      </c>
      <c r="C356" s="22" t="s">
        <v>3908</v>
      </c>
      <c r="D356" s="30">
        <v>126</v>
      </c>
      <c r="E356" s="31">
        <v>3518.18</v>
      </c>
      <c r="F356" s="22" t="s">
        <v>3365</v>
      </c>
      <c r="G356" s="21" t="s">
        <v>3893</v>
      </c>
      <c r="H356" s="21" t="s">
        <v>3164</v>
      </c>
      <c r="I356" s="21" t="s">
        <v>63</v>
      </c>
      <c r="J356" s="21" t="s">
        <v>20</v>
      </c>
      <c r="K356" s="22" t="s">
        <v>3894</v>
      </c>
      <c r="L356" s="22" t="s">
        <v>3895</v>
      </c>
      <c r="M356" s="22" t="s">
        <v>3896</v>
      </c>
      <c r="N356" s="22" t="s">
        <v>3906</v>
      </c>
    </row>
    <row r="357" ht="20" customHeight="1" spans="1:14" s="23" customFormat="1" x14ac:dyDescent="0.25">
      <c r="A357" s="24" t="s">
        <v>3909</v>
      </c>
      <c r="B357" s="24" t="s">
        <v>1045</v>
      </c>
      <c r="C357" s="25" t="s">
        <v>3908</v>
      </c>
      <c r="D357" s="32">
        <v>23</v>
      </c>
      <c r="E357" s="33">
        <v>3518.18</v>
      </c>
      <c r="F357" s="25" t="s">
        <v>3365</v>
      </c>
      <c r="G357" s="24" t="s">
        <v>3893</v>
      </c>
      <c r="H357" s="24" t="s">
        <v>3164</v>
      </c>
      <c r="I357" s="24" t="s">
        <v>63</v>
      </c>
      <c r="J357" s="24" t="s">
        <v>20</v>
      </c>
      <c r="K357" s="25" t="s">
        <v>3894</v>
      </c>
      <c r="L357" s="25" t="s">
        <v>3895</v>
      </c>
      <c r="M357" s="25" t="s">
        <v>3896</v>
      </c>
      <c r="N357" s="25" t="s">
        <v>3906</v>
      </c>
    </row>
    <row r="358" ht="20" customHeight="1" spans="1:14" x14ac:dyDescent="0.25">
      <c r="A358" s="21" t="s">
        <v>3910</v>
      </c>
      <c r="B358" s="21" t="s">
        <v>1039</v>
      </c>
      <c r="C358" s="22" t="s">
        <v>3911</v>
      </c>
      <c r="D358" s="30">
        <v>750</v>
      </c>
      <c r="E358" s="31">
        <v>4500</v>
      </c>
      <c r="F358" s="22" t="s">
        <v>2561</v>
      </c>
      <c r="G358" s="21" t="s">
        <v>3912</v>
      </c>
      <c r="H358" s="21" t="s">
        <v>3164</v>
      </c>
      <c r="I358" s="21" t="s">
        <v>63</v>
      </c>
      <c r="J358" s="21" t="s">
        <v>20</v>
      </c>
      <c r="K358" s="22" t="s">
        <v>3913</v>
      </c>
      <c r="L358" s="22" t="s">
        <v>2877</v>
      </c>
      <c r="M358" s="22" t="s">
        <v>3914</v>
      </c>
      <c r="N358" s="22" t="s">
        <v>3915</v>
      </c>
    </row>
    <row r="359" ht="20" customHeight="1" spans="1:14" s="23" customFormat="1" x14ac:dyDescent="0.25">
      <c r="A359" s="24" t="s">
        <v>3916</v>
      </c>
      <c r="B359" s="24" t="s">
        <v>883</v>
      </c>
      <c r="C359" s="25" t="s">
        <v>3917</v>
      </c>
      <c r="D359" s="32">
        <v>700</v>
      </c>
      <c r="E359" s="33">
        <v>11179</v>
      </c>
      <c r="F359" s="25" t="s">
        <v>2898</v>
      </c>
      <c r="G359" s="24" t="s">
        <v>3918</v>
      </c>
      <c r="H359" s="24" t="s">
        <v>3164</v>
      </c>
      <c r="I359" s="24" t="s">
        <v>63</v>
      </c>
      <c r="J359" s="24" t="s">
        <v>20</v>
      </c>
      <c r="K359" s="25" t="s">
        <v>3919</v>
      </c>
      <c r="L359" s="25" t="s">
        <v>2903</v>
      </c>
      <c r="M359" s="25" t="s">
        <v>3920</v>
      </c>
      <c r="N359" s="25" t="s">
        <v>3921</v>
      </c>
    </row>
    <row r="360" ht="20" customHeight="1" spans="1:14" x14ac:dyDescent="0.25">
      <c r="A360" s="21" t="s">
        <v>3922</v>
      </c>
      <c r="B360" s="21" t="s">
        <v>883</v>
      </c>
      <c r="C360" s="22" t="s">
        <v>3923</v>
      </c>
      <c r="D360" s="30">
        <v>1500</v>
      </c>
      <c r="E360" s="31">
        <v>5940</v>
      </c>
      <c r="F360" s="22" t="s">
        <v>2898</v>
      </c>
      <c r="G360" s="21" t="s">
        <v>3918</v>
      </c>
      <c r="H360" s="21" t="s">
        <v>3164</v>
      </c>
      <c r="I360" s="21" t="s">
        <v>63</v>
      </c>
      <c r="J360" s="21" t="s">
        <v>20</v>
      </c>
      <c r="K360" s="22" t="s">
        <v>3919</v>
      </c>
      <c r="L360" s="22" t="s">
        <v>2903</v>
      </c>
      <c r="M360" s="22" t="s">
        <v>3920</v>
      </c>
      <c r="N360" s="22" t="s">
        <v>3921</v>
      </c>
    </row>
    <row r="361" ht="20" customHeight="1" spans="1:14" s="23" customFormat="1" x14ac:dyDescent="0.25">
      <c r="A361" s="24" t="s">
        <v>3924</v>
      </c>
      <c r="B361" s="24" t="s">
        <v>883</v>
      </c>
      <c r="C361" s="25" t="s">
        <v>3925</v>
      </c>
      <c r="D361" s="32">
        <v>600</v>
      </c>
      <c r="E361" s="33">
        <v>1644</v>
      </c>
      <c r="F361" s="25" t="s">
        <v>2898</v>
      </c>
      <c r="G361" s="24" t="s">
        <v>3918</v>
      </c>
      <c r="H361" s="24" t="s">
        <v>3926</v>
      </c>
      <c r="I361" s="24" t="s">
        <v>3927</v>
      </c>
      <c r="J361" s="24">
        <f>SE(I361="","-",SE(DATA.VALOR(I361)&lt;HOJE(),"VENCIDO",SE(DATA.VALOR(I361)-HOJE()&lt;=30,"CRÍTICO (&lt;=30D)","REGULAR")))</f>
      </c>
      <c r="K361" s="25" t="s">
        <v>3919</v>
      </c>
      <c r="L361" s="25" t="s">
        <v>2903</v>
      </c>
      <c r="M361" s="25" t="s">
        <v>3920</v>
      </c>
      <c r="N361" s="25" t="s">
        <v>3921</v>
      </c>
    </row>
    <row r="362" ht="20" customHeight="1" spans="1:14" x14ac:dyDescent="0.25">
      <c r="A362" s="21" t="s">
        <v>3928</v>
      </c>
      <c r="B362" s="21" t="s">
        <v>1016</v>
      </c>
      <c r="C362" s="22" t="s">
        <v>2666</v>
      </c>
      <c r="D362" s="30">
        <v>72</v>
      </c>
      <c r="E362" s="31">
        <v>226.8</v>
      </c>
      <c r="F362" s="22" t="s">
        <v>2809</v>
      </c>
      <c r="G362" s="21" t="s">
        <v>3929</v>
      </c>
      <c r="H362" s="21" t="s">
        <v>3164</v>
      </c>
      <c r="I362" s="21" t="s">
        <v>63</v>
      </c>
      <c r="J362" s="21" t="s">
        <v>20</v>
      </c>
      <c r="K362" s="22" t="s">
        <v>3930</v>
      </c>
      <c r="L362" s="22" t="s">
        <v>2814</v>
      </c>
      <c r="M362" s="22" t="s">
        <v>3931</v>
      </c>
      <c r="N362" s="22" t="s">
        <v>3932</v>
      </c>
    </row>
    <row r="363" ht="20" customHeight="1" spans="1:14" s="23" customFormat="1" x14ac:dyDescent="0.25">
      <c r="A363" s="24" t="s">
        <v>3933</v>
      </c>
      <c r="B363" s="24" t="s">
        <v>1016</v>
      </c>
      <c r="C363" s="25" t="s">
        <v>3934</v>
      </c>
      <c r="D363" s="32">
        <v>635.95</v>
      </c>
      <c r="E363" s="33">
        <v>635.95</v>
      </c>
      <c r="F363" s="25" t="s">
        <v>2809</v>
      </c>
      <c r="G363" s="24" t="s">
        <v>3929</v>
      </c>
      <c r="H363" s="24" t="s">
        <v>3164</v>
      </c>
      <c r="I363" s="24" t="s">
        <v>63</v>
      </c>
      <c r="J363" s="24" t="s">
        <v>20</v>
      </c>
      <c r="K363" s="25" t="s">
        <v>3930</v>
      </c>
      <c r="L363" s="25" t="s">
        <v>2814</v>
      </c>
      <c r="M363" s="25" t="s">
        <v>3931</v>
      </c>
      <c r="N363" s="25" t="s">
        <v>3932</v>
      </c>
    </row>
    <row r="364" ht="20" customHeight="1" spans="1:14" x14ac:dyDescent="0.25">
      <c r="A364" s="21" t="s">
        <v>3935</v>
      </c>
      <c r="B364" s="21" t="s">
        <v>1016</v>
      </c>
      <c r="C364" s="22" t="s">
        <v>2696</v>
      </c>
      <c r="D364" s="30">
        <v>1.5</v>
      </c>
      <c r="E364" s="31">
        <v>5.4</v>
      </c>
      <c r="F364" s="22" t="s">
        <v>2809</v>
      </c>
      <c r="G364" s="21" t="s">
        <v>3929</v>
      </c>
      <c r="H364" s="21" t="s">
        <v>3164</v>
      </c>
      <c r="I364" s="21" t="s">
        <v>63</v>
      </c>
      <c r="J364" s="21" t="s">
        <v>20</v>
      </c>
      <c r="K364" s="22" t="s">
        <v>3930</v>
      </c>
      <c r="L364" s="22" t="s">
        <v>2814</v>
      </c>
      <c r="M364" s="22" t="s">
        <v>3931</v>
      </c>
      <c r="N364" s="22" t="s">
        <v>3932</v>
      </c>
    </row>
    <row r="365" ht="20" customHeight="1" spans="1:14" s="23" customFormat="1" x14ac:dyDescent="0.25">
      <c r="A365" s="24" t="s">
        <v>3936</v>
      </c>
      <c r="B365" s="24" t="s">
        <v>1016</v>
      </c>
      <c r="C365" s="25" t="s">
        <v>2746</v>
      </c>
      <c r="D365" s="32">
        <v>227</v>
      </c>
      <c r="E365" s="33">
        <v>1339.3</v>
      </c>
      <c r="F365" s="25" t="s">
        <v>2809</v>
      </c>
      <c r="G365" s="24" t="s">
        <v>3929</v>
      </c>
      <c r="H365" s="24" t="s">
        <v>3164</v>
      </c>
      <c r="I365" s="24" t="s">
        <v>63</v>
      </c>
      <c r="J365" s="24" t="s">
        <v>20</v>
      </c>
      <c r="K365" s="25" t="s">
        <v>3930</v>
      </c>
      <c r="L365" s="25" t="s">
        <v>2814</v>
      </c>
      <c r="M365" s="25" t="s">
        <v>3931</v>
      </c>
      <c r="N365" s="25" t="s">
        <v>3932</v>
      </c>
    </row>
    <row r="366" ht="20" customHeight="1" spans="1:14" x14ac:dyDescent="0.25">
      <c r="A366" s="21" t="s">
        <v>3937</v>
      </c>
      <c r="B366" s="21" t="s">
        <v>1016</v>
      </c>
      <c r="C366" s="22" t="s">
        <v>3938</v>
      </c>
      <c r="D366" s="30">
        <v>13</v>
      </c>
      <c r="E366" s="31">
        <v>71.24</v>
      </c>
      <c r="F366" s="22" t="s">
        <v>2809</v>
      </c>
      <c r="G366" s="21" t="s">
        <v>3929</v>
      </c>
      <c r="H366" s="21" t="s">
        <v>3164</v>
      </c>
      <c r="I366" s="21" t="s">
        <v>63</v>
      </c>
      <c r="J366" s="21" t="s">
        <v>20</v>
      </c>
      <c r="K366" s="22" t="s">
        <v>3930</v>
      </c>
      <c r="L366" s="22" t="s">
        <v>2814</v>
      </c>
      <c r="M366" s="22" t="s">
        <v>3931</v>
      </c>
      <c r="N366" s="22" t="s">
        <v>3939</v>
      </c>
    </row>
    <row r="367" ht="20" customHeight="1" spans="1:14" s="23" customFormat="1" x14ac:dyDescent="0.25">
      <c r="A367" s="24" t="s">
        <v>3940</v>
      </c>
      <c r="B367" s="24" t="s">
        <v>1016</v>
      </c>
      <c r="C367" s="25" t="s">
        <v>3941</v>
      </c>
      <c r="D367" s="32">
        <v>60</v>
      </c>
      <c r="E367" s="33">
        <v>204</v>
      </c>
      <c r="F367" s="25" t="s">
        <v>2809</v>
      </c>
      <c r="G367" s="24" t="s">
        <v>3929</v>
      </c>
      <c r="H367" s="24" t="s">
        <v>3164</v>
      </c>
      <c r="I367" s="24" t="s">
        <v>63</v>
      </c>
      <c r="J367" s="24" t="s">
        <v>20</v>
      </c>
      <c r="K367" s="25" t="s">
        <v>3930</v>
      </c>
      <c r="L367" s="25" t="s">
        <v>2814</v>
      </c>
      <c r="M367" s="25" t="s">
        <v>3931</v>
      </c>
      <c r="N367" s="25" t="s">
        <v>3939</v>
      </c>
    </row>
    <row r="368" ht="20" customHeight="1" spans="1:14" x14ac:dyDescent="0.25">
      <c r="A368" s="21" t="s">
        <v>3942</v>
      </c>
      <c r="B368" s="21" t="s">
        <v>1016</v>
      </c>
      <c r="C368" s="22" t="s">
        <v>3943</v>
      </c>
      <c r="D368" s="30">
        <v>280.2</v>
      </c>
      <c r="E368" s="31">
        <v>1821.3</v>
      </c>
      <c r="F368" s="22" t="s">
        <v>2809</v>
      </c>
      <c r="G368" s="21" t="s">
        <v>3929</v>
      </c>
      <c r="H368" s="21" t="s">
        <v>3164</v>
      </c>
      <c r="I368" s="21" t="s">
        <v>63</v>
      </c>
      <c r="J368" s="21" t="s">
        <v>20</v>
      </c>
      <c r="K368" s="22" t="s">
        <v>3930</v>
      </c>
      <c r="L368" s="22" t="s">
        <v>2814</v>
      </c>
      <c r="M368" s="22" t="s">
        <v>3931</v>
      </c>
      <c r="N368" s="22" t="s">
        <v>3939</v>
      </c>
    </row>
    <row r="369" ht="20" customHeight="1" spans="1:14" s="23" customFormat="1" x14ac:dyDescent="0.25">
      <c r="A369" s="24" t="s">
        <v>3944</v>
      </c>
      <c r="B369" s="24" t="s">
        <v>1016</v>
      </c>
      <c r="C369" s="25" t="s">
        <v>3945</v>
      </c>
      <c r="D369" s="32">
        <v>2000</v>
      </c>
      <c r="E369" s="33">
        <v>15200</v>
      </c>
      <c r="F369" s="25" t="s">
        <v>3699</v>
      </c>
      <c r="G369" s="24" t="s">
        <v>3946</v>
      </c>
      <c r="H369" s="24" t="s">
        <v>3947</v>
      </c>
      <c r="I369" s="24" t="s">
        <v>1802</v>
      </c>
      <c r="J369" s="24">
        <f>SE(I369="","-",SE(DATA.VALOR(I369)&lt;HOJE(),"VENCIDO",SE(DATA.VALOR(I369)-HOJE()&lt;=30,"CRÍTICO (&lt;=30D)","REGULAR")))</f>
      </c>
      <c r="K369" s="25" t="s">
        <v>3948</v>
      </c>
      <c r="L369" s="25" t="s">
        <v>3703</v>
      </c>
      <c r="M369" s="25" t="s">
        <v>3949</v>
      </c>
      <c r="N369" s="25" t="s">
        <v>3950</v>
      </c>
    </row>
    <row r="370" ht="20" customHeight="1" spans="1:14" x14ac:dyDescent="0.25">
      <c r="A370" s="21" t="s">
        <v>3951</v>
      </c>
      <c r="B370" s="21" t="s">
        <v>1016</v>
      </c>
      <c r="C370" s="22" t="s">
        <v>3952</v>
      </c>
      <c r="D370" s="30">
        <v>150</v>
      </c>
      <c r="E370" s="31">
        <v>1920</v>
      </c>
      <c r="F370" s="22" t="s">
        <v>3699</v>
      </c>
      <c r="G370" s="21" t="s">
        <v>3946</v>
      </c>
      <c r="H370" s="21" t="s">
        <v>3953</v>
      </c>
      <c r="I370" s="21" t="s">
        <v>1735</v>
      </c>
      <c r="J370" s="21">
        <f>SE(I370="","-",SE(DATA.VALOR(I370)&lt;HOJE(),"VENCIDO",SE(DATA.VALOR(I370)-HOJE()&lt;=30,"CRÍTICO (&lt;=30D)","REGULAR")))</f>
      </c>
      <c r="K370" s="22" t="s">
        <v>3948</v>
      </c>
      <c r="L370" s="22" t="s">
        <v>3703</v>
      </c>
      <c r="M370" s="22" t="s">
        <v>3949</v>
      </c>
      <c r="N370" s="22" t="s">
        <v>3950</v>
      </c>
    </row>
    <row r="371" ht="20" customHeight="1" spans="1:14" s="23" customFormat="1" x14ac:dyDescent="0.25">
      <c r="A371" s="24" t="s">
        <v>3954</v>
      </c>
      <c r="B371" s="24" t="s">
        <v>1016</v>
      </c>
      <c r="C371" s="25" t="s">
        <v>3955</v>
      </c>
      <c r="D371" s="32">
        <v>300</v>
      </c>
      <c r="E371" s="33">
        <v>3090</v>
      </c>
      <c r="F371" s="25" t="s">
        <v>3699</v>
      </c>
      <c r="G371" s="24" t="s">
        <v>3946</v>
      </c>
      <c r="H371" s="24" t="s">
        <v>3953</v>
      </c>
      <c r="I371" s="24" t="s">
        <v>1735</v>
      </c>
      <c r="J371" s="24">
        <f>SE(I371="","-",SE(DATA.VALOR(I371)&lt;HOJE(),"VENCIDO",SE(DATA.VALOR(I371)-HOJE()&lt;=30,"CRÍTICO (&lt;=30D)","REGULAR")))</f>
      </c>
      <c r="K371" s="25" t="s">
        <v>3948</v>
      </c>
      <c r="L371" s="25" t="s">
        <v>3703</v>
      </c>
      <c r="M371" s="25" t="s">
        <v>3949</v>
      </c>
      <c r="N371" s="25" t="s">
        <v>3950</v>
      </c>
    </row>
    <row r="372" ht="20" customHeight="1" spans="1:14" x14ac:dyDescent="0.25">
      <c r="A372" s="21" t="s">
        <v>3956</v>
      </c>
      <c r="B372" s="21" t="s">
        <v>3957</v>
      </c>
      <c r="C372" s="22" t="s">
        <v>3958</v>
      </c>
      <c r="D372" s="30">
        <v>2480</v>
      </c>
      <c r="E372" s="31">
        <v>25792</v>
      </c>
      <c r="F372" s="22" t="s">
        <v>3356</v>
      </c>
      <c r="G372" s="21" t="s">
        <v>3959</v>
      </c>
      <c r="H372" s="21" t="s">
        <v>3164</v>
      </c>
      <c r="I372" s="21" t="s">
        <v>63</v>
      </c>
      <c r="J372" s="21" t="s">
        <v>20</v>
      </c>
      <c r="K372" s="22" t="s">
        <v>3960</v>
      </c>
      <c r="L372" s="22" t="s">
        <v>3961</v>
      </c>
      <c r="M372" s="22" t="s">
        <v>3962</v>
      </c>
      <c r="N372" s="22" t="s">
        <v>3963</v>
      </c>
    </row>
    <row r="373" ht="20" customHeight="1" spans="1:14" s="23" customFormat="1" x14ac:dyDescent="0.25">
      <c r="A373" s="24" t="s">
        <v>3964</v>
      </c>
      <c r="B373" s="24" t="s">
        <v>1016</v>
      </c>
      <c r="C373" s="25" t="s">
        <v>3965</v>
      </c>
      <c r="D373" s="32">
        <v>226</v>
      </c>
      <c r="E373" s="33">
        <v>831.68</v>
      </c>
      <c r="F373" s="25" t="s">
        <v>2685</v>
      </c>
      <c r="G373" s="24" t="s">
        <v>3966</v>
      </c>
      <c r="H373" s="24" t="s">
        <v>3164</v>
      </c>
      <c r="I373" s="24" t="s">
        <v>63</v>
      </c>
      <c r="J373" s="24" t="s">
        <v>20</v>
      </c>
      <c r="K373" s="25" t="s">
        <v>3967</v>
      </c>
      <c r="L373" s="25" t="s">
        <v>3968</v>
      </c>
      <c r="M373" s="25" t="s">
        <v>3969</v>
      </c>
      <c r="N373" s="25" t="s">
        <v>3970</v>
      </c>
    </row>
    <row r="374" ht="20" customHeight="1" spans="1:14" x14ac:dyDescent="0.25">
      <c r="A374" s="21" t="s">
        <v>3971</v>
      </c>
      <c r="B374" s="21" t="s">
        <v>1016</v>
      </c>
      <c r="C374" s="22" t="s">
        <v>3972</v>
      </c>
      <c r="D374" s="30">
        <v>60</v>
      </c>
      <c r="E374" s="31">
        <v>444</v>
      </c>
      <c r="F374" s="22" t="s">
        <v>2616</v>
      </c>
      <c r="G374" s="21" t="s">
        <v>3973</v>
      </c>
      <c r="H374" s="21" t="s">
        <v>3164</v>
      </c>
      <c r="I374" s="21" t="s">
        <v>63</v>
      </c>
      <c r="J374" s="21" t="s">
        <v>20</v>
      </c>
      <c r="K374" s="22" t="s">
        <v>3974</v>
      </c>
      <c r="L374" s="22" t="s">
        <v>3416</v>
      </c>
      <c r="M374" s="22" t="s">
        <v>3975</v>
      </c>
      <c r="N374" s="22" t="s">
        <v>3976</v>
      </c>
    </row>
    <row r="375" ht="20" customHeight="1" spans="1:14" s="23" customFormat="1" x14ac:dyDescent="0.25">
      <c r="A375" s="24" t="s">
        <v>3977</v>
      </c>
      <c r="B375" s="24" t="s">
        <v>1016</v>
      </c>
      <c r="C375" s="25" t="s">
        <v>3978</v>
      </c>
      <c r="D375" s="32">
        <v>1</v>
      </c>
      <c r="E375" s="33">
        <v>25</v>
      </c>
      <c r="F375" s="25" t="s">
        <v>2616</v>
      </c>
      <c r="G375" s="24" t="s">
        <v>3973</v>
      </c>
      <c r="H375" s="24" t="s">
        <v>3164</v>
      </c>
      <c r="I375" s="24" t="s">
        <v>63</v>
      </c>
      <c r="J375" s="24" t="s">
        <v>20</v>
      </c>
      <c r="K375" s="25" t="s">
        <v>3974</v>
      </c>
      <c r="L375" s="25" t="s">
        <v>3416</v>
      </c>
      <c r="M375" s="25" t="s">
        <v>3975</v>
      </c>
      <c r="N375" s="25" t="s">
        <v>3976</v>
      </c>
    </row>
    <row r="376" ht="20" customHeight="1" spans="1:14" x14ac:dyDescent="0.25">
      <c r="A376" s="21" t="s">
        <v>3979</v>
      </c>
      <c r="B376" s="21" t="s">
        <v>3152</v>
      </c>
      <c r="C376" s="22" t="s">
        <v>3138</v>
      </c>
      <c r="D376" s="30">
        <v>250</v>
      </c>
      <c r="E376" s="31">
        <v>1500</v>
      </c>
      <c r="F376" s="22" t="s">
        <v>2561</v>
      </c>
      <c r="G376" s="21" t="s">
        <v>3980</v>
      </c>
      <c r="H376" s="21" t="s">
        <v>3164</v>
      </c>
      <c r="I376" s="21" t="s">
        <v>63</v>
      </c>
      <c r="J376" s="21" t="s">
        <v>20</v>
      </c>
      <c r="K376" s="22" t="s">
        <v>3981</v>
      </c>
      <c r="L376" s="22" t="s">
        <v>2877</v>
      </c>
      <c r="M376" s="22" t="s">
        <v>3409</v>
      </c>
      <c r="N376" s="22" t="s">
        <v>3982</v>
      </c>
    </row>
    <row r="377" ht="20" customHeight="1" spans="1:14" s="23" customFormat="1" x14ac:dyDescent="0.25">
      <c r="A377" s="24" t="s">
        <v>3983</v>
      </c>
      <c r="B377" s="24" t="s">
        <v>3152</v>
      </c>
      <c r="C377" s="25" t="s">
        <v>3132</v>
      </c>
      <c r="D377" s="32">
        <v>200</v>
      </c>
      <c r="E377" s="33">
        <v>1200</v>
      </c>
      <c r="F377" s="25" t="s">
        <v>2561</v>
      </c>
      <c r="G377" s="24" t="s">
        <v>3980</v>
      </c>
      <c r="H377" s="24" t="s">
        <v>3164</v>
      </c>
      <c r="I377" s="24" t="s">
        <v>63</v>
      </c>
      <c r="J377" s="24" t="s">
        <v>20</v>
      </c>
      <c r="K377" s="25" t="s">
        <v>3981</v>
      </c>
      <c r="L377" s="25" t="s">
        <v>2877</v>
      </c>
      <c r="M377" s="25" t="s">
        <v>3409</v>
      </c>
      <c r="N377" s="25" t="s">
        <v>3982</v>
      </c>
    </row>
    <row r="378" ht="20" customHeight="1" spans="1:14" x14ac:dyDescent="0.25">
      <c r="A378" s="21" t="s">
        <v>3984</v>
      </c>
      <c r="B378" s="21" t="s">
        <v>1016</v>
      </c>
      <c r="C378" s="22" t="s">
        <v>3985</v>
      </c>
      <c r="D378" s="30">
        <v>2450</v>
      </c>
      <c r="E378" s="31">
        <v>4508</v>
      </c>
      <c r="F378" s="22" t="s">
        <v>2616</v>
      </c>
      <c r="G378" s="21" t="s">
        <v>3986</v>
      </c>
      <c r="H378" s="21" t="s">
        <v>3164</v>
      </c>
      <c r="I378" s="21" t="s">
        <v>63</v>
      </c>
      <c r="J378" s="21" t="s">
        <v>20</v>
      </c>
      <c r="K378" s="22" t="s">
        <v>3987</v>
      </c>
      <c r="L378" s="22" t="s">
        <v>3693</v>
      </c>
      <c r="M378" s="22" t="s">
        <v>3988</v>
      </c>
      <c r="N378" s="22" t="s">
        <v>3989</v>
      </c>
    </row>
    <row r="379" ht="20" customHeight="1" spans="1:14" s="23" customFormat="1" x14ac:dyDescent="0.25">
      <c r="A379" s="24" t="s">
        <v>3990</v>
      </c>
      <c r="B379" s="24" t="s">
        <v>1016</v>
      </c>
      <c r="C379" s="25" t="s">
        <v>3271</v>
      </c>
      <c r="D379" s="32">
        <v>1000</v>
      </c>
      <c r="E379" s="33">
        <v>1620</v>
      </c>
      <c r="F379" s="25" t="s">
        <v>2616</v>
      </c>
      <c r="G379" s="24" t="s">
        <v>3986</v>
      </c>
      <c r="H379" s="24" t="s">
        <v>3164</v>
      </c>
      <c r="I379" s="24" t="s">
        <v>63</v>
      </c>
      <c r="J379" s="24" t="s">
        <v>20</v>
      </c>
      <c r="K379" s="25" t="s">
        <v>3987</v>
      </c>
      <c r="L379" s="25" t="s">
        <v>3693</v>
      </c>
      <c r="M379" s="25" t="s">
        <v>3988</v>
      </c>
      <c r="N379" s="25" t="s">
        <v>3989</v>
      </c>
    </row>
    <row r="380" ht="20" customHeight="1" spans="1:14" x14ac:dyDescent="0.25">
      <c r="A380" s="21" t="s">
        <v>3991</v>
      </c>
      <c r="B380" s="21" t="s">
        <v>993</v>
      </c>
      <c r="C380" s="22" t="s">
        <v>3992</v>
      </c>
      <c r="D380" s="30">
        <v>750</v>
      </c>
      <c r="E380" s="31">
        <v>1380</v>
      </c>
      <c r="F380" s="22" t="s">
        <v>2616</v>
      </c>
      <c r="G380" s="21" t="s">
        <v>3993</v>
      </c>
      <c r="H380" s="21" t="s">
        <v>3164</v>
      </c>
      <c r="I380" s="21" t="s">
        <v>63</v>
      </c>
      <c r="J380" s="21" t="s">
        <v>20</v>
      </c>
      <c r="K380" s="22" t="s">
        <v>3741</v>
      </c>
      <c r="L380" s="22" t="s">
        <v>3693</v>
      </c>
      <c r="M380" s="22" t="s">
        <v>3994</v>
      </c>
      <c r="N380" s="22" t="s">
        <v>3995</v>
      </c>
    </row>
    <row r="381" ht="20" customHeight="1" spans="1:14" s="23" customFormat="1" x14ac:dyDescent="0.25">
      <c r="A381" s="24" t="s">
        <v>3996</v>
      </c>
      <c r="B381" s="24" t="s">
        <v>993</v>
      </c>
      <c r="C381" s="25" t="s">
        <v>3271</v>
      </c>
      <c r="D381" s="32">
        <v>300</v>
      </c>
      <c r="E381" s="33">
        <v>486</v>
      </c>
      <c r="F381" s="25" t="s">
        <v>2616</v>
      </c>
      <c r="G381" s="24" t="s">
        <v>3993</v>
      </c>
      <c r="H381" s="24" t="s">
        <v>3164</v>
      </c>
      <c r="I381" s="24" t="s">
        <v>63</v>
      </c>
      <c r="J381" s="24" t="s">
        <v>20</v>
      </c>
      <c r="K381" s="25" t="s">
        <v>3741</v>
      </c>
      <c r="L381" s="25" t="s">
        <v>3693</v>
      </c>
      <c r="M381" s="25" t="s">
        <v>3994</v>
      </c>
      <c r="N381" s="25" t="s">
        <v>3995</v>
      </c>
    </row>
    <row r="382" ht="20" customHeight="1" spans="1:14" x14ac:dyDescent="0.25">
      <c r="A382" s="21" t="s">
        <v>3997</v>
      </c>
      <c r="B382" s="21" t="s">
        <v>993</v>
      </c>
      <c r="C382" s="22" t="s">
        <v>3998</v>
      </c>
      <c r="D382" s="30">
        <v>124.8</v>
      </c>
      <c r="E382" s="31">
        <v>811.2</v>
      </c>
      <c r="F382" s="22" t="s">
        <v>2809</v>
      </c>
      <c r="G382" s="21" t="s">
        <v>3999</v>
      </c>
      <c r="H382" s="21" t="s">
        <v>3164</v>
      </c>
      <c r="I382" s="21" t="s">
        <v>63</v>
      </c>
      <c r="J382" s="21" t="s">
        <v>20</v>
      </c>
      <c r="K382" s="22" t="s">
        <v>4000</v>
      </c>
      <c r="L382" s="22" t="s">
        <v>2950</v>
      </c>
      <c r="M382" s="22" t="s">
        <v>4001</v>
      </c>
      <c r="N382" s="22" t="s">
        <v>4002</v>
      </c>
    </row>
    <row r="383" ht="20" customHeight="1" spans="1:14" s="23" customFormat="1" x14ac:dyDescent="0.25">
      <c r="A383" s="24" t="s">
        <v>4003</v>
      </c>
      <c r="B383" s="24" t="s">
        <v>807</v>
      </c>
      <c r="C383" s="25" t="s">
        <v>3945</v>
      </c>
      <c r="D383" s="32">
        <v>1000</v>
      </c>
      <c r="E383" s="33">
        <v>7600</v>
      </c>
      <c r="F383" s="25" t="s">
        <v>3699</v>
      </c>
      <c r="G383" s="24" t="s">
        <v>3700</v>
      </c>
      <c r="H383" s="24" t="s">
        <v>3164</v>
      </c>
      <c r="I383" s="24" t="s">
        <v>63</v>
      </c>
      <c r="J383" s="24" t="s">
        <v>20</v>
      </c>
      <c r="K383" s="25" t="s">
        <v>3702</v>
      </c>
      <c r="L383" s="25" t="s">
        <v>3703</v>
      </c>
      <c r="M383" s="25" t="s">
        <v>4004</v>
      </c>
      <c r="N383" s="25" t="s">
        <v>4005</v>
      </c>
    </row>
    <row r="384" ht="20" customHeight="1" spans="1:14" x14ac:dyDescent="0.25">
      <c r="A384" s="21" t="s">
        <v>4006</v>
      </c>
      <c r="B384" s="21" t="s">
        <v>807</v>
      </c>
      <c r="C384" s="22" t="s">
        <v>3952</v>
      </c>
      <c r="D384" s="30">
        <v>50</v>
      </c>
      <c r="E384" s="31">
        <v>640</v>
      </c>
      <c r="F384" s="22" t="s">
        <v>3699</v>
      </c>
      <c r="G384" s="21" t="s">
        <v>3700</v>
      </c>
      <c r="H384" s="21" t="s">
        <v>3164</v>
      </c>
      <c r="I384" s="21" t="s">
        <v>63</v>
      </c>
      <c r="J384" s="21" t="s">
        <v>20</v>
      </c>
      <c r="K384" s="22" t="s">
        <v>3702</v>
      </c>
      <c r="L384" s="22" t="s">
        <v>3703</v>
      </c>
      <c r="M384" s="22" t="s">
        <v>4007</v>
      </c>
      <c r="N384" s="22" t="s">
        <v>4005</v>
      </c>
    </row>
    <row r="385" ht="20" customHeight="1" spans="1:14" s="23" customFormat="1" x14ac:dyDescent="0.25">
      <c r="A385" s="24" t="s">
        <v>4008</v>
      </c>
      <c r="B385" s="24" t="s">
        <v>807</v>
      </c>
      <c r="C385" s="25" t="s">
        <v>3955</v>
      </c>
      <c r="D385" s="32">
        <v>200</v>
      </c>
      <c r="E385" s="33">
        <v>2060</v>
      </c>
      <c r="F385" s="25" t="s">
        <v>3699</v>
      </c>
      <c r="G385" s="24" t="s">
        <v>3700</v>
      </c>
      <c r="H385" s="24" t="s">
        <v>3164</v>
      </c>
      <c r="I385" s="24" t="s">
        <v>63</v>
      </c>
      <c r="J385" s="24" t="s">
        <v>20</v>
      </c>
      <c r="K385" s="25" t="s">
        <v>3702</v>
      </c>
      <c r="L385" s="25" t="s">
        <v>3703</v>
      </c>
      <c r="M385" s="25" t="s">
        <v>4009</v>
      </c>
      <c r="N385" s="25" t="s">
        <v>4005</v>
      </c>
    </row>
    <row r="386" ht="20" customHeight="1" spans="1:14" x14ac:dyDescent="0.25">
      <c r="A386" s="21" t="s">
        <v>4010</v>
      </c>
      <c r="B386" s="21" t="s">
        <v>934</v>
      </c>
      <c r="C386" s="22" t="s">
        <v>4011</v>
      </c>
      <c r="D386" s="30">
        <v>75</v>
      </c>
      <c r="E386" s="31">
        <v>233.25</v>
      </c>
      <c r="F386" s="22" t="s">
        <v>3532</v>
      </c>
      <c r="G386" s="21" t="s">
        <v>4012</v>
      </c>
      <c r="H386" s="21" t="s">
        <v>4013</v>
      </c>
      <c r="I386" s="21" t="s">
        <v>3819</v>
      </c>
      <c r="J386" s="21">
        <f>SE(I386="","-",SE(DATA.VALOR(I386)&lt;HOJE(),"VENCIDO",SE(DATA.VALOR(I386)-HOJE()&lt;=30,"CRÍTICO (&lt;=30D)","REGULAR")))</f>
      </c>
      <c r="K386" s="22" t="s">
        <v>4014</v>
      </c>
      <c r="L386" s="22" t="s">
        <v>4015</v>
      </c>
      <c r="M386" s="22" t="s">
        <v>4016</v>
      </c>
      <c r="N386" s="22" t="s">
        <v>4017</v>
      </c>
    </row>
    <row r="387" ht="20" customHeight="1" spans="1:14" s="23" customFormat="1" x14ac:dyDescent="0.25">
      <c r="A387" s="24" t="s">
        <v>4018</v>
      </c>
      <c r="B387" s="24" t="s">
        <v>934</v>
      </c>
      <c r="C387" s="25" t="s">
        <v>4019</v>
      </c>
      <c r="D387" s="32">
        <v>75</v>
      </c>
      <c r="E387" s="33">
        <v>233.25</v>
      </c>
      <c r="F387" s="25" t="s">
        <v>3532</v>
      </c>
      <c r="G387" s="24" t="s">
        <v>4012</v>
      </c>
      <c r="H387" s="24" t="s">
        <v>4020</v>
      </c>
      <c r="I387" s="24" t="s">
        <v>2275</v>
      </c>
      <c r="J387" s="24">
        <f>SE(I387="","-",SE(DATA.VALOR(I387)&lt;HOJE(),"VENCIDO",SE(DATA.VALOR(I387)-HOJE()&lt;=30,"CRÍTICO (&lt;=30D)","REGULAR")))</f>
      </c>
      <c r="K387" s="25" t="s">
        <v>4014</v>
      </c>
      <c r="L387" s="25" t="s">
        <v>4015</v>
      </c>
      <c r="M387" s="25" t="s">
        <v>4016</v>
      </c>
      <c r="N387" s="25" t="s">
        <v>4017</v>
      </c>
    </row>
    <row r="388" ht="20" customHeight="1" spans="1:14" x14ac:dyDescent="0.25">
      <c r="A388" s="21" t="s">
        <v>4021</v>
      </c>
      <c r="B388" s="21" t="s">
        <v>934</v>
      </c>
      <c r="C388" s="22" t="s">
        <v>4022</v>
      </c>
      <c r="D388" s="30">
        <v>250</v>
      </c>
      <c r="E388" s="31">
        <v>820</v>
      </c>
      <c r="F388" s="22" t="s">
        <v>3532</v>
      </c>
      <c r="G388" s="21" t="s">
        <v>4012</v>
      </c>
      <c r="H388" s="21" t="s">
        <v>4020</v>
      </c>
      <c r="I388" s="21" t="s">
        <v>2275</v>
      </c>
      <c r="J388" s="21">
        <f>SE(I388="","-",SE(DATA.VALOR(I388)&lt;HOJE(),"VENCIDO",SE(DATA.VALOR(I388)-HOJE()&lt;=30,"CRÍTICO (&lt;=30D)","REGULAR")))</f>
      </c>
      <c r="K388" s="22" t="s">
        <v>4014</v>
      </c>
      <c r="L388" s="22" t="s">
        <v>4015</v>
      </c>
      <c r="M388" s="22" t="s">
        <v>4016</v>
      </c>
      <c r="N388" s="22" t="s">
        <v>4017</v>
      </c>
    </row>
    <row r="389" ht="20" customHeight="1" spans="1:14" s="23" customFormat="1" x14ac:dyDescent="0.25">
      <c r="A389" s="24" t="s">
        <v>4023</v>
      </c>
      <c r="B389" s="24" t="s">
        <v>934</v>
      </c>
      <c r="C389" s="25" t="s">
        <v>4024</v>
      </c>
      <c r="D389" s="32">
        <v>250</v>
      </c>
      <c r="E389" s="33">
        <v>1495</v>
      </c>
      <c r="F389" s="25" t="s">
        <v>3532</v>
      </c>
      <c r="G389" s="24" t="s">
        <v>4012</v>
      </c>
      <c r="H389" s="24" t="s">
        <v>4025</v>
      </c>
      <c r="I389" s="24" t="s">
        <v>3549</v>
      </c>
      <c r="J389" s="24">
        <f>SE(I389="","-",SE(DATA.VALOR(I389)&lt;HOJE(),"VENCIDO",SE(DATA.VALOR(I389)-HOJE()&lt;=30,"CRÍTICO (&lt;=30D)","REGULAR")))</f>
      </c>
      <c r="K389" s="25" t="s">
        <v>4014</v>
      </c>
      <c r="L389" s="25" t="s">
        <v>4015</v>
      </c>
      <c r="M389" s="25" t="s">
        <v>4016</v>
      </c>
      <c r="N389" s="25" t="s">
        <v>4017</v>
      </c>
    </row>
    <row r="390" ht="20" customHeight="1" spans="1:14" x14ac:dyDescent="0.25">
      <c r="A390" s="21" t="s">
        <v>4026</v>
      </c>
      <c r="B390" s="21" t="s">
        <v>807</v>
      </c>
      <c r="C390" s="22" t="s">
        <v>2596</v>
      </c>
      <c r="D390" s="30">
        <v>2388</v>
      </c>
      <c r="E390" s="31">
        <v>12847.44</v>
      </c>
      <c r="F390" s="22" t="s">
        <v>2587</v>
      </c>
      <c r="G390" s="21" t="s">
        <v>4027</v>
      </c>
      <c r="H390" s="21" t="s">
        <v>3164</v>
      </c>
      <c r="I390" s="21" t="s">
        <v>63</v>
      </c>
      <c r="J390" s="21" t="s">
        <v>20</v>
      </c>
      <c r="K390" s="22" t="s">
        <v>4028</v>
      </c>
      <c r="L390" s="22" t="s">
        <v>2592</v>
      </c>
      <c r="M390" s="22" t="s">
        <v>4029</v>
      </c>
      <c r="N390" s="22" t="s">
        <v>4030</v>
      </c>
    </row>
    <row r="391" ht="20" customHeight="1" spans="1:14" s="23" customFormat="1" x14ac:dyDescent="0.25">
      <c r="A391" s="24" t="s">
        <v>4031</v>
      </c>
      <c r="B391" s="24" t="s">
        <v>890</v>
      </c>
      <c r="C391" s="25" t="s">
        <v>2666</v>
      </c>
      <c r="D391" s="32">
        <v>54.62</v>
      </c>
      <c r="E391" s="33">
        <v>172.06</v>
      </c>
      <c r="F391" s="25" t="s">
        <v>2880</v>
      </c>
      <c r="G391" s="24" t="s">
        <v>4032</v>
      </c>
      <c r="H391" s="24" t="s">
        <v>3164</v>
      </c>
      <c r="I391" s="24" t="s">
        <v>63</v>
      </c>
      <c r="J391" s="24" t="s">
        <v>20</v>
      </c>
      <c r="K391" s="25" t="s">
        <v>4033</v>
      </c>
      <c r="L391" s="25" t="s">
        <v>2882</v>
      </c>
      <c r="M391" s="25" t="s">
        <v>4034</v>
      </c>
      <c r="N391" s="25" t="s">
        <v>4035</v>
      </c>
    </row>
    <row r="392" ht="20" customHeight="1" spans="1:14" x14ac:dyDescent="0.25">
      <c r="A392" s="21" t="s">
        <v>4036</v>
      </c>
      <c r="B392" s="21" t="s">
        <v>890</v>
      </c>
      <c r="C392" s="22" t="s">
        <v>2741</v>
      </c>
      <c r="D392" s="30">
        <v>164.5</v>
      </c>
      <c r="E392" s="31">
        <v>559.3</v>
      </c>
      <c r="F392" s="22" t="s">
        <v>2880</v>
      </c>
      <c r="G392" s="21" t="s">
        <v>4032</v>
      </c>
      <c r="H392" s="21" t="s">
        <v>3164</v>
      </c>
      <c r="I392" s="21" t="s">
        <v>63</v>
      </c>
      <c r="J392" s="21" t="s">
        <v>20</v>
      </c>
      <c r="K392" s="22" t="s">
        <v>4033</v>
      </c>
      <c r="L392" s="22" t="s">
        <v>2882</v>
      </c>
      <c r="M392" s="22" t="s">
        <v>4034</v>
      </c>
      <c r="N392" s="22" t="s">
        <v>4037</v>
      </c>
    </row>
    <row r="393" ht="20" customHeight="1" spans="1:14" s="23" customFormat="1" x14ac:dyDescent="0.25">
      <c r="A393" s="24" t="s">
        <v>4038</v>
      </c>
      <c r="B393" s="24" t="s">
        <v>890</v>
      </c>
      <c r="C393" s="25" t="s">
        <v>2675</v>
      </c>
      <c r="D393" s="32">
        <v>139.6</v>
      </c>
      <c r="E393" s="33">
        <v>551.42</v>
      </c>
      <c r="F393" s="25" t="s">
        <v>2880</v>
      </c>
      <c r="G393" s="24" t="s">
        <v>4032</v>
      </c>
      <c r="H393" s="24" t="s">
        <v>3164</v>
      </c>
      <c r="I393" s="24" t="s">
        <v>63</v>
      </c>
      <c r="J393" s="24" t="s">
        <v>20</v>
      </c>
      <c r="K393" s="25" t="s">
        <v>4033</v>
      </c>
      <c r="L393" s="25" t="s">
        <v>2882</v>
      </c>
      <c r="M393" s="25" t="s">
        <v>4034</v>
      </c>
      <c r="N393" s="25" t="s">
        <v>4037</v>
      </c>
    </row>
    <row r="394" ht="20" customHeight="1" spans="1:14" x14ac:dyDescent="0.25">
      <c r="A394" s="21" t="s">
        <v>4039</v>
      </c>
      <c r="B394" s="21" t="s">
        <v>890</v>
      </c>
      <c r="C394" s="22" t="s">
        <v>2746</v>
      </c>
      <c r="D394" s="30">
        <v>225.45</v>
      </c>
      <c r="E394" s="31">
        <v>1330.16</v>
      </c>
      <c r="F394" s="22" t="s">
        <v>2880</v>
      </c>
      <c r="G394" s="21" t="s">
        <v>4032</v>
      </c>
      <c r="H394" s="21" t="s">
        <v>3164</v>
      </c>
      <c r="I394" s="21" t="s">
        <v>63</v>
      </c>
      <c r="J394" s="21" t="s">
        <v>20</v>
      </c>
      <c r="K394" s="22" t="s">
        <v>4033</v>
      </c>
      <c r="L394" s="22" t="s">
        <v>2882</v>
      </c>
      <c r="M394" s="22" t="s">
        <v>4034</v>
      </c>
      <c r="N394" s="22" t="s">
        <v>4037</v>
      </c>
    </row>
    <row r="395" ht="20" customHeight="1" spans="1:14" s="23" customFormat="1" x14ac:dyDescent="0.25">
      <c r="A395" s="24" t="s">
        <v>4040</v>
      </c>
      <c r="B395" s="24" t="s">
        <v>890</v>
      </c>
      <c r="C395" s="25" t="s">
        <v>2716</v>
      </c>
      <c r="D395" s="32">
        <v>208.45</v>
      </c>
      <c r="E395" s="33">
        <v>1063.1</v>
      </c>
      <c r="F395" s="25" t="s">
        <v>2880</v>
      </c>
      <c r="G395" s="24" t="s">
        <v>4032</v>
      </c>
      <c r="H395" s="24" t="s">
        <v>3164</v>
      </c>
      <c r="I395" s="24" t="s">
        <v>63</v>
      </c>
      <c r="J395" s="24" t="s">
        <v>20</v>
      </c>
      <c r="K395" s="25" t="s">
        <v>4033</v>
      </c>
      <c r="L395" s="25" t="s">
        <v>2882</v>
      </c>
      <c r="M395" s="25" t="s">
        <v>4034</v>
      </c>
      <c r="N395" s="25" t="s">
        <v>4037</v>
      </c>
    </row>
    <row r="396" ht="20" customHeight="1" spans="1:14" x14ac:dyDescent="0.25">
      <c r="A396" s="21" t="s">
        <v>4041</v>
      </c>
      <c r="B396" s="21" t="s">
        <v>890</v>
      </c>
      <c r="C396" s="22" t="s">
        <v>2696</v>
      </c>
      <c r="D396" s="30">
        <v>97.27</v>
      </c>
      <c r="E396" s="31">
        <v>350.18</v>
      </c>
      <c r="F396" s="22" t="s">
        <v>2880</v>
      </c>
      <c r="G396" s="21" t="s">
        <v>4032</v>
      </c>
      <c r="H396" s="21" t="s">
        <v>3164</v>
      </c>
      <c r="I396" s="21" t="s">
        <v>63</v>
      </c>
      <c r="J396" s="21" t="s">
        <v>20</v>
      </c>
      <c r="K396" s="22" t="s">
        <v>4033</v>
      </c>
      <c r="L396" s="22" t="s">
        <v>2882</v>
      </c>
      <c r="M396" s="22" t="s">
        <v>4034</v>
      </c>
      <c r="N396" s="22" t="s">
        <v>4042</v>
      </c>
    </row>
    <row r="397" ht="20" customHeight="1" spans="1:14" s="23" customFormat="1" x14ac:dyDescent="0.25">
      <c r="A397" s="24" t="s">
        <v>4043</v>
      </c>
      <c r="B397" s="24" t="s">
        <v>822</v>
      </c>
      <c r="C397" s="25" t="s">
        <v>3784</v>
      </c>
      <c r="D397" s="32">
        <v>600</v>
      </c>
      <c r="E397" s="33">
        <v>2982</v>
      </c>
      <c r="F397" s="25" t="s">
        <v>2652</v>
      </c>
      <c r="G397" s="24" t="s">
        <v>4044</v>
      </c>
      <c r="H397" s="24" t="s">
        <v>3164</v>
      </c>
      <c r="I397" s="24" t="s">
        <v>63</v>
      </c>
      <c r="J397" s="24" t="s">
        <v>20</v>
      </c>
      <c r="K397" s="25" t="s">
        <v>4045</v>
      </c>
      <c r="L397" s="25" t="s">
        <v>4046</v>
      </c>
      <c r="M397" s="25" t="s">
        <v>4047</v>
      </c>
      <c r="N397" s="25" t="s">
        <v>4048</v>
      </c>
    </row>
    <row r="398" ht="20" customHeight="1" spans="1:14" x14ac:dyDescent="0.25">
      <c r="A398" s="21" t="s">
        <v>4049</v>
      </c>
      <c r="B398" s="21" t="s">
        <v>568</v>
      </c>
      <c r="C398" s="22" t="s">
        <v>3784</v>
      </c>
      <c r="D398" s="30">
        <v>800</v>
      </c>
      <c r="E398" s="31">
        <v>3976</v>
      </c>
      <c r="F398" s="22" t="s">
        <v>2652</v>
      </c>
      <c r="G398" s="21" t="s">
        <v>4050</v>
      </c>
      <c r="H398" s="21" t="s">
        <v>3164</v>
      </c>
      <c r="I398" s="21" t="s">
        <v>63</v>
      </c>
      <c r="J398" s="21" t="s">
        <v>20</v>
      </c>
      <c r="K398" s="22" t="s">
        <v>4051</v>
      </c>
      <c r="L398" s="22" t="s">
        <v>4046</v>
      </c>
      <c r="M398" s="22" t="s">
        <v>4052</v>
      </c>
      <c r="N398" s="22" t="s">
        <v>4053</v>
      </c>
    </row>
    <row r="399" ht="20" customHeight="1" spans="1:14" s="23" customFormat="1" x14ac:dyDescent="0.25">
      <c r="A399" s="24" t="s">
        <v>4054</v>
      </c>
      <c r="B399" s="24" t="s">
        <v>568</v>
      </c>
      <c r="C399" s="25" t="s">
        <v>3784</v>
      </c>
      <c r="D399" s="32">
        <v>600</v>
      </c>
      <c r="E399" s="33">
        <v>2982</v>
      </c>
      <c r="F399" s="25" t="s">
        <v>2652</v>
      </c>
      <c r="G399" s="24" t="s">
        <v>4055</v>
      </c>
      <c r="H399" s="24" t="s">
        <v>3164</v>
      </c>
      <c r="I399" s="24" t="s">
        <v>63</v>
      </c>
      <c r="J399" s="24" t="s">
        <v>20</v>
      </c>
      <c r="K399" s="25" t="s">
        <v>4056</v>
      </c>
      <c r="L399" s="25" t="s">
        <v>4046</v>
      </c>
      <c r="M399" s="25" t="s">
        <v>4057</v>
      </c>
      <c r="N399" s="25" t="s">
        <v>4058</v>
      </c>
    </row>
    <row r="400" ht="20" customHeight="1" spans="1:14" x14ac:dyDescent="0.25">
      <c r="A400" s="21" t="s">
        <v>4059</v>
      </c>
      <c r="B400" s="21" t="s">
        <v>568</v>
      </c>
      <c r="C400" s="22" t="s">
        <v>2684</v>
      </c>
      <c r="D400" s="30">
        <v>963.42</v>
      </c>
      <c r="E400" s="31">
        <v>0</v>
      </c>
      <c r="F400" s="22" t="s">
        <v>2734</v>
      </c>
      <c r="G400" s="21" t="s">
        <v>3720</v>
      </c>
      <c r="H400" s="21" t="s">
        <v>3194</v>
      </c>
      <c r="I400" s="21" t="s">
        <v>63</v>
      </c>
      <c r="J400" s="21" t="s">
        <v>20</v>
      </c>
      <c r="K400" s="22" t="s">
        <v>3721</v>
      </c>
      <c r="L400" s="22" t="s">
        <v>2738</v>
      </c>
      <c r="M400" s="22" t="s">
        <v>3722</v>
      </c>
      <c r="N400" s="22" t="s">
        <v>4060</v>
      </c>
    </row>
    <row r="401" ht="20" customHeight="1" spans="1:14" s="23" customFormat="1" x14ac:dyDescent="0.25">
      <c r="A401" s="24" t="s">
        <v>4061</v>
      </c>
      <c r="B401" s="24" t="s">
        <v>292</v>
      </c>
      <c r="C401" s="25" t="s">
        <v>2749</v>
      </c>
      <c r="D401" s="32">
        <v>616.6</v>
      </c>
      <c r="E401" s="33">
        <v>1966.954</v>
      </c>
      <c r="F401" s="25" t="s">
        <v>2734</v>
      </c>
      <c r="G401" s="24" t="s">
        <v>4062</v>
      </c>
      <c r="H401" s="24" t="s">
        <v>3164</v>
      </c>
      <c r="I401" s="24" t="s">
        <v>63</v>
      </c>
      <c r="J401" s="24" t="s">
        <v>20</v>
      </c>
      <c r="K401" s="25" t="s">
        <v>4063</v>
      </c>
      <c r="L401" s="25" t="s">
        <v>4064</v>
      </c>
      <c r="M401" s="25" t="s">
        <v>4065</v>
      </c>
      <c r="N401" s="25" t="s">
        <v>4066</v>
      </c>
    </row>
    <row r="402" ht="20" customHeight="1" spans="1:14" x14ac:dyDescent="0.25">
      <c r="A402" s="21" t="s">
        <v>4067</v>
      </c>
      <c r="B402" s="21" t="s">
        <v>580</v>
      </c>
      <c r="C402" s="22" t="s">
        <v>2988</v>
      </c>
      <c r="D402" s="30">
        <v>5000</v>
      </c>
      <c r="E402" s="31">
        <v>21550</v>
      </c>
      <c r="F402" s="22" t="s">
        <v>4068</v>
      </c>
      <c r="G402" s="21" t="s">
        <v>3929</v>
      </c>
      <c r="H402" s="21" t="s">
        <v>3708</v>
      </c>
      <c r="I402" s="21" t="s">
        <v>3843</v>
      </c>
      <c r="J402" s="21">
        <f>SE(I402="","-",SE(DATA.VALOR(I402)&lt;HOJE(),"VENCIDO",SE(DATA.VALOR(I402)-HOJE()&lt;=30,"CRÍTICO (&lt;=30D)","REGULAR")))</f>
      </c>
      <c r="K402" s="22" t="s">
        <v>4069</v>
      </c>
      <c r="L402" s="22" t="s">
        <v>4070</v>
      </c>
      <c r="M402" s="22" t="s">
        <v>4071</v>
      </c>
      <c r="N402" s="22" t="s">
        <v>4072</v>
      </c>
    </row>
    <row r="403" ht="20" customHeight="1" spans="1:14" s="23" customFormat="1" x14ac:dyDescent="0.25">
      <c r="A403" s="24" t="s">
        <v>4073</v>
      </c>
      <c r="B403" s="24" t="s">
        <v>568</v>
      </c>
      <c r="C403" s="25" t="s">
        <v>3784</v>
      </c>
      <c r="D403" s="32">
        <v>800</v>
      </c>
      <c r="E403" s="33">
        <v>3976</v>
      </c>
      <c r="F403" s="25" t="s">
        <v>2652</v>
      </c>
      <c r="G403" s="24" t="s">
        <v>4074</v>
      </c>
      <c r="H403" s="24" t="s">
        <v>3164</v>
      </c>
      <c r="I403" s="24" t="s">
        <v>63</v>
      </c>
      <c r="J403" s="24" t="s">
        <v>20</v>
      </c>
      <c r="K403" s="25" t="s">
        <v>4075</v>
      </c>
      <c r="L403" s="25" t="s">
        <v>3778</v>
      </c>
      <c r="M403" s="25" t="s">
        <v>4076</v>
      </c>
      <c r="N403" s="25" t="s">
        <v>4077</v>
      </c>
    </row>
    <row r="404" ht="20" customHeight="1" spans="1:14" x14ac:dyDescent="0.25">
      <c r="A404" s="21" t="s">
        <v>4078</v>
      </c>
      <c r="B404" s="21" t="s">
        <v>690</v>
      </c>
      <c r="C404" s="22" t="s">
        <v>3784</v>
      </c>
      <c r="D404" s="30">
        <v>600</v>
      </c>
      <c r="E404" s="31">
        <v>2982</v>
      </c>
      <c r="F404" s="22" t="s">
        <v>2652</v>
      </c>
      <c r="G404" s="21" t="s">
        <v>4079</v>
      </c>
      <c r="H404" s="21" t="s">
        <v>3164</v>
      </c>
      <c r="I404" s="21" t="s">
        <v>63</v>
      </c>
      <c r="J404" s="21" t="s">
        <v>20</v>
      </c>
      <c r="K404" s="22" t="s">
        <v>4080</v>
      </c>
      <c r="L404" s="22" t="s">
        <v>3778</v>
      </c>
      <c r="M404" s="22" t="s">
        <v>4081</v>
      </c>
      <c r="N404" s="22" t="s">
        <v>4082</v>
      </c>
    </row>
    <row r="405" ht="20" customHeight="1" spans="1:14" s="23" customFormat="1" x14ac:dyDescent="0.25">
      <c r="A405" s="24" t="s">
        <v>4083</v>
      </c>
      <c r="B405" s="24" t="s">
        <v>777</v>
      </c>
      <c r="C405" s="25" t="s">
        <v>2793</v>
      </c>
      <c r="D405" s="32">
        <v>175</v>
      </c>
      <c r="E405" s="33">
        <v>656.25</v>
      </c>
      <c r="F405" s="25" t="s">
        <v>2787</v>
      </c>
      <c r="G405" s="24" t="s">
        <v>4084</v>
      </c>
      <c r="H405" s="24" t="s">
        <v>3164</v>
      </c>
      <c r="I405" s="24" t="s">
        <v>63</v>
      </c>
      <c r="J405" s="24" t="s">
        <v>20</v>
      </c>
      <c r="K405" s="25" t="s">
        <v>4085</v>
      </c>
      <c r="L405" s="25" t="s">
        <v>3127</v>
      </c>
      <c r="M405" s="25" t="s">
        <v>4086</v>
      </c>
      <c r="N405" s="25" t="s">
        <v>4087</v>
      </c>
    </row>
    <row r="406" ht="20" customHeight="1" spans="1:14" x14ac:dyDescent="0.25">
      <c r="A406" s="21" t="s">
        <v>4088</v>
      </c>
      <c r="B406" s="21" t="s">
        <v>777</v>
      </c>
      <c r="C406" s="22" t="s">
        <v>2712</v>
      </c>
      <c r="D406" s="30">
        <v>40</v>
      </c>
      <c r="E406" s="31">
        <v>216</v>
      </c>
      <c r="F406" s="22" t="s">
        <v>2787</v>
      </c>
      <c r="G406" s="21" t="s">
        <v>4084</v>
      </c>
      <c r="H406" s="21" t="s">
        <v>3164</v>
      </c>
      <c r="I406" s="21" t="s">
        <v>63</v>
      </c>
      <c r="J406" s="21" t="s">
        <v>20</v>
      </c>
      <c r="K406" s="22" t="s">
        <v>4085</v>
      </c>
      <c r="L406" s="22" t="s">
        <v>3127</v>
      </c>
      <c r="M406" s="22" t="s">
        <v>4086</v>
      </c>
      <c r="N406" s="22" t="s">
        <v>4087</v>
      </c>
    </row>
    <row r="407" ht="20" customHeight="1" spans="1:14" s="23" customFormat="1" x14ac:dyDescent="0.25">
      <c r="A407" s="24" t="s">
        <v>4089</v>
      </c>
      <c r="B407" s="24" t="s">
        <v>2923</v>
      </c>
      <c r="C407" s="25" t="s">
        <v>3789</v>
      </c>
      <c r="D407" s="32">
        <v>800</v>
      </c>
      <c r="E407" s="33">
        <v>3976</v>
      </c>
      <c r="F407" s="25" t="s">
        <v>2652</v>
      </c>
      <c r="G407" s="24" t="s">
        <v>3193</v>
      </c>
      <c r="H407" s="24" t="s">
        <v>2996</v>
      </c>
      <c r="I407" s="24" t="s">
        <v>2923</v>
      </c>
      <c r="J407" s="24">
        <f>SE(I407="","-",SE(DATA.VALOR(I407)&lt;HOJE(),"VENCIDO",SE(DATA.VALOR(I407)-HOJE()&lt;=30,"CRÍTICO (&lt;=30D)","REGULAR")))</f>
      </c>
      <c r="K407" s="25" t="s">
        <v>4090</v>
      </c>
      <c r="L407" s="25" t="s">
        <v>3778</v>
      </c>
      <c r="M407" s="25" t="s">
        <v>4091</v>
      </c>
      <c r="N407" s="25" t="s">
        <v>4092</v>
      </c>
    </row>
    <row r="408" ht="20" customHeight="1" spans="1:14" x14ac:dyDescent="0.25">
      <c r="A408" s="21" t="s">
        <v>4093</v>
      </c>
      <c r="B408" s="21" t="s">
        <v>4094</v>
      </c>
      <c r="C408" s="22" t="s">
        <v>3789</v>
      </c>
      <c r="D408" s="30">
        <v>800</v>
      </c>
      <c r="E408" s="31">
        <v>3976</v>
      </c>
      <c r="F408" s="22" t="s">
        <v>2652</v>
      </c>
      <c r="G408" s="21" t="s">
        <v>3226</v>
      </c>
      <c r="H408" s="21" t="s">
        <v>2996</v>
      </c>
      <c r="I408" s="21" t="s">
        <v>4094</v>
      </c>
      <c r="J408" s="21">
        <f>SE(I408="","-",SE(DATA.VALOR(I408)&lt;HOJE(),"VENCIDO",SE(DATA.VALOR(I408)-HOJE()&lt;=30,"CRÍTICO (&lt;=30D)","REGULAR")))</f>
      </c>
      <c r="K408" s="22" t="s">
        <v>4095</v>
      </c>
      <c r="L408" s="22" t="s">
        <v>3778</v>
      </c>
      <c r="M408" s="22" t="s">
        <v>3227</v>
      </c>
      <c r="N408" s="22" t="s">
        <v>4096</v>
      </c>
    </row>
    <row r="409" ht="20" customHeight="1" spans="1:14" s="23" customFormat="1" x14ac:dyDescent="0.25">
      <c r="A409" s="24" t="s">
        <v>4097</v>
      </c>
      <c r="B409" s="24" t="s">
        <v>2575</v>
      </c>
      <c r="C409" s="25" t="s">
        <v>3789</v>
      </c>
      <c r="D409" s="32">
        <v>600</v>
      </c>
      <c r="E409" s="33">
        <v>2982</v>
      </c>
      <c r="F409" s="25" t="s">
        <v>2652</v>
      </c>
      <c r="G409" s="24" t="s">
        <v>3076</v>
      </c>
      <c r="H409" s="24" t="s">
        <v>2996</v>
      </c>
      <c r="I409" s="24" t="s">
        <v>2575</v>
      </c>
      <c r="J409" s="24">
        <f>SE(I409="","-",SE(DATA.VALOR(I409)&lt;HOJE(),"VENCIDO",SE(DATA.VALOR(I409)-HOJE()&lt;=30,"CRÍTICO (&lt;=30D)","REGULAR")))</f>
      </c>
      <c r="K409" s="25" t="s">
        <v>4098</v>
      </c>
      <c r="L409" s="25" t="s">
        <v>4046</v>
      </c>
      <c r="M409" s="25" t="s">
        <v>4099</v>
      </c>
      <c r="N409" s="25" t="s">
        <v>4100</v>
      </c>
    </row>
    <row r="410" ht="20" customHeight="1" spans="1:14" x14ac:dyDescent="0.25">
      <c r="A410" s="21" t="s">
        <v>4101</v>
      </c>
      <c r="B410" s="21" t="s">
        <v>2569</v>
      </c>
      <c r="C410" s="22" t="s">
        <v>4102</v>
      </c>
      <c r="D410" s="30">
        <v>600</v>
      </c>
      <c r="E410" s="31">
        <v>2982</v>
      </c>
      <c r="F410" s="22" t="s">
        <v>2652</v>
      </c>
      <c r="G410" s="21" t="s">
        <v>3210</v>
      </c>
      <c r="H410" s="21" t="s">
        <v>2996</v>
      </c>
      <c r="I410" s="21" t="s">
        <v>2569</v>
      </c>
      <c r="J410" s="21">
        <f>SE(I410="","-",SE(DATA.VALOR(I410)&lt;HOJE(),"VENCIDO",SE(DATA.VALOR(I410)-HOJE()&lt;=30,"CRÍTICO (&lt;=30D)","REGULAR")))</f>
      </c>
      <c r="K410" s="22" t="s">
        <v>4103</v>
      </c>
      <c r="L410" s="22" t="s">
        <v>3778</v>
      </c>
      <c r="M410" s="22" t="s">
        <v>3211</v>
      </c>
      <c r="N410" s="22" t="s">
        <v>4104</v>
      </c>
    </row>
    <row r="411" ht="20" customHeight="1" spans="1:14" s="23" customFormat="1" x14ac:dyDescent="0.25">
      <c r="A411" s="24" t="s">
        <v>4105</v>
      </c>
      <c r="B411" s="24" t="s">
        <v>2715</v>
      </c>
      <c r="C411" s="25" t="s">
        <v>4102</v>
      </c>
      <c r="D411" s="32">
        <v>600</v>
      </c>
      <c r="E411" s="33">
        <v>2982</v>
      </c>
      <c r="F411" s="25" t="s">
        <v>2652</v>
      </c>
      <c r="G411" s="24" t="s">
        <v>3067</v>
      </c>
      <c r="H411" s="24" t="s">
        <v>2996</v>
      </c>
      <c r="I411" s="24" t="s">
        <v>2812</v>
      </c>
      <c r="J411" s="24">
        <f>SE(I411="","-",SE(DATA.VALOR(I411)&lt;HOJE(),"VENCIDO",SE(DATA.VALOR(I411)-HOJE()&lt;=30,"CRÍTICO (&lt;=30D)","REGULAR")))</f>
      </c>
      <c r="K411" s="25" t="s">
        <v>4106</v>
      </c>
      <c r="L411" s="25" t="s">
        <v>3778</v>
      </c>
      <c r="M411" s="25" t="s">
        <v>4107</v>
      </c>
      <c r="N411" s="25" t="s">
        <v>4108</v>
      </c>
    </row>
    <row r="412" ht="20" customHeight="1" spans="1:14" x14ac:dyDescent="0.25">
      <c r="A412" s="21" t="s">
        <v>4109</v>
      </c>
      <c r="B412" s="21" t="s">
        <v>2683</v>
      </c>
      <c r="C412" s="22" t="s">
        <v>4102</v>
      </c>
      <c r="D412" s="30">
        <v>700</v>
      </c>
      <c r="E412" s="31">
        <v>3479</v>
      </c>
      <c r="F412" s="22" t="s">
        <v>2652</v>
      </c>
      <c r="G412" s="21" t="s">
        <v>3055</v>
      </c>
      <c r="H412" s="21" t="s">
        <v>2996</v>
      </c>
      <c r="I412" s="21" t="s">
        <v>2683</v>
      </c>
      <c r="J412" s="21">
        <f>SE(I412="","-",SE(DATA.VALOR(I412)&lt;HOJE(),"VENCIDO",SE(DATA.VALOR(I412)-HOJE()&lt;=30,"CRÍTICO (&lt;=30D)","REGULAR")))</f>
      </c>
      <c r="K412" s="22" t="s">
        <v>4110</v>
      </c>
      <c r="L412" s="22" t="s">
        <v>3778</v>
      </c>
      <c r="M412" s="22" t="s">
        <v>4111</v>
      </c>
      <c r="N412" s="22" t="s">
        <v>4112</v>
      </c>
    </row>
    <row r="413" ht="20" customHeight="1" spans="1:14" s="23" customFormat="1" x14ac:dyDescent="0.25">
      <c r="A413" s="24" t="s">
        <v>4113</v>
      </c>
      <c r="B413" s="24" t="s">
        <v>4114</v>
      </c>
      <c r="C413" s="25" t="s">
        <v>4102</v>
      </c>
      <c r="D413" s="32">
        <v>600</v>
      </c>
      <c r="E413" s="33">
        <v>2982</v>
      </c>
      <c r="F413" s="25" t="s">
        <v>2652</v>
      </c>
      <c r="G413" s="24" t="s">
        <v>3060</v>
      </c>
      <c r="H413" s="24" t="s">
        <v>2996</v>
      </c>
      <c r="I413" s="24" t="s">
        <v>2514</v>
      </c>
      <c r="J413" s="24">
        <f>SE(I413="","-",SE(DATA.VALOR(I413)&lt;HOJE(),"VENCIDO",SE(DATA.VALOR(I413)-HOJE()&lt;=30,"CRÍTICO (&lt;=30D)","REGULAR")))</f>
      </c>
      <c r="K413" s="25" t="s">
        <v>4115</v>
      </c>
      <c r="L413" s="25" t="s">
        <v>3778</v>
      </c>
      <c r="M413" s="25" t="s">
        <v>4116</v>
      </c>
      <c r="N413" s="25" t="s">
        <v>4117</v>
      </c>
    </row>
    <row r="414" ht="20" customHeight="1" spans="1:14" x14ac:dyDescent="0.25">
      <c r="A414" s="21" t="s">
        <v>4118</v>
      </c>
      <c r="B414" s="21" t="s">
        <v>2699</v>
      </c>
      <c r="C414" s="22" t="s">
        <v>2578</v>
      </c>
      <c r="D414" s="30">
        <v>700</v>
      </c>
      <c r="E414" s="31">
        <v>3479</v>
      </c>
      <c r="F414" s="22" t="s">
        <v>2652</v>
      </c>
      <c r="G414" s="21" t="s">
        <v>3032</v>
      </c>
      <c r="H414" s="21" t="s">
        <v>2996</v>
      </c>
      <c r="I414" s="21" t="s">
        <v>2699</v>
      </c>
      <c r="J414" s="21">
        <f>SE(I414="","-",SE(DATA.VALOR(I414)&lt;HOJE(),"VENCIDO",SE(DATA.VALOR(I414)-HOJE()&lt;=30,"CRÍTICO (&lt;=30D)","REGULAR")))</f>
      </c>
      <c r="K414" s="22" t="s">
        <v>4119</v>
      </c>
      <c r="L414" s="22" t="s">
        <v>4046</v>
      </c>
      <c r="M414" s="22" t="s">
        <v>3035</v>
      </c>
      <c r="N414" s="22" t="s">
        <v>4120</v>
      </c>
    </row>
    <row r="415" ht="20" customHeight="1" spans="1:14" s="23" customFormat="1" x14ac:dyDescent="0.25">
      <c r="A415" s="24" t="s">
        <v>4121</v>
      </c>
      <c r="B415" s="24" t="s">
        <v>2982</v>
      </c>
      <c r="C415" s="25" t="s">
        <v>3789</v>
      </c>
      <c r="D415" s="32">
        <v>600</v>
      </c>
      <c r="E415" s="33">
        <v>2982</v>
      </c>
      <c r="F415" s="25" t="s">
        <v>2652</v>
      </c>
      <c r="G415" s="24" t="s">
        <v>2983</v>
      </c>
      <c r="H415" s="24" t="s">
        <v>2996</v>
      </c>
      <c r="I415" s="24" t="s">
        <v>63</v>
      </c>
      <c r="J415" s="24" t="s">
        <v>20</v>
      </c>
      <c r="K415" s="25" t="s">
        <v>4122</v>
      </c>
      <c r="L415" s="25" t="s">
        <v>3778</v>
      </c>
      <c r="M415" s="25" t="s">
        <v>2985</v>
      </c>
      <c r="N415" s="25" t="s">
        <v>4123</v>
      </c>
    </row>
    <row r="416" ht="20" customHeight="1" spans="1:14" x14ac:dyDescent="0.25">
      <c r="A416" s="21" t="s">
        <v>4124</v>
      </c>
      <c r="B416" s="21" t="s">
        <v>2948</v>
      </c>
      <c r="C416" s="22" t="s">
        <v>4125</v>
      </c>
      <c r="D416" s="30">
        <v>875</v>
      </c>
      <c r="E416" s="31">
        <v>4348.75</v>
      </c>
      <c r="F416" s="22" t="s">
        <v>2579</v>
      </c>
      <c r="G416" s="21" t="s">
        <v>4126</v>
      </c>
      <c r="H416" s="21" t="s">
        <v>2996</v>
      </c>
      <c r="I416" s="21" t="s">
        <v>63</v>
      </c>
      <c r="J416" s="21" t="s">
        <v>20</v>
      </c>
      <c r="K416" s="22" t="s">
        <v>4127</v>
      </c>
      <c r="L416" s="22" t="s">
        <v>3856</v>
      </c>
      <c r="M416" s="22" t="s">
        <v>4128</v>
      </c>
      <c r="N416" s="22" t="s">
        <v>4129</v>
      </c>
    </row>
    <row r="417" ht="20" customHeight="1" spans="1:14" s="23" customFormat="1" x14ac:dyDescent="0.25">
      <c r="A417" s="24" t="s">
        <v>4130</v>
      </c>
      <c r="B417" s="24" t="s">
        <v>2896</v>
      </c>
      <c r="C417" s="25" t="s">
        <v>2709</v>
      </c>
      <c r="D417" s="32">
        <v>175</v>
      </c>
      <c r="E417" s="33">
        <v>647.5</v>
      </c>
      <c r="F417" s="25" t="s">
        <v>2579</v>
      </c>
      <c r="G417" s="24" t="s">
        <v>63</v>
      </c>
      <c r="H417" s="24" t="s">
        <v>2996</v>
      </c>
      <c r="I417" s="24" t="s">
        <v>63</v>
      </c>
      <c r="J417" s="24" t="s">
        <v>20</v>
      </c>
      <c r="K417" s="25" t="s">
        <v>63</v>
      </c>
      <c r="L417" s="25" t="s">
        <v>63</v>
      </c>
      <c r="M417" s="25" t="s">
        <v>3104</v>
      </c>
      <c r="N417" s="25" t="s">
        <v>4131</v>
      </c>
    </row>
    <row r="418" ht="20" customHeight="1" spans="1:14" x14ac:dyDescent="0.25">
      <c r="A418" s="21" t="s">
        <v>4132</v>
      </c>
      <c r="B418" s="21" t="s">
        <v>2962</v>
      </c>
      <c r="C418" s="22" t="s">
        <v>2666</v>
      </c>
      <c r="D418" s="30">
        <v>68.179</v>
      </c>
      <c r="E418" s="31">
        <v>214.76</v>
      </c>
      <c r="F418" s="22" t="s">
        <v>2863</v>
      </c>
      <c r="G418" s="21" t="s">
        <v>2581</v>
      </c>
      <c r="H418" s="21" t="s">
        <v>2996</v>
      </c>
      <c r="I418" s="21" t="s">
        <v>63</v>
      </c>
      <c r="J418" s="21" t="s">
        <v>20</v>
      </c>
      <c r="K418" s="22" t="s">
        <v>4133</v>
      </c>
      <c r="L418" s="22" t="s">
        <v>4134</v>
      </c>
      <c r="M418" s="22" t="s">
        <v>4135</v>
      </c>
      <c r="N418" s="22" t="s">
        <v>4136</v>
      </c>
    </row>
    <row r="419" ht="20" customHeight="1" spans="1:14" s="23" customFormat="1" x14ac:dyDescent="0.25">
      <c r="A419" s="24" t="s">
        <v>4137</v>
      </c>
      <c r="B419" s="24" t="s">
        <v>2962</v>
      </c>
      <c r="C419" s="25" t="s">
        <v>2716</v>
      </c>
      <c r="D419" s="32">
        <v>218.75</v>
      </c>
      <c r="E419" s="33">
        <v>1115.63</v>
      </c>
      <c r="F419" s="25" t="s">
        <v>2863</v>
      </c>
      <c r="G419" s="24" t="s">
        <v>2581</v>
      </c>
      <c r="H419" s="24" t="s">
        <v>2996</v>
      </c>
      <c r="I419" s="24" t="s">
        <v>63</v>
      </c>
      <c r="J419" s="24" t="s">
        <v>20</v>
      </c>
      <c r="K419" s="25" t="s">
        <v>4133</v>
      </c>
      <c r="L419" s="25" t="s">
        <v>4134</v>
      </c>
      <c r="M419" s="25" t="s">
        <v>4135</v>
      </c>
      <c r="N419" s="25" t="s">
        <v>4138</v>
      </c>
    </row>
    <row r="420" ht="20" customHeight="1" spans="1:14" x14ac:dyDescent="0.25">
      <c r="A420" s="21" t="s">
        <v>4139</v>
      </c>
      <c r="B420" s="21" t="s">
        <v>2962</v>
      </c>
      <c r="C420" s="22" t="s">
        <v>2696</v>
      </c>
      <c r="D420" s="30">
        <v>140.63</v>
      </c>
      <c r="E420" s="31">
        <v>506.27</v>
      </c>
      <c r="F420" s="22" t="s">
        <v>2863</v>
      </c>
      <c r="G420" s="21" t="s">
        <v>2581</v>
      </c>
      <c r="H420" s="21" t="s">
        <v>2996</v>
      </c>
      <c r="I420" s="21" t="s">
        <v>63</v>
      </c>
      <c r="J420" s="21" t="s">
        <v>20</v>
      </c>
      <c r="K420" s="22" t="s">
        <v>4133</v>
      </c>
      <c r="L420" s="22" t="s">
        <v>4134</v>
      </c>
      <c r="M420" s="22" t="s">
        <v>4135</v>
      </c>
      <c r="N420" s="22" t="s">
        <v>4138</v>
      </c>
    </row>
    <row r="421" ht="20" customHeight="1" spans="1:14" s="23" customFormat="1" x14ac:dyDescent="0.25">
      <c r="A421" s="24" t="s">
        <v>4140</v>
      </c>
      <c r="B421" s="24" t="s">
        <v>4094</v>
      </c>
      <c r="C421" s="25" t="s">
        <v>2940</v>
      </c>
      <c r="D421" s="32">
        <v>3.15</v>
      </c>
      <c r="E421" s="33">
        <v>220.5</v>
      </c>
      <c r="F421" s="25" t="s">
        <v>2757</v>
      </c>
      <c r="G421" s="24" t="s">
        <v>4141</v>
      </c>
      <c r="H421" s="24" t="s">
        <v>2996</v>
      </c>
      <c r="I421" s="24" t="s">
        <v>63</v>
      </c>
      <c r="J421" s="24" t="s">
        <v>20</v>
      </c>
      <c r="K421" s="25" t="s">
        <v>4142</v>
      </c>
      <c r="L421" s="25" t="s">
        <v>2760</v>
      </c>
      <c r="M421" s="25" t="s">
        <v>3204</v>
      </c>
      <c r="N421" s="25" t="s">
        <v>4143</v>
      </c>
    </row>
    <row r="422" ht="20" customHeight="1" spans="1:14" x14ac:dyDescent="0.25">
      <c r="A422" s="21" t="s">
        <v>4144</v>
      </c>
      <c r="B422" s="21" t="s">
        <v>4094</v>
      </c>
      <c r="C422" s="22" t="s">
        <v>2679</v>
      </c>
      <c r="D422" s="30">
        <v>39</v>
      </c>
      <c r="E422" s="31">
        <v>213.72</v>
      </c>
      <c r="F422" s="22" t="s">
        <v>2757</v>
      </c>
      <c r="G422" s="21" t="s">
        <v>4141</v>
      </c>
      <c r="H422" s="21" t="s">
        <v>2996</v>
      </c>
      <c r="I422" s="21" t="s">
        <v>63</v>
      </c>
      <c r="J422" s="21" t="s">
        <v>20</v>
      </c>
      <c r="K422" s="22" t="s">
        <v>4142</v>
      </c>
      <c r="L422" s="22" t="s">
        <v>2760</v>
      </c>
      <c r="M422" s="22" t="s">
        <v>3204</v>
      </c>
      <c r="N422" s="22" t="s">
        <v>4143</v>
      </c>
    </row>
    <row r="423" ht="20" customHeight="1" spans="1:14" s="23" customFormat="1" x14ac:dyDescent="0.25">
      <c r="A423" s="24" t="s">
        <v>4145</v>
      </c>
      <c r="B423" s="24" t="s">
        <v>4094</v>
      </c>
      <c r="C423" s="25" t="s">
        <v>2696</v>
      </c>
      <c r="D423" s="32">
        <v>107</v>
      </c>
      <c r="E423" s="33">
        <v>385.2</v>
      </c>
      <c r="F423" s="25" t="s">
        <v>2757</v>
      </c>
      <c r="G423" s="24" t="s">
        <v>4141</v>
      </c>
      <c r="H423" s="24" t="s">
        <v>2996</v>
      </c>
      <c r="I423" s="24" t="s">
        <v>63</v>
      </c>
      <c r="J423" s="24" t="s">
        <v>20</v>
      </c>
      <c r="K423" s="25" t="s">
        <v>4142</v>
      </c>
      <c r="L423" s="25" t="s">
        <v>2760</v>
      </c>
      <c r="M423" s="25" t="s">
        <v>3204</v>
      </c>
      <c r="N423" s="25" t="s">
        <v>4143</v>
      </c>
    </row>
    <row r="424" ht="20" customHeight="1" spans="1:14" x14ac:dyDescent="0.25">
      <c r="A424" s="21" t="s">
        <v>4146</v>
      </c>
      <c r="B424" s="21" t="s">
        <v>1076</v>
      </c>
      <c r="C424" s="22" t="s">
        <v>4147</v>
      </c>
      <c r="D424" s="30">
        <v>2285</v>
      </c>
      <c r="E424" s="31">
        <v>19513.9</v>
      </c>
      <c r="F424" s="22" t="s">
        <v>3307</v>
      </c>
      <c r="G424" s="21" t="s">
        <v>4148</v>
      </c>
      <c r="H424" s="21" t="s">
        <v>2996</v>
      </c>
      <c r="I424" s="21" t="s">
        <v>63</v>
      </c>
      <c r="J424" s="21" t="s">
        <v>20</v>
      </c>
      <c r="K424" s="22" t="s">
        <v>4149</v>
      </c>
      <c r="L424" s="22" t="s">
        <v>3757</v>
      </c>
      <c r="M424" s="22" t="s">
        <v>4150</v>
      </c>
      <c r="N424" s="22" t="s">
        <v>4151</v>
      </c>
    </row>
    <row r="425" ht="20" customHeight="1" spans="1:14" s="23" customFormat="1" x14ac:dyDescent="0.25">
      <c r="A425" s="24" t="s">
        <v>4152</v>
      </c>
      <c r="B425" s="24" t="s">
        <v>2982</v>
      </c>
      <c r="C425" s="25" t="s">
        <v>3789</v>
      </c>
      <c r="D425" s="32">
        <v>600</v>
      </c>
      <c r="E425" s="33">
        <v>2982</v>
      </c>
      <c r="F425" s="25" t="s">
        <v>2579</v>
      </c>
      <c r="G425" s="24" t="s">
        <v>2983</v>
      </c>
      <c r="H425" s="24" t="s">
        <v>2996</v>
      </c>
      <c r="I425" s="24" t="s">
        <v>63</v>
      </c>
      <c r="J425" s="24" t="s">
        <v>20</v>
      </c>
      <c r="K425" s="25" t="s">
        <v>3102</v>
      </c>
      <c r="L425" s="25" t="s">
        <v>2998</v>
      </c>
      <c r="M425" s="25" t="s">
        <v>2985</v>
      </c>
      <c r="N425" s="25" t="s">
        <v>4153</v>
      </c>
    </row>
    <row r="426" ht="20" customHeight="1" spans="1:14" x14ac:dyDescent="0.25">
      <c r="A426" s="21" t="s">
        <v>4154</v>
      </c>
      <c r="B426" s="21" t="s">
        <v>2764</v>
      </c>
      <c r="C426" s="22" t="s">
        <v>2993</v>
      </c>
      <c r="D426" s="30">
        <v>175</v>
      </c>
      <c r="E426" s="31">
        <v>647.5</v>
      </c>
      <c r="F426" s="22" t="s">
        <v>2579</v>
      </c>
      <c r="G426" s="21" t="s">
        <v>2995</v>
      </c>
      <c r="H426" s="21" t="s">
        <v>2996</v>
      </c>
      <c r="I426" s="21" t="s">
        <v>63</v>
      </c>
      <c r="J426" s="21" t="s">
        <v>20</v>
      </c>
      <c r="K426" s="22" t="s">
        <v>3102</v>
      </c>
      <c r="L426" s="22" t="s">
        <v>2998</v>
      </c>
      <c r="M426" s="22" t="s">
        <v>2999</v>
      </c>
      <c r="N426" s="22" t="s">
        <v>4155</v>
      </c>
    </row>
    <row r="427" ht="20" customHeight="1" spans="1:14" s="23" customFormat="1" x14ac:dyDescent="0.25">
      <c r="A427" s="24" t="s">
        <v>4156</v>
      </c>
      <c r="B427" s="24" t="s">
        <v>3616</v>
      </c>
      <c r="C427" s="25" t="s">
        <v>2578</v>
      </c>
      <c r="D427" s="32">
        <v>800</v>
      </c>
      <c r="E427" s="33">
        <v>3976</v>
      </c>
      <c r="F427" s="25" t="s">
        <v>2652</v>
      </c>
      <c r="G427" s="24" t="s">
        <v>3198</v>
      </c>
      <c r="H427" s="24" t="s">
        <v>2996</v>
      </c>
      <c r="I427" s="24" t="s">
        <v>63</v>
      </c>
      <c r="J427" s="24" t="s">
        <v>20</v>
      </c>
      <c r="K427" s="25" t="s">
        <v>4157</v>
      </c>
      <c r="L427" s="25" t="s">
        <v>3778</v>
      </c>
      <c r="M427" s="25" t="s">
        <v>3199</v>
      </c>
      <c r="N427" s="25" t="s">
        <v>4158</v>
      </c>
    </row>
    <row r="428" ht="20" customHeight="1" spans="1:14" x14ac:dyDescent="0.25">
      <c r="A428" s="21" t="s">
        <v>4159</v>
      </c>
      <c r="B428" s="21" t="s">
        <v>2688</v>
      </c>
      <c r="C428" s="22" t="s">
        <v>2578</v>
      </c>
      <c r="D428" s="30">
        <v>800</v>
      </c>
      <c r="E428" s="31">
        <v>3976</v>
      </c>
      <c r="F428" s="22" t="s">
        <v>2652</v>
      </c>
      <c r="G428" s="21" t="s">
        <v>3071</v>
      </c>
      <c r="H428" s="21" t="s">
        <v>2996</v>
      </c>
      <c r="I428" s="21" t="s">
        <v>63</v>
      </c>
      <c r="J428" s="21" t="s">
        <v>20</v>
      </c>
      <c r="K428" s="22" t="s">
        <v>4160</v>
      </c>
      <c r="L428" s="22" t="s">
        <v>3778</v>
      </c>
      <c r="M428" s="22" t="s">
        <v>3073</v>
      </c>
      <c r="N428" s="22" t="s">
        <v>4161</v>
      </c>
    </row>
    <row r="429" ht="20" customHeight="1" spans="1:14" s="23" customFormat="1" x14ac:dyDescent="0.25">
      <c r="A429" s="24" t="s">
        <v>4162</v>
      </c>
      <c r="B429" s="24" t="s">
        <v>3034</v>
      </c>
      <c r="C429" s="25" t="s">
        <v>2578</v>
      </c>
      <c r="D429" s="32">
        <v>700</v>
      </c>
      <c r="E429" s="33">
        <v>3479</v>
      </c>
      <c r="F429" s="25" t="s">
        <v>2652</v>
      </c>
      <c r="G429" s="24" t="s">
        <v>3050</v>
      </c>
      <c r="H429" s="24" t="s">
        <v>2996</v>
      </c>
      <c r="I429" s="24" t="s">
        <v>63</v>
      </c>
      <c r="J429" s="24" t="s">
        <v>20</v>
      </c>
      <c r="K429" s="25" t="s">
        <v>4163</v>
      </c>
      <c r="L429" s="25" t="s">
        <v>3778</v>
      </c>
      <c r="M429" s="25" t="s">
        <v>3052</v>
      </c>
      <c r="N429" s="25" t="s">
        <v>4164</v>
      </c>
    </row>
    <row r="430" ht="20" customHeight="1" spans="1:14" x14ac:dyDescent="0.25">
      <c r="A430" s="21" t="s">
        <v>4165</v>
      </c>
      <c r="B430" s="21" t="s">
        <v>2756</v>
      </c>
      <c r="C430" s="22" t="s">
        <v>2578</v>
      </c>
      <c r="D430" s="30">
        <v>600</v>
      </c>
      <c r="E430" s="31">
        <v>2982</v>
      </c>
      <c r="F430" s="22" t="s">
        <v>2652</v>
      </c>
      <c r="G430" s="21" t="s">
        <v>3044</v>
      </c>
      <c r="H430" s="21" t="s">
        <v>2996</v>
      </c>
      <c r="I430" s="21" t="s">
        <v>63</v>
      </c>
      <c r="J430" s="21" t="s">
        <v>20</v>
      </c>
      <c r="K430" s="22" t="s">
        <v>4166</v>
      </c>
      <c r="L430" s="22" t="s">
        <v>3778</v>
      </c>
      <c r="M430" s="22" t="s">
        <v>3046</v>
      </c>
      <c r="N430" s="22" t="s">
        <v>4167</v>
      </c>
    </row>
    <row r="431" ht="20" customHeight="1" spans="1:14" s="23" customFormat="1" x14ac:dyDescent="0.25">
      <c r="A431" s="24" t="s">
        <v>4168</v>
      </c>
      <c r="B431" s="24" t="s">
        <v>4169</v>
      </c>
      <c r="C431" s="25" t="s">
        <v>2578</v>
      </c>
      <c r="D431" s="32">
        <v>700</v>
      </c>
      <c r="E431" s="33">
        <v>3479</v>
      </c>
      <c r="F431" s="25" t="s">
        <v>2652</v>
      </c>
      <c r="G431" s="24" t="s">
        <v>3038</v>
      </c>
      <c r="H431" s="24" t="s">
        <v>2996</v>
      </c>
      <c r="I431" s="24" t="s">
        <v>63</v>
      </c>
      <c r="J431" s="24" t="s">
        <v>20</v>
      </c>
      <c r="K431" s="25" t="s">
        <v>4170</v>
      </c>
      <c r="L431" s="25" t="s">
        <v>3778</v>
      </c>
      <c r="M431" s="25" t="s">
        <v>3040</v>
      </c>
      <c r="N431" s="25" t="s">
        <v>4171</v>
      </c>
    </row>
    <row r="432" ht="20" customHeight="1" spans="1:14" x14ac:dyDescent="0.25">
      <c r="A432" s="21" t="s">
        <v>4172</v>
      </c>
      <c r="B432" s="21" t="s">
        <v>3152</v>
      </c>
      <c r="C432" s="22" t="s">
        <v>4173</v>
      </c>
      <c r="D432" s="30">
        <v>276.5</v>
      </c>
      <c r="E432" s="31">
        <v>1017.52</v>
      </c>
      <c r="F432" s="22" t="s">
        <v>2734</v>
      </c>
      <c r="G432" s="21" t="s">
        <v>3215</v>
      </c>
      <c r="H432" s="21" t="s">
        <v>2996</v>
      </c>
      <c r="I432" s="21" t="s">
        <v>63</v>
      </c>
      <c r="J432" s="21" t="s">
        <v>20</v>
      </c>
      <c r="K432" s="22" t="s">
        <v>3216</v>
      </c>
      <c r="L432" s="22" t="s">
        <v>2738</v>
      </c>
      <c r="M432" s="22" t="s">
        <v>3217</v>
      </c>
      <c r="N432" s="22" t="s">
        <v>4174</v>
      </c>
    </row>
    <row r="433" ht="20" customHeight="1" spans="1:14" s="23" customFormat="1" x14ac:dyDescent="0.25">
      <c r="A433" s="24" t="s">
        <v>4175</v>
      </c>
      <c r="B433" s="24" t="s">
        <v>2569</v>
      </c>
      <c r="C433" s="25" t="s">
        <v>4176</v>
      </c>
      <c r="D433" s="32">
        <v>40</v>
      </c>
      <c r="E433" s="33">
        <v>216</v>
      </c>
      <c r="F433" s="25" t="s">
        <v>3220</v>
      </c>
      <c r="G433" s="24" t="s">
        <v>2024</v>
      </c>
      <c r="H433" s="24" t="s">
        <v>2996</v>
      </c>
      <c r="I433" s="24" t="s">
        <v>63</v>
      </c>
      <c r="J433" s="24" t="s">
        <v>20</v>
      </c>
      <c r="K433" s="25" t="s">
        <v>3221</v>
      </c>
      <c r="L433" s="25" t="s">
        <v>3222</v>
      </c>
      <c r="M433" s="25" t="s">
        <v>3223</v>
      </c>
      <c r="N433" s="25" t="s">
        <v>4177</v>
      </c>
    </row>
    <row r="434" ht="20" customHeight="1" spans="1:14" x14ac:dyDescent="0.25">
      <c r="A434" s="21" t="s">
        <v>4178</v>
      </c>
      <c r="B434" s="21" t="s">
        <v>1180</v>
      </c>
      <c r="C434" s="22" t="s">
        <v>4179</v>
      </c>
      <c r="D434" s="30">
        <v>176</v>
      </c>
      <c r="E434" s="31">
        <v>834.24</v>
      </c>
      <c r="F434" s="22" t="s">
        <v>2796</v>
      </c>
      <c r="G434" s="21" t="s">
        <v>4180</v>
      </c>
      <c r="H434" s="21" t="s">
        <v>4181</v>
      </c>
      <c r="I434" s="21" t="s">
        <v>1387</v>
      </c>
      <c r="J434" s="21">
        <f>SE(I434="","-",SE(DATA.VALOR(I434)&lt;HOJE(),"VENCIDO",SE(DATA.VALOR(I434)-HOJE()&lt;=30,"CRÍTICO (&lt;=30D)","REGULAR")))</f>
      </c>
      <c r="K434" s="22" t="s">
        <v>4182</v>
      </c>
      <c r="L434" s="22" t="s">
        <v>4183</v>
      </c>
      <c r="M434" s="22" t="s">
        <v>4184</v>
      </c>
      <c r="N434" s="22" t="s">
        <v>4185</v>
      </c>
    </row>
    <row r="435" ht="20" customHeight="1" spans="1:14" s="23" customFormat="1" x14ac:dyDescent="0.25">
      <c r="A435" s="24" t="s">
        <v>4186</v>
      </c>
      <c r="B435" s="24" t="s">
        <v>2631</v>
      </c>
      <c r="C435" s="25" t="s">
        <v>4173</v>
      </c>
      <c r="D435" s="32">
        <v>201</v>
      </c>
      <c r="E435" s="33">
        <v>739.68</v>
      </c>
      <c r="F435" s="25" t="s">
        <v>2734</v>
      </c>
      <c r="G435" s="24" t="s">
        <v>3118</v>
      </c>
      <c r="H435" s="24" t="s">
        <v>2996</v>
      </c>
      <c r="I435" s="24" t="s">
        <v>63</v>
      </c>
      <c r="J435" s="24" t="s">
        <v>20</v>
      </c>
      <c r="K435" s="25" t="s">
        <v>3119</v>
      </c>
      <c r="L435" s="25" t="s">
        <v>2738</v>
      </c>
      <c r="M435" s="25" t="s">
        <v>3120</v>
      </c>
      <c r="N435" s="25" t="s">
        <v>4187</v>
      </c>
    </row>
    <row r="436" ht="20" customHeight="1" spans="1:14" x14ac:dyDescent="0.25">
      <c r="A436" s="21" t="s">
        <v>4188</v>
      </c>
      <c r="B436" s="21" t="s">
        <v>2631</v>
      </c>
      <c r="C436" s="22" t="s">
        <v>4189</v>
      </c>
      <c r="D436" s="30">
        <v>140</v>
      </c>
      <c r="E436" s="31">
        <v>504</v>
      </c>
      <c r="F436" s="22" t="s">
        <v>2734</v>
      </c>
      <c r="G436" s="21" t="s">
        <v>3118</v>
      </c>
      <c r="H436" s="21" t="s">
        <v>2996</v>
      </c>
      <c r="I436" s="21" t="s">
        <v>63</v>
      </c>
      <c r="J436" s="21" t="s">
        <v>20</v>
      </c>
      <c r="K436" s="22" t="s">
        <v>3119</v>
      </c>
      <c r="L436" s="22" t="s">
        <v>2738</v>
      </c>
      <c r="M436" s="22" t="s">
        <v>3120</v>
      </c>
      <c r="N436" s="22" t="s">
        <v>4190</v>
      </c>
    </row>
    <row r="437" ht="20" customHeight="1" spans="1:14" s="23" customFormat="1" x14ac:dyDescent="0.25">
      <c r="A437" s="24" t="s">
        <v>4191</v>
      </c>
      <c r="B437" s="24" t="s">
        <v>2585</v>
      </c>
      <c r="C437" s="25" t="s">
        <v>4192</v>
      </c>
      <c r="D437" s="32">
        <v>5000</v>
      </c>
      <c r="E437" s="33">
        <v>21550</v>
      </c>
      <c r="F437" s="25" t="s">
        <v>4068</v>
      </c>
      <c r="G437" s="24" t="s">
        <v>2602</v>
      </c>
      <c r="H437" s="24" t="s">
        <v>2996</v>
      </c>
      <c r="I437" s="24" t="s">
        <v>63</v>
      </c>
      <c r="J437" s="24" t="s">
        <v>20</v>
      </c>
      <c r="K437" s="25" t="s">
        <v>4193</v>
      </c>
      <c r="L437" s="25" t="s">
        <v>4194</v>
      </c>
      <c r="M437" s="25" t="s">
        <v>2990</v>
      </c>
      <c r="N437" s="25" t="s">
        <v>4195</v>
      </c>
    </row>
    <row r="438" ht="20" customHeight="1" spans="1:14" x14ac:dyDescent="0.25">
      <c r="A438" s="21" t="s">
        <v>4196</v>
      </c>
      <c r="B438" s="21" t="s">
        <v>1045</v>
      </c>
      <c r="C438" s="22" t="s">
        <v>2679</v>
      </c>
      <c r="D438" s="30">
        <v>33.01</v>
      </c>
      <c r="E438" s="31">
        <v>180.9</v>
      </c>
      <c r="F438" s="22" t="s">
        <v>3024</v>
      </c>
      <c r="G438" s="21" t="s">
        <v>4197</v>
      </c>
      <c r="H438" s="21" t="s">
        <v>2996</v>
      </c>
      <c r="I438" s="21" t="s">
        <v>63</v>
      </c>
      <c r="J438" s="21" t="s">
        <v>20</v>
      </c>
      <c r="K438" s="22" t="s">
        <v>4198</v>
      </c>
      <c r="L438" s="22" t="s">
        <v>4199</v>
      </c>
      <c r="M438" s="22" t="s">
        <v>4200</v>
      </c>
      <c r="N438" s="22" t="s">
        <v>4201</v>
      </c>
    </row>
    <row r="439" ht="20" customHeight="1" spans="1:14" s="23" customFormat="1" x14ac:dyDescent="0.25">
      <c r="A439" s="24" t="s">
        <v>4202</v>
      </c>
      <c r="B439" s="24" t="s">
        <v>1045</v>
      </c>
      <c r="C439" s="25" t="s">
        <v>2696</v>
      </c>
      <c r="D439" s="32">
        <v>140.61</v>
      </c>
      <c r="E439" s="33">
        <v>506.2</v>
      </c>
      <c r="F439" s="25" t="s">
        <v>3024</v>
      </c>
      <c r="G439" s="24" t="s">
        <v>4197</v>
      </c>
      <c r="H439" s="24" t="s">
        <v>2996</v>
      </c>
      <c r="I439" s="24" t="s">
        <v>63</v>
      </c>
      <c r="J439" s="24" t="s">
        <v>20</v>
      </c>
      <c r="K439" s="25" t="s">
        <v>4198</v>
      </c>
      <c r="L439" s="25" t="s">
        <v>4199</v>
      </c>
      <c r="M439" s="25" t="s">
        <v>4200</v>
      </c>
      <c r="N439" s="25" t="s">
        <v>4203</v>
      </c>
    </row>
    <row r="440" ht="20" customHeight="1" spans="1:14" x14ac:dyDescent="0.25">
      <c r="A440" s="21" t="s">
        <v>4204</v>
      </c>
      <c r="B440" s="21" t="s">
        <v>1045</v>
      </c>
      <c r="C440" s="22" t="s">
        <v>2727</v>
      </c>
      <c r="D440" s="30">
        <v>187.5</v>
      </c>
      <c r="E440" s="31">
        <v>993.76</v>
      </c>
      <c r="F440" s="22" t="s">
        <v>3024</v>
      </c>
      <c r="G440" s="21" t="s">
        <v>4197</v>
      </c>
      <c r="H440" s="21" t="s">
        <v>2996</v>
      </c>
      <c r="I440" s="21" t="s">
        <v>63</v>
      </c>
      <c r="J440" s="21" t="s">
        <v>20</v>
      </c>
      <c r="K440" s="22" t="s">
        <v>4198</v>
      </c>
      <c r="L440" s="22" t="s">
        <v>4199</v>
      </c>
      <c r="M440" s="22" t="s">
        <v>4200</v>
      </c>
      <c r="N440" s="22" t="s">
        <v>4205</v>
      </c>
    </row>
    <row r="441" ht="20" customHeight="1" spans="1:14" s="23" customFormat="1" x14ac:dyDescent="0.25">
      <c r="A441" s="24" t="s">
        <v>4206</v>
      </c>
      <c r="B441" s="24" t="s">
        <v>1104</v>
      </c>
      <c r="C441" s="25" t="s">
        <v>4207</v>
      </c>
      <c r="D441" s="32">
        <v>76.82</v>
      </c>
      <c r="E441" s="33">
        <v>241.98</v>
      </c>
      <c r="F441" s="25" t="s">
        <v>2863</v>
      </c>
      <c r="G441" s="24" t="s">
        <v>4208</v>
      </c>
      <c r="H441" s="24" t="s">
        <v>2996</v>
      </c>
      <c r="I441" s="24" t="s">
        <v>63</v>
      </c>
      <c r="J441" s="24" t="s">
        <v>20</v>
      </c>
      <c r="K441" s="25" t="s">
        <v>4209</v>
      </c>
      <c r="L441" s="25" t="s">
        <v>2868</v>
      </c>
      <c r="M441" s="25" t="s">
        <v>4210</v>
      </c>
      <c r="N441" s="25" t="s">
        <v>4211</v>
      </c>
    </row>
    <row r="442" ht="20" customHeight="1" spans="1:14" x14ac:dyDescent="0.25">
      <c r="A442" s="21" t="s">
        <v>4212</v>
      </c>
      <c r="B442" s="21" t="s">
        <v>1104</v>
      </c>
      <c r="C442" s="22" t="s">
        <v>2716</v>
      </c>
      <c r="D442" s="30">
        <v>250.55</v>
      </c>
      <c r="E442" s="31">
        <v>1277.8</v>
      </c>
      <c r="F442" s="22" t="s">
        <v>2863</v>
      </c>
      <c r="G442" s="21" t="s">
        <v>4208</v>
      </c>
      <c r="H442" s="21" t="s">
        <v>2996</v>
      </c>
      <c r="I442" s="21" t="s">
        <v>63</v>
      </c>
      <c r="J442" s="21" t="s">
        <v>20</v>
      </c>
      <c r="K442" s="22" t="s">
        <v>4209</v>
      </c>
      <c r="L442" s="22" t="s">
        <v>2868</v>
      </c>
      <c r="M442" s="22" t="s">
        <v>4210</v>
      </c>
      <c r="N442" s="22" t="s">
        <v>4211</v>
      </c>
    </row>
    <row r="443" ht="20" customHeight="1" spans="1:14" s="23" customFormat="1" x14ac:dyDescent="0.25">
      <c r="A443" s="24" t="s">
        <v>4213</v>
      </c>
      <c r="B443" s="24" t="s">
        <v>1104</v>
      </c>
      <c r="C443" s="25" t="s">
        <v>4214</v>
      </c>
      <c r="D443" s="32">
        <v>144.15</v>
      </c>
      <c r="E443" s="33">
        <v>518.94</v>
      </c>
      <c r="F443" s="25" t="s">
        <v>2863</v>
      </c>
      <c r="G443" s="24" t="s">
        <v>4208</v>
      </c>
      <c r="H443" s="24" t="s">
        <v>2996</v>
      </c>
      <c r="I443" s="24" t="s">
        <v>63</v>
      </c>
      <c r="J443" s="24" t="s">
        <v>20</v>
      </c>
      <c r="K443" s="25" t="s">
        <v>4209</v>
      </c>
      <c r="L443" s="25" t="s">
        <v>2868</v>
      </c>
      <c r="M443" s="25" t="s">
        <v>4210</v>
      </c>
      <c r="N443" s="25" t="s">
        <v>4215</v>
      </c>
    </row>
    <row r="444" ht="20" customHeight="1" spans="1:14" x14ac:dyDescent="0.25">
      <c r="A444" s="21" t="s">
        <v>4216</v>
      </c>
      <c r="B444" s="21" t="s">
        <v>2937</v>
      </c>
      <c r="C444" s="22" t="s">
        <v>4217</v>
      </c>
      <c r="D444" s="30">
        <v>1000</v>
      </c>
      <c r="E444" s="31">
        <v>7600</v>
      </c>
      <c r="F444" s="22" t="s">
        <v>3699</v>
      </c>
      <c r="G444" s="21" t="s">
        <v>4218</v>
      </c>
      <c r="H444" s="21" t="s">
        <v>2996</v>
      </c>
      <c r="I444" s="21" t="s">
        <v>63</v>
      </c>
      <c r="J444" s="21" t="s">
        <v>20</v>
      </c>
      <c r="K444" s="22" t="s">
        <v>4219</v>
      </c>
      <c r="L444" s="22" t="s">
        <v>3703</v>
      </c>
      <c r="M444" s="22" t="s">
        <v>4220</v>
      </c>
      <c r="N444" s="22" t="s">
        <v>4221</v>
      </c>
    </row>
    <row r="445" ht="20" customHeight="1" spans="1:14" s="23" customFormat="1" x14ac:dyDescent="0.25">
      <c r="A445" s="24" t="s">
        <v>4222</v>
      </c>
      <c r="B445" s="24" t="s">
        <v>2937</v>
      </c>
      <c r="C445" s="25" t="s">
        <v>4223</v>
      </c>
      <c r="D445" s="32">
        <v>50</v>
      </c>
      <c r="E445" s="33">
        <v>640</v>
      </c>
      <c r="F445" s="25" t="s">
        <v>3699</v>
      </c>
      <c r="G445" s="24" t="s">
        <v>4218</v>
      </c>
      <c r="H445" s="24" t="s">
        <v>2996</v>
      </c>
      <c r="I445" s="24" t="s">
        <v>63</v>
      </c>
      <c r="J445" s="24" t="s">
        <v>20</v>
      </c>
      <c r="K445" s="25" t="s">
        <v>4219</v>
      </c>
      <c r="L445" s="25" t="s">
        <v>3703</v>
      </c>
      <c r="M445" s="25" t="s">
        <v>4220</v>
      </c>
      <c r="N445" s="25" t="s">
        <v>4221</v>
      </c>
    </row>
    <row r="446" ht="20" customHeight="1" spans="1:14" x14ac:dyDescent="0.25">
      <c r="A446" s="21" t="s">
        <v>4224</v>
      </c>
      <c r="B446" s="21" t="s">
        <v>3152</v>
      </c>
      <c r="C446" s="22" t="s">
        <v>4225</v>
      </c>
      <c r="D446" s="30">
        <v>500</v>
      </c>
      <c r="E446" s="31">
        <v>6290</v>
      </c>
      <c r="F446" s="22" t="s">
        <v>3365</v>
      </c>
      <c r="G446" s="21" t="s">
        <v>4226</v>
      </c>
      <c r="H446" s="21" t="s">
        <v>2996</v>
      </c>
      <c r="I446" s="21" t="s">
        <v>63</v>
      </c>
      <c r="J446" s="21" t="s">
        <v>20</v>
      </c>
      <c r="K446" s="22" t="s">
        <v>4227</v>
      </c>
      <c r="L446" s="22" t="s">
        <v>3895</v>
      </c>
      <c r="M446" s="22" t="s">
        <v>4228</v>
      </c>
      <c r="N446" s="22" t="s">
        <v>4229</v>
      </c>
    </row>
    <row r="447" ht="20" customHeight="1" spans="1:14" s="23" customFormat="1" x14ac:dyDescent="0.25">
      <c r="A447" s="24" t="s">
        <v>4230</v>
      </c>
      <c r="B447" s="24" t="s">
        <v>3152</v>
      </c>
      <c r="C447" s="25" t="s">
        <v>4231</v>
      </c>
      <c r="D447" s="32">
        <v>343</v>
      </c>
      <c r="E447" s="33">
        <v>8218.28</v>
      </c>
      <c r="F447" s="25" t="s">
        <v>3365</v>
      </c>
      <c r="G447" s="24" t="s">
        <v>4226</v>
      </c>
      <c r="H447" s="24" t="s">
        <v>2996</v>
      </c>
      <c r="I447" s="24" t="s">
        <v>63</v>
      </c>
      <c r="J447" s="24" t="s">
        <v>20</v>
      </c>
      <c r="K447" s="25" t="s">
        <v>4227</v>
      </c>
      <c r="L447" s="25" t="s">
        <v>3895</v>
      </c>
      <c r="M447" s="25" t="s">
        <v>4228</v>
      </c>
      <c r="N447" s="25" t="s">
        <v>4232</v>
      </c>
    </row>
    <row r="448" ht="20" customHeight="1" spans="1:14" x14ac:dyDescent="0.25">
      <c r="A448" s="21" t="s">
        <v>4233</v>
      </c>
      <c r="B448" s="21" t="s">
        <v>3152</v>
      </c>
      <c r="C448" s="22" t="s">
        <v>4234</v>
      </c>
      <c r="D448" s="30">
        <v>151</v>
      </c>
      <c r="E448" s="31">
        <v>3624</v>
      </c>
      <c r="F448" s="22" t="s">
        <v>3365</v>
      </c>
      <c r="G448" s="21" t="s">
        <v>4226</v>
      </c>
      <c r="H448" s="21" t="s">
        <v>2996</v>
      </c>
      <c r="I448" s="21" t="s">
        <v>63</v>
      </c>
      <c r="J448" s="21" t="s">
        <v>20</v>
      </c>
      <c r="K448" s="22" t="s">
        <v>4227</v>
      </c>
      <c r="L448" s="22" t="s">
        <v>3895</v>
      </c>
      <c r="M448" s="22" t="s">
        <v>4228</v>
      </c>
      <c r="N448" s="22" t="s">
        <v>4232</v>
      </c>
    </row>
    <row r="449" ht="20" customHeight="1" spans="1:14" s="23" customFormat="1" x14ac:dyDescent="0.25">
      <c r="A449" s="24" t="s">
        <v>4235</v>
      </c>
      <c r="B449" s="24" t="s">
        <v>3152</v>
      </c>
      <c r="C449" s="25" t="s">
        <v>4236</v>
      </c>
      <c r="D449" s="32">
        <v>207</v>
      </c>
      <c r="E449" s="33">
        <v>4135.86</v>
      </c>
      <c r="F449" s="25" t="s">
        <v>3365</v>
      </c>
      <c r="G449" s="24" t="s">
        <v>4226</v>
      </c>
      <c r="H449" s="24" t="s">
        <v>2996</v>
      </c>
      <c r="I449" s="24" t="s">
        <v>63</v>
      </c>
      <c r="J449" s="24" t="s">
        <v>20</v>
      </c>
      <c r="K449" s="25" t="s">
        <v>4227</v>
      </c>
      <c r="L449" s="25" t="s">
        <v>3895</v>
      </c>
      <c r="M449" s="25" t="s">
        <v>4228</v>
      </c>
      <c r="N449" s="25" t="s">
        <v>4232</v>
      </c>
    </row>
    <row r="450" ht="20" customHeight="1" spans="1:14" x14ac:dyDescent="0.25">
      <c r="A450" s="21" t="s">
        <v>4237</v>
      </c>
      <c r="B450" s="21" t="s">
        <v>377</v>
      </c>
      <c r="C450" s="22" t="s">
        <v>4238</v>
      </c>
      <c r="D450" s="30">
        <v>563</v>
      </c>
      <c r="E450" s="31">
        <v>6181.74</v>
      </c>
      <c r="F450" s="22" t="s">
        <v>4239</v>
      </c>
      <c r="G450" s="21" t="s">
        <v>4240</v>
      </c>
      <c r="H450" s="21" t="s">
        <v>2996</v>
      </c>
      <c r="I450" s="21" t="s">
        <v>63</v>
      </c>
      <c r="J450" s="21" t="s">
        <v>20</v>
      </c>
      <c r="K450" s="22" t="s">
        <v>4241</v>
      </c>
      <c r="L450" s="22" t="s">
        <v>4242</v>
      </c>
      <c r="M450" s="22" t="s">
        <v>4243</v>
      </c>
      <c r="N450" s="22" t="s">
        <v>4244</v>
      </c>
    </row>
    <row r="451" ht="20" customHeight="1" spans="1:14" s="23" customFormat="1" x14ac:dyDescent="0.25">
      <c r="A451" s="24" t="s">
        <v>4245</v>
      </c>
      <c r="B451" s="24" t="s">
        <v>2575</v>
      </c>
      <c r="C451" s="25" t="s">
        <v>4246</v>
      </c>
      <c r="D451" s="32">
        <v>82</v>
      </c>
      <c r="E451" s="33">
        <v>533</v>
      </c>
      <c r="F451" s="25" t="s">
        <v>2643</v>
      </c>
      <c r="G451" s="24" t="s">
        <v>4247</v>
      </c>
      <c r="H451" s="24" t="s">
        <v>2996</v>
      </c>
      <c r="I451" s="24" t="s">
        <v>63</v>
      </c>
      <c r="J451" s="24" t="s">
        <v>20</v>
      </c>
      <c r="K451" s="25" t="s">
        <v>63</v>
      </c>
      <c r="L451" s="25" t="s">
        <v>63</v>
      </c>
      <c r="M451" s="25" t="s">
        <v>4248</v>
      </c>
      <c r="N451" s="25" t="s">
        <v>4249</v>
      </c>
    </row>
    <row r="452" ht="20" customHeight="1" spans="1:14" x14ac:dyDescent="0.25">
      <c r="A452" s="21" t="s">
        <v>4250</v>
      </c>
      <c r="B452" s="21" t="s">
        <v>2962</v>
      </c>
      <c r="C452" s="22" t="s">
        <v>3880</v>
      </c>
      <c r="D452" s="30">
        <v>54</v>
      </c>
      <c r="E452" s="31">
        <v>1610.9</v>
      </c>
      <c r="F452" s="22" t="s">
        <v>2607</v>
      </c>
      <c r="G452" s="21" t="s">
        <v>4251</v>
      </c>
      <c r="H452" s="21" t="s">
        <v>2996</v>
      </c>
      <c r="I452" s="21" t="s">
        <v>63</v>
      </c>
      <c r="J452" s="21" t="s">
        <v>20</v>
      </c>
      <c r="K452" s="22" t="s">
        <v>4252</v>
      </c>
      <c r="L452" s="22" t="s">
        <v>3679</v>
      </c>
      <c r="M452" s="22" t="s">
        <v>4253</v>
      </c>
      <c r="N452" s="22" t="s">
        <v>4254</v>
      </c>
    </row>
    <row r="453" ht="20" customHeight="1" spans="1:14" s="23" customFormat="1" x14ac:dyDescent="0.25">
      <c r="A453" s="24" t="s">
        <v>4255</v>
      </c>
      <c r="B453" s="24" t="s">
        <v>2962</v>
      </c>
      <c r="C453" s="25" t="s">
        <v>4256</v>
      </c>
      <c r="D453" s="32">
        <v>416</v>
      </c>
      <c r="E453" s="33">
        <v>10306.52</v>
      </c>
      <c r="F453" s="25" t="s">
        <v>2607</v>
      </c>
      <c r="G453" s="24" t="s">
        <v>4251</v>
      </c>
      <c r="H453" s="24" t="s">
        <v>2996</v>
      </c>
      <c r="I453" s="24" t="s">
        <v>63</v>
      </c>
      <c r="J453" s="24" t="s">
        <v>20</v>
      </c>
      <c r="K453" s="25" t="s">
        <v>4252</v>
      </c>
      <c r="L453" s="25" t="s">
        <v>3679</v>
      </c>
      <c r="M453" s="25" t="s">
        <v>4253</v>
      </c>
      <c r="N453" s="25" t="s">
        <v>4257</v>
      </c>
    </row>
    <row r="454" ht="20" customHeight="1" spans="1:14" x14ac:dyDescent="0.25">
      <c r="A454" s="21" t="s">
        <v>4258</v>
      </c>
      <c r="B454" s="21" t="s">
        <v>2962</v>
      </c>
      <c r="C454" s="22" t="s">
        <v>2696</v>
      </c>
      <c r="D454" s="30">
        <v>140.625</v>
      </c>
      <c r="E454" s="31">
        <v>506.25</v>
      </c>
      <c r="F454" s="22" t="s">
        <v>2717</v>
      </c>
      <c r="G454" s="21" t="s">
        <v>4259</v>
      </c>
      <c r="H454" s="21" t="s">
        <v>2996</v>
      </c>
      <c r="I454" s="21" t="s">
        <v>63</v>
      </c>
      <c r="J454" s="21" t="s">
        <v>20</v>
      </c>
      <c r="K454" s="22" t="s">
        <v>4260</v>
      </c>
      <c r="L454" s="22" t="s">
        <v>2721</v>
      </c>
      <c r="M454" s="22" t="s">
        <v>4261</v>
      </c>
      <c r="N454" s="22" t="s">
        <v>4262</v>
      </c>
    </row>
    <row r="455" ht="20" customHeight="1" spans="1:14" s="23" customFormat="1" x14ac:dyDescent="0.25">
      <c r="A455" s="24" t="s">
        <v>4263</v>
      </c>
      <c r="B455" s="24" t="s">
        <v>2962</v>
      </c>
      <c r="C455" s="25" t="s">
        <v>2727</v>
      </c>
      <c r="D455" s="32">
        <v>375</v>
      </c>
      <c r="E455" s="33">
        <v>1500</v>
      </c>
      <c r="F455" s="25" t="s">
        <v>2717</v>
      </c>
      <c r="G455" s="24" t="s">
        <v>4259</v>
      </c>
      <c r="H455" s="24" t="s">
        <v>2996</v>
      </c>
      <c r="I455" s="24" t="s">
        <v>63</v>
      </c>
      <c r="J455" s="24" t="s">
        <v>20</v>
      </c>
      <c r="K455" s="25" t="s">
        <v>4260</v>
      </c>
      <c r="L455" s="25" t="s">
        <v>2721</v>
      </c>
      <c r="M455" s="25" t="s">
        <v>4261</v>
      </c>
      <c r="N455" s="25" t="s">
        <v>4264</v>
      </c>
    </row>
    <row r="456" ht="20" customHeight="1" spans="1:14" x14ac:dyDescent="0.25">
      <c r="A456" s="21" t="s">
        <v>4265</v>
      </c>
      <c r="B456" s="21" t="s">
        <v>1261</v>
      </c>
      <c r="C456" s="22" t="s">
        <v>4266</v>
      </c>
      <c r="D456" s="30">
        <v>94</v>
      </c>
      <c r="E456" s="31">
        <v>300.8</v>
      </c>
      <c r="F456" s="22" t="s">
        <v>2685</v>
      </c>
      <c r="G456" s="21" t="s">
        <v>4267</v>
      </c>
      <c r="H456" s="21" t="s">
        <v>4268</v>
      </c>
      <c r="I456" s="21" t="s">
        <v>1345</v>
      </c>
      <c r="J456" s="21">
        <f>SE(I456="","-",SE(DATA.VALOR(I456)&lt;HOJE(),"VENCIDO",SE(DATA.VALOR(I456)-HOJE()&lt;=30,"CRÍTICO (&lt;=30D)","REGULAR")))</f>
      </c>
      <c r="K456" s="22" t="s">
        <v>4269</v>
      </c>
      <c r="L456" s="22" t="s">
        <v>4270</v>
      </c>
      <c r="M456" s="22" t="s">
        <v>4271</v>
      </c>
      <c r="N456" s="22" t="s">
        <v>4272</v>
      </c>
    </row>
    <row r="457" ht="20" customHeight="1" spans="1:14" s="23" customFormat="1" x14ac:dyDescent="0.25">
      <c r="A457" s="24" t="s">
        <v>4273</v>
      </c>
      <c r="B457" s="24" t="s">
        <v>1261</v>
      </c>
      <c r="C457" s="25" t="s">
        <v>4274</v>
      </c>
      <c r="D457" s="32">
        <v>112</v>
      </c>
      <c r="E457" s="33">
        <v>470.4</v>
      </c>
      <c r="F457" s="25" t="s">
        <v>2685</v>
      </c>
      <c r="G457" s="24" t="s">
        <v>4267</v>
      </c>
      <c r="H457" s="24" t="s">
        <v>4268</v>
      </c>
      <c r="I457" s="24" t="s">
        <v>1345</v>
      </c>
      <c r="J457" s="24">
        <f>SE(I457="","-",SE(DATA.VALOR(I457)&lt;HOJE(),"VENCIDO",SE(DATA.VALOR(I457)-HOJE()&lt;=30,"CRÍTICO (&lt;=30D)","REGULAR")))</f>
      </c>
      <c r="K457" s="25" t="s">
        <v>4269</v>
      </c>
      <c r="L457" s="25" t="s">
        <v>4270</v>
      </c>
      <c r="M457" s="25" t="s">
        <v>4271</v>
      </c>
      <c r="N457" s="25" t="s">
        <v>4272</v>
      </c>
    </row>
    <row r="458" ht="20" customHeight="1" spans="1:14" x14ac:dyDescent="0.25">
      <c r="A458" s="21" t="s">
        <v>4275</v>
      </c>
      <c r="B458" s="21" t="s">
        <v>1261</v>
      </c>
      <c r="C458" s="22" t="s">
        <v>4276</v>
      </c>
      <c r="D458" s="30">
        <v>150</v>
      </c>
      <c r="E458" s="31">
        <v>600</v>
      </c>
      <c r="F458" s="22" t="s">
        <v>2685</v>
      </c>
      <c r="G458" s="21" t="s">
        <v>4267</v>
      </c>
      <c r="H458" s="21" t="s">
        <v>4268</v>
      </c>
      <c r="I458" s="21" t="s">
        <v>1345</v>
      </c>
      <c r="J458" s="21">
        <f>SE(I458="","-",SE(DATA.VALOR(I458)&lt;HOJE(),"VENCIDO",SE(DATA.VALOR(I458)-HOJE()&lt;=30,"CRÍTICO (&lt;=30D)","REGULAR")))</f>
      </c>
      <c r="K458" s="22" t="s">
        <v>4269</v>
      </c>
      <c r="L458" s="22" t="s">
        <v>4270</v>
      </c>
      <c r="M458" s="22" t="s">
        <v>4271</v>
      </c>
      <c r="N458" s="22" t="s">
        <v>4272</v>
      </c>
    </row>
    <row r="459" ht="20" customHeight="1" spans="1:14" s="23" customFormat="1" x14ac:dyDescent="0.25">
      <c r="A459" s="24" t="s">
        <v>4277</v>
      </c>
      <c r="B459" s="24" t="s">
        <v>858</v>
      </c>
      <c r="C459" s="25" t="s">
        <v>63</v>
      </c>
      <c r="D459" s="32">
        <v>106</v>
      </c>
      <c r="E459" s="33">
        <v>397.5</v>
      </c>
      <c r="F459" s="25" t="s">
        <v>2856</v>
      </c>
      <c r="G459" s="24" t="s">
        <v>4278</v>
      </c>
      <c r="H459" s="24" t="s">
        <v>3164</v>
      </c>
      <c r="I459" s="24" t="s">
        <v>63</v>
      </c>
      <c r="J459" s="24" t="s">
        <v>20</v>
      </c>
      <c r="K459" s="25" t="s">
        <v>4279</v>
      </c>
      <c r="L459" s="25" t="s">
        <v>4280</v>
      </c>
      <c r="M459" s="25" t="s">
        <v>4281</v>
      </c>
      <c r="N459" s="25" t="s">
        <v>4282</v>
      </c>
    </row>
    <row r="460" ht="20" customHeight="1" spans="1:14" x14ac:dyDescent="0.25">
      <c r="A460" s="21" t="s">
        <v>4283</v>
      </c>
      <c r="B460" s="21" t="s">
        <v>1345</v>
      </c>
      <c r="C460" s="22" t="s">
        <v>4284</v>
      </c>
      <c r="D460" s="30">
        <v>352</v>
      </c>
      <c r="E460" s="31">
        <v>937.5</v>
      </c>
      <c r="F460" s="22" t="s">
        <v>2787</v>
      </c>
      <c r="G460" s="21" t="s">
        <v>4285</v>
      </c>
      <c r="H460" s="21" t="s">
        <v>4286</v>
      </c>
      <c r="I460" s="21" t="s">
        <v>1524</v>
      </c>
      <c r="J460" s="21">
        <f>SE(I460="","-",SE(DATA.VALOR(I460)&lt;HOJE(),"VENCIDO",SE(DATA.VALOR(I460)-HOJE()&lt;=30,"CRÍTICO (&lt;=30D)","REGULAR")))</f>
      </c>
      <c r="K460" s="22" t="s">
        <v>4287</v>
      </c>
      <c r="L460" s="22" t="s">
        <v>4288</v>
      </c>
      <c r="M460" s="22" t="s">
        <v>4289</v>
      </c>
      <c r="N460" s="22" t="s">
        <v>4290</v>
      </c>
    </row>
    <row r="461" ht="20" customHeight="1" spans="1:14" s="23" customFormat="1" x14ac:dyDescent="0.25">
      <c r="A461" s="24" t="s">
        <v>4291</v>
      </c>
      <c r="B461" s="24" t="s">
        <v>1345</v>
      </c>
      <c r="C461" s="25" t="s">
        <v>2935</v>
      </c>
      <c r="D461" s="32">
        <v>40</v>
      </c>
      <c r="E461" s="33">
        <v>232</v>
      </c>
      <c r="F461" s="25" t="s">
        <v>2787</v>
      </c>
      <c r="G461" s="24" t="s">
        <v>4285</v>
      </c>
      <c r="H461" s="24" t="s">
        <v>4286</v>
      </c>
      <c r="I461" s="24" t="s">
        <v>1524</v>
      </c>
      <c r="J461" s="24">
        <f>SE(I461="","-",SE(DATA.VALOR(I461)&lt;HOJE(),"VENCIDO",SE(DATA.VALOR(I461)-HOJE()&lt;=30,"CRÍTICO (&lt;=30D)","REGULAR")))</f>
      </c>
      <c r="K461" s="25" t="s">
        <v>4287</v>
      </c>
      <c r="L461" s="25" t="s">
        <v>4288</v>
      </c>
      <c r="M461" s="25" t="s">
        <v>4289</v>
      </c>
      <c r="N461" s="25" t="s">
        <v>4292</v>
      </c>
    </row>
    <row r="462" ht="20" customHeight="1" spans="1:14" x14ac:dyDescent="0.25">
      <c r="A462" s="21" t="s">
        <v>4293</v>
      </c>
      <c r="B462" s="21" t="s">
        <v>2605</v>
      </c>
      <c r="C462" s="22" t="s">
        <v>2624</v>
      </c>
      <c r="D462" s="30">
        <v>1200</v>
      </c>
      <c r="E462" s="31">
        <v>0</v>
      </c>
      <c r="F462" s="22" t="s">
        <v>2607</v>
      </c>
      <c r="G462" s="21" t="s">
        <v>2625</v>
      </c>
      <c r="H462" s="21" t="s">
        <v>2626</v>
      </c>
      <c r="I462" s="21" t="s">
        <v>694</v>
      </c>
      <c r="J462" s="21">
        <f>SE(I462="","-",SE(DATA.VALOR(I462)&lt;HOJE(),"VENCIDO",SE(DATA.VALOR(I462)-HOJE()&lt;=30,"CRÍTICO (&lt;=30D)","REGULAR")))</f>
      </c>
      <c r="K462" s="22" t="s">
        <v>2627</v>
      </c>
      <c r="L462" s="22" t="s">
        <v>2611</v>
      </c>
      <c r="M462" s="22" t="s">
        <v>63</v>
      </c>
      <c r="N462" s="22" t="s">
        <v>4294</v>
      </c>
    </row>
    <row r="463" ht="20" customHeight="1" spans="1:14" s="23" customFormat="1" x14ac:dyDescent="0.25">
      <c r="A463" s="24" t="s">
        <v>4295</v>
      </c>
      <c r="B463" s="24" t="s">
        <v>2605</v>
      </c>
      <c r="C463" s="25" t="s">
        <v>2624</v>
      </c>
      <c r="D463" s="32">
        <v>1200</v>
      </c>
      <c r="E463" s="33">
        <v>0</v>
      </c>
      <c r="F463" s="25" t="s">
        <v>2607</v>
      </c>
      <c r="G463" s="24" t="s">
        <v>2625</v>
      </c>
      <c r="H463" s="24" t="s">
        <v>2626</v>
      </c>
      <c r="I463" s="24" t="s">
        <v>694</v>
      </c>
      <c r="J463" s="24">
        <f>SE(I463="","-",SE(DATA.VALOR(I463)&lt;HOJE(),"VENCIDO",SE(DATA.VALOR(I463)-HOJE()&lt;=30,"CRÍTICO (&lt;=30D)","REGULAR")))</f>
      </c>
      <c r="K463" s="25" t="s">
        <v>2627</v>
      </c>
      <c r="L463" s="25" t="s">
        <v>2611</v>
      </c>
      <c r="M463" s="25" t="s">
        <v>4296</v>
      </c>
      <c r="N463" s="25" t="s">
        <v>4294</v>
      </c>
    </row>
    <row r="464" ht="20" customHeight="1" spans="1:14" x14ac:dyDescent="0.25">
      <c r="A464" s="21" t="s">
        <v>4297</v>
      </c>
      <c r="B464" s="21" t="s">
        <v>1325</v>
      </c>
      <c r="C464" s="22" t="s">
        <v>4276</v>
      </c>
      <c r="D464" s="30">
        <v>152</v>
      </c>
      <c r="E464" s="31">
        <v>608</v>
      </c>
      <c r="F464" s="22" t="s">
        <v>4298</v>
      </c>
      <c r="G464" s="21" t="s">
        <v>988</v>
      </c>
      <c r="H464" s="21" t="s">
        <v>4299</v>
      </c>
      <c r="I464" s="21" t="s">
        <v>1492</v>
      </c>
      <c r="J464" s="21">
        <f>SE(I464="","-",SE(DATA.VALOR(I464)&lt;HOJE(),"VENCIDO",SE(DATA.VALOR(I464)-HOJE()&lt;=30,"CRÍTICO (&lt;=30D)","REGULAR")))</f>
      </c>
      <c r="K464" s="22" t="s">
        <v>4300</v>
      </c>
      <c r="L464" s="22" t="s">
        <v>4301</v>
      </c>
      <c r="M464" s="22" t="s">
        <v>4302</v>
      </c>
      <c r="N464" s="22" t="s">
        <v>4303</v>
      </c>
    </row>
    <row r="465" ht="20" customHeight="1" spans="1:14" s="23" customFormat="1" x14ac:dyDescent="0.25">
      <c r="A465" s="24" t="s">
        <v>4304</v>
      </c>
      <c r="B465" s="24" t="s">
        <v>1345</v>
      </c>
      <c r="C465" s="25" t="s">
        <v>4305</v>
      </c>
      <c r="D465" s="32">
        <v>355</v>
      </c>
      <c r="E465" s="33">
        <v>1207</v>
      </c>
      <c r="F465" s="25" t="s">
        <v>2734</v>
      </c>
      <c r="G465" s="24" t="s">
        <v>4306</v>
      </c>
      <c r="H465" s="24" t="s">
        <v>4307</v>
      </c>
      <c r="I465" s="24" t="s">
        <v>1433</v>
      </c>
      <c r="J465" s="24">
        <f>SE(I465="","-",SE(DATA.VALOR(I465)&lt;HOJE(),"VENCIDO",SE(DATA.VALOR(I465)-HOJE()&lt;=30,"CRÍTICO (&lt;=30D)","REGULAR")))</f>
      </c>
      <c r="K465" s="25" t="s">
        <v>4308</v>
      </c>
      <c r="L465" s="25" t="s">
        <v>4309</v>
      </c>
      <c r="M465" s="25" t="s">
        <v>4310</v>
      </c>
      <c r="N465" s="25" t="s">
        <v>4311</v>
      </c>
    </row>
    <row r="466" ht="20" customHeight="1" spans="1:14" x14ac:dyDescent="0.25">
      <c r="A466" s="21" t="s">
        <v>4312</v>
      </c>
      <c r="B466" s="21" t="s">
        <v>1345</v>
      </c>
      <c r="C466" s="22" t="s">
        <v>4179</v>
      </c>
      <c r="D466" s="30">
        <v>181</v>
      </c>
      <c r="E466" s="31">
        <v>857.94</v>
      </c>
      <c r="F466" s="22" t="s">
        <v>2734</v>
      </c>
      <c r="G466" s="21" t="s">
        <v>4306</v>
      </c>
      <c r="H466" s="21" t="s">
        <v>4307</v>
      </c>
      <c r="I466" s="21" t="s">
        <v>1433</v>
      </c>
      <c r="J466" s="21">
        <f>SE(I466="","-",SE(DATA.VALOR(I466)&lt;HOJE(),"VENCIDO",SE(DATA.VALOR(I466)-HOJE()&lt;=30,"CRÍTICO (&lt;=30D)","REGULAR")))</f>
      </c>
      <c r="K466" s="22" t="s">
        <v>4308</v>
      </c>
      <c r="L466" s="22" t="s">
        <v>4309</v>
      </c>
      <c r="M466" s="22" t="s">
        <v>4310</v>
      </c>
      <c r="N466" s="22" t="s">
        <v>4313</v>
      </c>
    </row>
    <row r="467" ht="20" customHeight="1" spans="1:14" s="23" customFormat="1" x14ac:dyDescent="0.25">
      <c r="A467" s="24" t="s">
        <v>4314</v>
      </c>
      <c r="B467" s="24" t="s">
        <v>1345</v>
      </c>
      <c r="C467" s="25" t="s">
        <v>4274</v>
      </c>
      <c r="D467" s="32">
        <v>143</v>
      </c>
      <c r="E467" s="33">
        <v>600.6</v>
      </c>
      <c r="F467" s="25" t="s">
        <v>2734</v>
      </c>
      <c r="G467" s="24" t="s">
        <v>4306</v>
      </c>
      <c r="H467" s="24" t="s">
        <v>4315</v>
      </c>
      <c r="I467" s="24" t="s">
        <v>1433</v>
      </c>
      <c r="J467" s="24">
        <f>SE(I467="","-",SE(DATA.VALOR(I467)&lt;HOJE(),"VENCIDO",SE(DATA.VALOR(I467)-HOJE()&lt;=30,"CRÍTICO (&lt;=30D)","REGULAR")))</f>
      </c>
      <c r="K467" s="25" t="s">
        <v>4308</v>
      </c>
      <c r="L467" s="25" t="s">
        <v>4309</v>
      </c>
      <c r="M467" s="25" t="s">
        <v>4310</v>
      </c>
      <c r="N467" s="25" t="s">
        <v>4316</v>
      </c>
    </row>
    <row r="468" ht="20" customHeight="1" spans="1:14" x14ac:dyDescent="0.25">
      <c r="A468" s="21" t="s">
        <v>4317</v>
      </c>
      <c r="B468" s="21" t="s">
        <v>1345</v>
      </c>
      <c r="C468" s="22" t="s">
        <v>4318</v>
      </c>
      <c r="D468" s="30">
        <v>342</v>
      </c>
      <c r="E468" s="31">
        <v>1436.4</v>
      </c>
      <c r="F468" s="22" t="s">
        <v>2734</v>
      </c>
      <c r="G468" s="21" t="s">
        <v>4306</v>
      </c>
      <c r="H468" s="21" t="s">
        <v>4307</v>
      </c>
      <c r="I468" s="21" t="s">
        <v>1433</v>
      </c>
      <c r="J468" s="21">
        <f>SE(I468="","-",SE(DATA.VALOR(I468)&lt;HOJE(),"VENCIDO",SE(DATA.VALOR(I468)-HOJE()&lt;=30,"CRÍTICO (&lt;=30D)","REGULAR")))</f>
      </c>
      <c r="K468" s="22" t="s">
        <v>4308</v>
      </c>
      <c r="L468" s="22" t="s">
        <v>4309</v>
      </c>
      <c r="M468" s="22" t="s">
        <v>4310</v>
      </c>
      <c r="N468" s="22" t="s">
        <v>4316</v>
      </c>
    </row>
    <row r="469" ht="20" customHeight="1" spans="1:14" s="23" customFormat="1" x14ac:dyDescent="0.25">
      <c r="A469" s="24" t="s">
        <v>4319</v>
      </c>
      <c r="B469" s="24" t="s">
        <v>1345</v>
      </c>
      <c r="C469" s="25" t="s">
        <v>2940</v>
      </c>
      <c r="D469" s="32">
        <v>62</v>
      </c>
      <c r="E469" s="33">
        <v>186</v>
      </c>
      <c r="F469" s="25" t="s">
        <v>2734</v>
      </c>
      <c r="G469" s="24" t="s">
        <v>4306</v>
      </c>
      <c r="H469" s="24" t="s">
        <v>4307</v>
      </c>
      <c r="I469" s="24" t="s">
        <v>1433</v>
      </c>
      <c r="J469" s="24">
        <f>SE(I469="","-",SE(DATA.VALOR(I469)&lt;HOJE(),"VENCIDO",SE(DATA.VALOR(I469)-HOJE()&lt;=30,"CRÍTICO (&lt;=30D)","REGULAR")))</f>
      </c>
      <c r="K469" s="25" t="s">
        <v>4308</v>
      </c>
      <c r="L469" s="25" t="s">
        <v>4309</v>
      </c>
      <c r="M469" s="25" t="s">
        <v>4310</v>
      </c>
      <c r="N469" s="25" t="s">
        <v>4320</v>
      </c>
    </row>
    <row r="470" ht="20" customHeight="1" spans="1:14" x14ac:dyDescent="0.25">
      <c r="A470" s="21" t="s">
        <v>4321</v>
      </c>
      <c r="B470" s="21" t="s">
        <v>1345</v>
      </c>
      <c r="C470" s="22" t="s">
        <v>4322</v>
      </c>
      <c r="D470" s="30">
        <v>196</v>
      </c>
      <c r="E470" s="31">
        <v>764.4</v>
      </c>
      <c r="F470" s="22" t="s">
        <v>2734</v>
      </c>
      <c r="G470" s="21" t="s">
        <v>4306</v>
      </c>
      <c r="H470" s="21" t="s">
        <v>4307</v>
      </c>
      <c r="I470" s="21" t="s">
        <v>1433</v>
      </c>
      <c r="J470" s="21">
        <f>SE(I470="","-",SE(DATA.VALOR(I470)&lt;HOJE(),"VENCIDO",SE(DATA.VALOR(I470)-HOJE()&lt;=30,"CRÍTICO (&lt;=30D)","REGULAR")))</f>
      </c>
      <c r="K470" s="22" t="s">
        <v>4308</v>
      </c>
      <c r="L470" s="22" t="s">
        <v>4309</v>
      </c>
      <c r="M470" s="22" t="s">
        <v>4310</v>
      </c>
      <c r="N470" s="22" t="s">
        <v>4323</v>
      </c>
    </row>
    <row r="471" ht="20" customHeight="1" spans="1:14" s="23" customFormat="1" x14ac:dyDescent="0.25">
      <c r="A471" s="24" t="s">
        <v>4324</v>
      </c>
      <c r="B471" s="24" t="s">
        <v>1345</v>
      </c>
      <c r="C471" s="25" t="s">
        <v>4276</v>
      </c>
      <c r="D471" s="32">
        <v>162</v>
      </c>
      <c r="E471" s="33">
        <v>648</v>
      </c>
      <c r="F471" s="25" t="s">
        <v>2734</v>
      </c>
      <c r="G471" s="24" t="s">
        <v>4306</v>
      </c>
      <c r="H471" s="24" t="s">
        <v>4307</v>
      </c>
      <c r="I471" s="24" t="s">
        <v>1433</v>
      </c>
      <c r="J471" s="24">
        <f>SE(I471="","-",SE(DATA.VALOR(I471)&lt;HOJE(),"VENCIDO",SE(DATA.VALOR(I471)-HOJE()&lt;=30,"CRÍTICO (&lt;=30D)","REGULAR")))</f>
      </c>
      <c r="K471" s="25" t="s">
        <v>4308</v>
      </c>
      <c r="L471" s="25" t="s">
        <v>4309</v>
      </c>
      <c r="M471" s="25" t="s">
        <v>4310</v>
      </c>
      <c r="N471" s="25" t="s">
        <v>4325</v>
      </c>
    </row>
    <row r="472" ht="20" customHeight="1" spans="1:14" x14ac:dyDescent="0.25">
      <c r="A472" s="21" t="s">
        <v>4326</v>
      </c>
      <c r="B472" s="21" t="s">
        <v>1345</v>
      </c>
      <c r="C472" s="22" t="s">
        <v>4327</v>
      </c>
      <c r="D472" s="30">
        <v>94</v>
      </c>
      <c r="E472" s="31">
        <v>513.24</v>
      </c>
      <c r="F472" s="22" t="s">
        <v>2734</v>
      </c>
      <c r="G472" s="21" t="s">
        <v>4306</v>
      </c>
      <c r="H472" s="21" t="s">
        <v>4307</v>
      </c>
      <c r="I472" s="21" t="s">
        <v>1433</v>
      </c>
      <c r="J472" s="21">
        <f>SE(I472="","-",SE(DATA.VALOR(I472)&lt;HOJE(),"VENCIDO",SE(DATA.VALOR(I472)-HOJE()&lt;=30,"CRÍTICO (&lt;=30D)","REGULAR")))</f>
      </c>
      <c r="K472" s="22" t="s">
        <v>4308</v>
      </c>
      <c r="L472" s="22" t="s">
        <v>4309</v>
      </c>
      <c r="M472" s="22" t="s">
        <v>4310</v>
      </c>
      <c r="N472" s="22" t="s">
        <v>4325</v>
      </c>
    </row>
    <row r="473" ht="20" customHeight="1" spans="1:14" s="23" customFormat="1" x14ac:dyDescent="0.25">
      <c r="A473" s="24" t="s">
        <v>4328</v>
      </c>
      <c r="B473" s="24" t="s">
        <v>1261</v>
      </c>
      <c r="C473" s="25" t="s">
        <v>2855</v>
      </c>
      <c r="D473" s="32">
        <v>25</v>
      </c>
      <c r="E473" s="33">
        <v>110</v>
      </c>
      <c r="F473" s="25" t="s">
        <v>2856</v>
      </c>
      <c r="G473" s="24" t="s">
        <v>4329</v>
      </c>
      <c r="H473" s="24" t="s">
        <v>4330</v>
      </c>
      <c r="I473" s="24" t="s">
        <v>1345</v>
      </c>
      <c r="J473" s="24">
        <f>SE(I473="","-",SE(DATA.VALOR(I473)&lt;HOJE(),"VENCIDO",SE(DATA.VALOR(I473)-HOJE()&lt;=30,"CRÍTICO (&lt;=30D)","REGULAR")))</f>
      </c>
      <c r="K473" s="25" t="s">
        <v>4331</v>
      </c>
      <c r="L473" s="25" t="s">
        <v>4332</v>
      </c>
      <c r="M473" s="25" t="s">
        <v>4333</v>
      </c>
      <c r="N473" s="25" t="s">
        <v>4334</v>
      </c>
    </row>
    <row r="474" ht="20" customHeight="1" spans="1:14" x14ac:dyDescent="0.25">
      <c r="A474" s="21" t="s">
        <v>4335</v>
      </c>
      <c r="B474" s="21" t="s">
        <v>1261</v>
      </c>
      <c r="C474" s="22" t="s">
        <v>2935</v>
      </c>
      <c r="D474" s="30">
        <v>46</v>
      </c>
      <c r="E474" s="31">
        <v>266.8</v>
      </c>
      <c r="F474" s="22" t="s">
        <v>2856</v>
      </c>
      <c r="G474" s="21" t="s">
        <v>4329</v>
      </c>
      <c r="H474" s="21" t="s">
        <v>4330</v>
      </c>
      <c r="I474" s="21" t="s">
        <v>1345</v>
      </c>
      <c r="J474" s="21">
        <f>SE(I474="","-",SE(DATA.VALOR(I474)&lt;HOJE(),"VENCIDO",SE(DATA.VALOR(I474)-HOJE()&lt;=30,"CRÍTICO (&lt;=30D)","REGULAR")))</f>
      </c>
      <c r="K474" s="22" t="s">
        <v>4331</v>
      </c>
      <c r="L474" s="22" t="s">
        <v>4332</v>
      </c>
      <c r="M474" s="22" t="s">
        <v>4333</v>
      </c>
      <c r="N474" s="22" t="s">
        <v>4334</v>
      </c>
    </row>
    <row r="475" ht="20" customHeight="1" spans="1:14" s="23" customFormat="1" x14ac:dyDescent="0.25">
      <c r="A475" s="24" t="s">
        <v>4336</v>
      </c>
      <c r="B475" s="24" t="s">
        <v>1261</v>
      </c>
      <c r="C475" s="25" t="s">
        <v>2940</v>
      </c>
      <c r="D475" s="32">
        <v>83</v>
      </c>
      <c r="E475" s="33">
        <v>249</v>
      </c>
      <c r="F475" s="25" t="s">
        <v>2856</v>
      </c>
      <c r="G475" s="24" t="s">
        <v>4329</v>
      </c>
      <c r="H475" s="24" t="s">
        <v>4330</v>
      </c>
      <c r="I475" s="24" t="s">
        <v>1345</v>
      </c>
      <c r="J475" s="24">
        <f>SE(I475="","-",SE(DATA.VALOR(I475)&lt;HOJE(),"VENCIDO",SE(DATA.VALOR(I475)-HOJE()&lt;=30,"CRÍTICO (&lt;=30D)","REGULAR")))</f>
      </c>
      <c r="K475" s="25" t="s">
        <v>4331</v>
      </c>
      <c r="L475" s="25" t="s">
        <v>4332</v>
      </c>
      <c r="M475" s="25" t="s">
        <v>4333</v>
      </c>
      <c r="N475" s="25" t="s">
        <v>4334</v>
      </c>
    </row>
    <row r="476" ht="20" customHeight="1" spans="1:14" x14ac:dyDescent="0.25">
      <c r="A476" s="21" t="s">
        <v>4337</v>
      </c>
      <c r="B476" s="21" t="s">
        <v>1261</v>
      </c>
      <c r="C476" s="22" t="s">
        <v>4338</v>
      </c>
      <c r="D476" s="30">
        <v>79</v>
      </c>
      <c r="E476" s="31">
        <v>355.5</v>
      </c>
      <c r="F476" s="22" t="s">
        <v>2856</v>
      </c>
      <c r="G476" s="21" t="s">
        <v>4329</v>
      </c>
      <c r="H476" s="21" t="s">
        <v>4330</v>
      </c>
      <c r="I476" s="21" t="s">
        <v>1345</v>
      </c>
      <c r="J476" s="21">
        <f>SE(I476="","-",SE(DATA.VALOR(I476)&lt;HOJE(),"VENCIDO",SE(DATA.VALOR(I476)-HOJE()&lt;=30,"CRÍTICO (&lt;=30D)","REGULAR")))</f>
      </c>
      <c r="K476" s="22" t="s">
        <v>4331</v>
      </c>
      <c r="L476" s="22" t="s">
        <v>4332</v>
      </c>
      <c r="M476" s="22" t="s">
        <v>4333</v>
      </c>
      <c r="N476" s="22" t="s">
        <v>4334</v>
      </c>
    </row>
    <row r="477" ht="20" customHeight="1" spans="1:14" s="23" customFormat="1" x14ac:dyDescent="0.25">
      <c r="A477" s="24" t="s">
        <v>4339</v>
      </c>
      <c r="B477" s="24" t="s">
        <v>1261</v>
      </c>
      <c r="C477" s="25" t="s">
        <v>2940</v>
      </c>
      <c r="D477" s="32">
        <v>60</v>
      </c>
      <c r="E477" s="33">
        <v>180</v>
      </c>
      <c r="F477" s="25" t="s">
        <v>2685</v>
      </c>
      <c r="G477" s="24" t="s">
        <v>4267</v>
      </c>
      <c r="H477" s="24" t="s">
        <v>4340</v>
      </c>
      <c r="I477" s="24" t="s">
        <v>1345</v>
      </c>
      <c r="J477" s="24">
        <f>SE(I477="","-",SE(DATA.VALOR(I477)&lt;HOJE(),"VENCIDO",SE(DATA.VALOR(I477)-HOJE()&lt;=30,"CRÍTICO (&lt;=30D)","REGULAR")))</f>
      </c>
      <c r="K477" s="25" t="s">
        <v>4269</v>
      </c>
      <c r="L477" s="25" t="s">
        <v>4270</v>
      </c>
      <c r="M477" s="25" t="s">
        <v>4271</v>
      </c>
      <c r="N477" s="25" t="s">
        <v>4341</v>
      </c>
    </row>
    <row r="478" ht="20" customHeight="1" spans="1:14" x14ac:dyDescent="0.25">
      <c r="A478" s="21" t="s">
        <v>4342</v>
      </c>
      <c r="B478" s="21" t="s">
        <v>1261</v>
      </c>
      <c r="C478" s="22" t="s">
        <v>2855</v>
      </c>
      <c r="D478" s="30">
        <v>26</v>
      </c>
      <c r="E478" s="31">
        <v>114.4</v>
      </c>
      <c r="F478" s="22" t="s">
        <v>2700</v>
      </c>
      <c r="G478" s="21" t="s">
        <v>4343</v>
      </c>
      <c r="H478" s="21" t="s">
        <v>4344</v>
      </c>
      <c r="I478" s="21" t="s">
        <v>1387</v>
      </c>
      <c r="J478" s="21">
        <f>SE(I478="","-",SE(DATA.VALOR(I478)&lt;HOJE(),"VENCIDO",SE(DATA.VALOR(I478)-HOJE()&lt;=30,"CRÍTICO (&lt;=30D)","REGULAR")))</f>
      </c>
      <c r="K478" s="22" t="s">
        <v>4345</v>
      </c>
      <c r="L478" s="22" t="s">
        <v>4346</v>
      </c>
      <c r="M478" s="22" t="s">
        <v>4347</v>
      </c>
      <c r="N478" s="22" t="s">
        <v>4348</v>
      </c>
    </row>
    <row r="479" ht="20" customHeight="1" spans="1:14" s="23" customFormat="1" x14ac:dyDescent="0.25">
      <c r="A479" s="24" t="s">
        <v>4349</v>
      </c>
      <c r="B479" s="24" t="s">
        <v>1261</v>
      </c>
      <c r="C479" s="25" t="s">
        <v>2935</v>
      </c>
      <c r="D479" s="32">
        <v>46</v>
      </c>
      <c r="E479" s="33">
        <v>266.8</v>
      </c>
      <c r="F479" s="25" t="s">
        <v>2700</v>
      </c>
      <c r="G479" s="24" t="s">
        <v>4343</v>
      </c>
      <c r="H479" s="24" t="s">
        <v>4344</v>
      </c>
      <c r="I479" s="24" t="s">
        <v>1387</v>
      </c>
      <c r="J479" s="24">
        <f>SE(I479="","-",SE(DATA.VALOR(I479)&lt;HOJE(),"VENCIDO",SE(DATA.VALOR(I479)-HOJE()&lt;=30,"CRÍTICO (&lt;=30D)","REGULAR")))</f>
      </c>
      <c r="K479" s="25" t="s">
        <v>4345</v>
      </c>
      <c r="L479" s="25" t="s">
        <v>4346</v>
      </c>
      <c r="M479" s="25" t="s">
        <v>4347</v>
      </c>
      <c r="N479" s="25" t="s">
        <v>4350</v>
      </c>
    </row>
    <row r="480" ht="20" customHeight="1" spans="1:14" x14ac:dyDescent="0.25">
      <c r="A480" s="21" t="s">
        <v>4351</v>
      </c>
      <c r="B480" s="21" t="s">
        <v>1261</v>
      </c>
      <c r="C480" s="22" t="s">
        <v>2940</v>
      </c>
      <c r="D480" s="30">
        <v>84</v>
      </c>
      <c r="E480" s="31">
        <v>252</v>
      </c>
      <c r="F480" s="22" t="s">
        <v>2700</v>
      </c>
      <c r="G480" s="21" t="s">
        <v>4343</v>
      </c>
      <c r="H480" s="21" t="s">
        <v>4344</v>
      </c>
      <c r="I480" s="21" t="s">
        <v>1387</v>
      </c>
      <c r="J480" s="21">
        <f>SE(I480="","-",SE(DATA.VALOR(I480)&lt;HOJE(),"VENCIDO",SE(DATA.VALOR(I480)-HOJE()&lt;=30,"CRÍTICO (&lt;=30D)","REGULAR")))</f>
      </c>
      <c r="K480" s="22" t="s">
        <v>4345</v>
      </c>
      <c r="L480" s="22" t="s">
        <v>4346</v>
      </c>
      <c r="M480" s="22" t="s">
        <v>4347</v>
      </c>
      <c r="N480" s="22" t="s">
        <v>4352</v>
      </c>
    </row>
    <row r="481" ht="20" customHeight="1" spans="1:14" s="23" customFormat="1" x14ac:dyDescent="0.25">
      <c r="A481" s="24" t="s">
        <v>4353</v>
      </c>
      <c r="B481" s="24" t="s">
        <v>1261</v>
      </c>
      <c r="C481" s="25" t="s">
        <v>4338</v>
      </c>
      <c r="D481" s="32">
        <v>80</v>
      </c>
      <c r="E481" s="33">
        <v>360</v>
      </c>
      <c r="F481" s="25" t="s">
        <v>2700</v>
      </c>
      <c r="G481" s="24" t="s">
        <v>4343</v>
      </c>
      <c r="H481" s="24" t="s">
        <v>4344</v>
      </c>
      <c r="I481" s="24" t="s">
        <v>1387</v>
      </c>
      <c r="J481" s="24">
        <f>SE(I481="","-",SE(DATA.VALOR(I481)&lt;HOJE(),"VENCIDO",SE(DATA.VALOR(I481)-HOJE()&lt;=30,"CRÍTICO (&lt;=30D)","REGULAR")))</f>
      </c>
      <c r="K481" s="25" t="s">
        <v>4345</v>
      </c>
      <c r="L481" s="25" t="s">
        <v>4346</v>
      </c>
      <c r="M481" s="25" t="s">
        <v>4347</v>
      </c>
      <c r="N481" s="25" t="s">
        <v>4352</v>
      </c>
    </row>
    <row r="482" ht="20" customHeight="1" spans="1:14" x14ac:dyDescent="0.25">
      <c r="A482" s="21" t="s">
        <v>4354</v>
      </c>
      <c r="B482" s="21" t="s">
        <v>1325</v>
      </c>
      <c r="C482" s="22" t="s">
        <v>4322</v>
      </c>
      <c r="D482" s="30">
        <v>166</v>
      </c>
      <c r="E482" s="31">
        <v>647.4</v>
      </c>
      <c r="F482" s="22" t="s">
        <v>4298</v>
      </c>
      <c r="G482" s="21" t="s">
        <v>988</v>
      </c>
      <c r="H482" s="21" t="s">
        <v>4355</v>
      </c>
      <c r="I482" s="21" t="s">
        <v>1492</v>
      </c>
      <c r="J482" s="21">
        <f>SE(I482="","-",SE(DATA.VALOR(I482)&lt;HOJE(),"VENCIDO",SE(DATA.VALOR(I482)-HOJE()&lt;=30,"CRÍTICO (&lt;=30D)","REGULAR")))</f>
      </c>
      <c r="K482" s="22" t="s">
        <v>4300</v>
      </c>
      <c r="L482" s="22" t="s">
        <v>4301</v>
      </c>
      <c r="M482" s="22" t="s">
        <v>4302</v>
      </c>
      <c r="N482" s="22" t="s">
        <v>4356</v>
      </c>
    </row>
    <row r="483" ht="20" customHeight="1" spans="1:14" s="23" customFormat="1" x14ac:dyDescent="0.25">
      <c r="A483" s="24" t="s">
        <v>4357</v>
      </c>
      <c r="B483" s="24" t="s">
        <v>1325</v>
      </c>
      <c r="C483" s="25" t="s">
        <v>2855</v>
      </c>
      <c r="D483" s="32">
        <v>21</v>
      </c>
      <c r="E483" s="33">
        <v>92.4</v>
      </c>
      <c r="F483" s="25" t="s">
        <v>4298</v>
      </c>
      <c r="G483" s="24" t="s">
        <v>988</v>
      </c>
      <c r="H483" s="24" t="s">
        <v>4355</v>
      </c>
      <c r="I483" s="24" t="s">
        <v>1492</v>
      </c>
      <c r="J483" s="24">
        <f>SE(I483="","-",SE(DATA.VALOR(I483)&lt;HOJE(),"VENCIDO",SE(DATA.VALOR(I483)-HOJE()&lt;=30,"CRÍTICO (&lt;=30D)","REGULAR")))</f>
      </c>
      <c r="K483" s="25" t="s">
        <v>4300</v>
      </c>
      <c r="L483" s="25" t="s">
        <v>4301</v>
      </c>
      <c r="M483" s="25" t="s">
        <v>4302</v>
      </c>
      <c r="N483" s="25" t="s">
        <v>4356</v>
      </c>
    </row>
    <row r="484" ht="20" customHeight="1" spans="1:14" x14ac:dyDescent="0.25">
      <c r="A484" s="21" t="s">
        <v>4358</v>
      </c>
      <c r="B484" s="21" t="s">
        <v>1325</v>
      </c>
      <c r="C484" s="22" t="s">
        <v>3883</v>
      </c>
      <c r="D484" s="30">
        <v>90</v>
      </c>
      <c r="E484" s="31">
        <v>540</v>
      </c>
      <c r="F484" s="22" t="s">
        <v>4298</v>
      </c>
      <c r="G484" s="21" t="s">
        <v>988</v>
      </c>
      <c r="H484" s="21" t="s">
        <v>4355</v>
      </c>
      <c r="I484" s="21" t="s">
        <v>1406</v>
      </c>
      <c r="J484" s="21">
        <f>SE(I484="","-",SE(DATA.VALOR(I484)&lt;HOJE(),"VENCIDO",SE(DATA.VALOR(I484)-HOJE()&lt;=30,"CRÍTICO (&lt;=30D)","REGULAR")))</f>
      </c>
      <c r="K484" s="22" t="s">
        <v>4300</v>
      </c>
      <c r="L484" s="22" t="s">
        <v>4301</v>
      </c>
      <c r="M484" s="22" t="s">
        <v>4302</v>
      </c>
      <c r="N484" s="22" t="s">
        <v>4356</v>
      </c>
    </row>
    <row r="485" ht="20" customHeight="1" spans="1:14" s="23" customFormat="1" x14ac:dyDescent="0.25">
      <c r="A485" s="24" t="s">
        <v>4359</v>
      </c>
      <c r="B485" s="24" t="s">
        <v>1325</v>
      </c>
      <c r="C485" s="25" t="s">
        <v>4327</v>
      </c>
      <c r="D485" s="32">
        <v>33</v>
      </c>
      <c r="E485" s="33">
        <v>180.18</v>
      </c>
      <c r="F485" s="25" t="s">
        <v>4298</v>
      </c>
      <c r="G485" s="24" t="s">
        <v>988</v>
      </c>
      <c r="H485" s="24" t="s">
        <v>4355</v>
      </c>
      <c r="I485" s="24" t="s">
        <v>1492</v>
      </c>
      <c r="J485" s="24">
        <f>SE(I485="","-",SE(DATA.VALOR(I485)&lt;HOJE(),"VENCIDO",SE(DATA.VALOR(I485)-HOJE()&lt;=30,"CRÍTICO (&lt;=30D)","REGULAR")))</f>
      </c>
      <c r="K485" s="25" t="s">
        <v>4300</v>
      </c>
      <c r="L485" s="25" t="s">
        <v>4301</v>
      </c>
      <c r="M485" s="25" t="s">
        <v>4302</v>
      </c>
      <c r="N485" s="25" t="s">
        <v>4360</v>
      </c>
    </row>
    <row r="486" ht="20" customHeight="1" spans="1:14" x14ac:dyDescent="0.25">
      <c r="A486" s="21" t="s">
        <v>4361</v>
      </c>
      <c r="B486" s="21" t="s">
        <v>1325</v>
      </c>
      <c r="C486" s="22" t="s">
        <v>4362</v>
      </c>
      <c r="D486" s="30">
        <v>218</v>
      </c>
      <c r="E486" s="31">
        <v>1308</v>
      </c>
      <c r="F486" s="22" t="s">
        <v>4298</v>
      </c>
      <c r="G486" s="21" t="s">
        <v>988</v>
      </c>
      <c r="H486" s="21" t="s">
        <v>4355</v>
      </c>
      <c r="I486" s="21" t="s">
        <v>580</v>
      </c>
      <c r="J486" s="21">
        <f>SE(I486="","-",SE(DATA.VALOR(I486)&lt;HOJE(),"VENCIDO",SE(DATA.VALOR(I486)-HOJE()&lt;=30,"CRÍTICO (&lt;=30D)","REGULAR")))</f>
      </c>
      <c r="K486" s="22" t="s">
        <v>4300</v>
      </c>
      <c r="L486" s="22" t="s">
        <v>4301</v>
      </c>
      <c r="M486" s="22" t="s">
        <v>4302</v>
      </c>
      <c r="N486" s="22" t="s">
        <v>4360</v>
      </c>
    </row>
    <row r="487" ht="20" customHeight="1" spans="1:14" s="23" customFormat="1" x14ac:dyDescent="0.25">
      <c r="A487" s="24" t="s">
        <v>4363</v>
      </c>
      <c r="B487" s="24" t="s">
        <v>1325</v>
      </c>
      <c r="C487" s="25" t="s">
        <v>2940</v>
      </c>
      <c r="D487" s="32">
        <v>60</v>
      </c>
      <c r="E487" s="33">
        <v>180</v>
      </c>
      <c r="F487" s="25" t="s">
        <v>4298</v>
      </c>
      <c r="G487" s="24" t="s">
        <v>988</v>
      </c>
      <c r="H487" s="24" t="s">
        <v>4355</v>
      </c>
      <c r="I487" s="24" t="s">
        <v>1492</v>
      </c>
      <c r="J487" s="24">
        <f>SE(I487="","-",SE(DATA.VALOR(I487)&lt;HOJE(),"VENCIDO",SE(DATA.VALOR(I487)-HOJE()&lt;=30,"CRÍTICO (&lt;=30D)","REGULAR")))</f>
      </c>
      <c r="K487" s="25" t="s">
        <v>4300</v>
      </c>
      <c r="L487" s="25" t="s">
        <v>4301</v>
      </c>
      <c r="M487" s="25" t="s">
        <v>4302</v>
      </c>
      <c r="N487" s="25" t="s">
        <v>4360</v>
      </c>
    </row>
    <row r="488" ht="20" customHeight="1" spans="1:14" x14ac:dyDescent="0.25">
      <c r="A488" s="21" t="s">
        <v>4364</v>
      </c>
      <c r="B488" s="21" t="s">
        <v>1325</v>
      </c>
      <c r="C488" s="22" t="s">
        <v>4274</v>
      </c>
      <c r="D488" s="30">
        <v>125</v>
      </c>
      <c r="E488" s="31">
        <v>525</v>
      </c>
      <c r="F488" s="22" t="s">
        <v>4298</v>
      </c>
      <c r="G488" s="21" t="s">
        <v>988</v>
      </c>
      <c r="H488" s="21" t="s">
        <v>4355</v>
      </c>
      <c r="I488" s="21" t="s">
        <v>1406</v>
      </c>
      <c r="J488" s="21">
        <f>SE(I488="","-",SE(DATA.VALOR(I488)&lt;HOJE(),"VENCIDO",SE(DATA.VALOR(I488)-HOJE()&lt;=30,"CRÍTICO (&lt;=30D)","REGULAR")))</f>
      </c>
      <c r="K488" s="22" t="s">
        <v>4300</v>
      </c>
      <c r="L488" s="22" t="s">
        <v>4301</v>
      </c>
      <c r="M488" s="22" t="s">
        <v>4302</v>
      </c>
      <c r="N488" s="22" t="s">
        <v>4360</v>
      </c>
    </row>
    <row r="489" ht="20" customHeight="1" spans="1:14" s="23" customFormat="1" x14ac:dyDescent="0.25">
      <c r="A489" s="24" t="s">
        <v>4365</v>
      </c>
      <c r="B489" s="24" t="s">
        <v>1325</v>
      </c>
      <c r="C489" s="25" t="s">
        <v>4338</v>
      </c>
      <c r="D489" s="32">
        <v>75</v>
      </c>
      <c r="E489" s="33">
        <v>337.5</v>
      </c>
      <c r="F489" s="25" t="s">
        <v>4298</v>
      </c>
      <c r="G489" s="24" t="s">
        <v>988</v>
      </c>
      <c r="H489" s="24" t="s">
        <v>4355</v>
      </c>
      <c r="I489" s="24" t="s">
        <v>1492</v>
      </c>
      <c r="J489" s="24">
        <f>SE(I489="","-",SE(DATA.VALOR(I489)&lt;HOJE(),"VENCIDO",SE(DATA.VALOR(I489)-HOJE()&lt;=30,"CRÍTICO (&lt;=30D)","REGULAR")))</f>
      </c>
      <c r="K489" s="25" t="s">
        <v>4300</v>
      </c>
      <c r="L489" s="25" t="s">
        <v>4301</v>
      </c>
      <c r="M489" s="25" t="s">
        <v>4302</v>
      </c>
      <c r="N489" s="25" t="s">
        <v>4366</v>
      </c>
    </row>
    <row r="490" ht="20" customHeight="1" spans="1:14" x14ac:dyDescent="0.25">
      <c r="A490" s="21" t="s">
        <v>4367</v>
      </c>
      <c r="B490" s="21" t="s">
        <v>1325</v>
      </c>
      <c r="C490" s="22" t="s">
        <v>4305</v>
      </c>
      <c r="D490" s="30">
        <v>93</v>
      </c>
      <c r="E490" s="31">
        <v>316.2</v>
      </c>
      <c r="F490" s="22" t="s">
        <v>4298</v>
      </c>
      <c r="G490" s="21" t="s">
        <v>988</v>
      </c>
      <c r="H490" s="21" t="s">
        <v>4355</v>
      </c>
      <c r="I490" s="21" t="s">
        <v>1492</v>
      </c>
      <c r="J490" s="21">
        <f>SE(I490="","-",SE(DATA.VALOR(I490)&lt;HOJE(),"VENCIDO",SE(DATA.VALOR(I490)-HOJE()&lt;=30,"CRÍTICO (&lt;=30D)","REGULAR")))</f>
      </c>
      <c r="K490" s="22" t="s">
        <v>4300</v>
      </c>
      <c r="L490" s="22" t="s">
        <v>4301</v>
      </c>
      <c r="M490" s="22" t="s">
        <v>4302</v>
      </c>
      <c r="N490" s="22" t="s">
        <v>4366</v>
      </c>
    </row>
    <row r="491" ht="20" customHeight="1" spans="1:14" s="23" customFormat="1" x14ac:dyDescent="0.25">
      <c r="A491" s="24" t="s">
        <v>4368</v>
      </c>
      <c r="B491" s="24" t="s">
        <v>1325</v>
      </c>
      <c r="C491" s="25" t="s">
        <v>4369</v>
      </c>
      <c r="D491" s="32">
        <v>156</v>
      </c>
      <c r="E491" s="33">
        <v>483.6</v>
      </c>
      <c r="F491" s="25" t="s">
        <v>4298</v>
      </c>
      <c r="G491" s="24" t="s">
        <v>988</v>
      </c>
      <c r="H491" s="24" t="s">
        <v>4355</v>
      </c>
      <c r="I491" s="24" t="s">
        <v>1492</v>
      </c>
      <c r="J491" s="24">
        <f>SE(I491="","-",SE(DATA.VALOR(I491)&lt;HOJE(),"VENCIDO",SE(DATA.VALOR(I491)-HOJE()&lt;=30,"CRÍTICO (&lt;=30D)","REGULAR")))</f>
      </c>
      <c r="K491" s="25" t="s">
        <v>4300</v>
      </c>
      <c r="L491" s="25" t="s">
        <v>4301</v>
      </c>
      <c r="M491" s="25" t="s">
        <v>4302</v>
      </c>
      <c r="N491" s="25" t="s">
        <v>4366</v>
      </c>
    </row>
    <row r="492" ht="20" customHeight="1" spans="1:14" x14ac:dyDescent="0.25">
      <c r="A492" s="21" t="s">
        <v>4370</v>
      </c>
      <c r="B492" s="21" t="s">
        <v>1325</v>
      </c>
      <c r="C492" s="22" t="s">
        <v>4318</v>
      </c>
      <c r="D492" s="30">
        <v>162</v>
      </c>
      <c r="E492" s="31">
        <v>680.4</v>
      </c>
      <c r="F492" s="22" t="s">
        <v>4298</v>
      </c>
      <c r="G492" s="21" t="s">
        <v>988</v>
      </c>
      <c r="H492" s="21" t="s">
        <v>4355</v>
      </c>
      <c r="I492" s="21" t="s">
        <v>1492</v>
      </c>
      <c r="J492" s="21">
        <f>SE(I492="","-",SE(DATA.VALOR(I492)&lt;HOJE(),"VENCIDO",SE(DATA.VALOR(I492)-HOJE()&lt;=30,"CRÍTICO (&lt;=30D)","REGULAR")))</f>
      </c>
      <c r="K492" s="22" t="s">
        <v>4300</v>
      </c>
      <c r="L492" s="22" t="s">
        <v>4301</v>
      </c>
      <c r="M492" s="22" t="s">
        <v>4302</v>
      </c>
      <c r="N492" s="22" t="s">
        <v>4366</v>
      </c>
    </row>
    <row r="493" ht="20" customHeight="1" spans="1:14" s="23" customFormat="1" x14ac:dyDescent="0.25">
      <c r="A493" s="24" t="s">
        <v>4371</v>
      </c>
      <c r="B493" s="24" t="s">
        <v>1325</v>
      </c>
      <c r="C493" s="25" t="s">
        <v>4179</v>
      </c>
      <c r="D493" s="32">
        <v>177</v>
      </c>
      <c r="E493" s="33">
        <v>838.98</v>
      </c>
      <c r="F493" s="25" t="s">
        <v>4298</v>
      </c>
      <c r="G493" s="24" t="s">
        <v>988</v>
      </c>
      <c r="H493" s="24" t="s">
        <v>4355</v>
      </c>
      <c r="I493" s="24" t="s">
        <v>1492</v>
      </c>
      <c r="J493" s="24">
        <f>SE(I493="","-",SE(DATA.VALOR(I493)&lt;HOJE(),"VENCIDO",SE(DATA.VALOR(I493)-HOJE()&lt;=30,"CRÍTICO (&lt;=30D)","REGULAR")))</f>
      </c>
      <c r="K493" s="25" t="s">
        <v>4300</v>
      </c>
      <c r="L493" s="25" t="s">
        <v>4301</v>
      </c>
      <c r="M493" s="25" t="s">
        <v>4302</v>
      </c>
      <c r="N493" s="25" t="s">
        <v>4372</v>
      </c>
    </row>
    <row r="494" ht="20" customHeight="1" spans="1:14" x14ac:dyDescent="0.25">
      <c r="A494" s="21" t="s">
        <v>4373</v>
      </c>
      <c r="B494" s="21" t="s">
        <v>1172</v>
      </c>
      <c r="C494" s="22" t="s">
        <v>4179</v>
      </c>
      <c r="D494" s="30">
        <v>176</v>
      </c>
      <c r="E494" s="31">
        <v>834.24</v>
      </c>
      <c r="F494" s="22" t="s">
        <v>4374</v>
      </c>
      <c r="G494" s="21" t="s">
        <v>3506</v>
      </c>
      <c r="H494" s="21" t="s">
        <v>4375</v>
      </c>
      <c r="I494" s="21" t="s">
        <v>1637</v>
      </c>
      <c r="J494" s="21">
        <f>SE(I494="","-",SE(DATA.VALOR(I494)&lt;HOJE(),"VENCIDO",SE(DATA.VALOR(I494)-HOJE()&lt;=30,"CRÍTICO (&lt;=30D)","REGULAR")))</f>
      </c>
      <c r="K494" s="22" t="s">
        <v>4376</v>
      </c>
      <c r="L494" s="22" t="s">
        <v>4377</v>
      </c>
      <c r="M494" s="22" t="s">
        <v>4378</v>
      </c>
      <c r="N494" s="22" t="s">
        <v>4379</v>
      </c>
    </row>
    <row r="495" ht="20" customHeight="1" spans="1:14" s="23" customFormat="1" x14ac:dyDescent="0.25">
      <c r="A495" s="24" t="s">
        <v>4380</v>
      </c>
      <c r="B495" s="24" t="s">
        <v>1172</v>
      </c>
      <c r="C495" s="25" t="s">
        <v>2940</v>
      </c>
      <c r="D495" s="32">
        <v>62</v>
      </c>
      <c r="E495" s="33">
        <v>186</v>
      </c>
      <c r="F495" s="25" t="s">
        <v>4374</v>
      </c>
      <c r="G495" s="24" t="s">
        <v>3506</v>
      </c>
      <c r="H495" s="24" t="s">
        <v>4375</v>
      </c>
      <c r="I495" s="24" t="s">
        <v>1637</v>
      </c>
      <c r="J495" s="24">
        <f>SE(I495="","-",SE(DATA.VALOR(I495)&lt;HOJE(),"VENCIDO",SE(DATA.VALOR(I495)-HOJE()&lt;=30,"CRÍTICO (&lt;=30D)","REGULAR")))</f>
      </c>
      <c r="K495" s="25" t="s">
        <v>4376</v>
      </c>
      <c r="L495" s="25" t="s">
        <v>4377</v>
      </c>
      <c r="M495" s="25" t="s">
        <v>4378</v>
      </c>
      <c r="N495" s="25" t="s">
        <v>4379</v>
      </c>
    </row>
    <row r="496" ht="20" customHeight="1" spans="1:14" x14ac:dyDescent="0.25">
      <c r="A496" s="21" t="s">
        <v>4381</v>
      </c>
      <c r="B496" s="21" t="s">
        <v>1172</v>
      </c>
      <c r="C496" s="22" t="s">
        <v>4318</v>
      </c>
      <c r="D496" s="30">
        <v>162</v>
      </c>
      <c r="E496" s="31">
        <v>680.4</v>
      </c>
      <c r="F496" s="22" t="s">
        <v>4374</v>
      </c>
      <c r="G496" s="21" t="s">
        <v>3506</v>
      </c>
      <c r="H496" s="21" t="s">
        <v>4375</v>
      </c>
      <c r="I496" s="21" t="s">
        <v>1637</v>
      </c>
      <c r="J496" s="21">
        <f>SE(I496="","-",SE(DATA.VALOR(I496)&lt;HOJE(),"VENCIDO",SE(DATA.VALOR(I496)-HOJE()&lt;=30,"CRÍTICO (&lt;=30D)","REGULAR")))</f>
      </c>
      <c r="K496" s="22" t="s">
        <v>4376</v>
      </c>
      <c r="L496" s="22" t="s">
        <v>4377</v>
      </c>
      <c r="M496" s="22" t="s">
        <v>4378</v>
      </c>
      <c r="N496" s="22" t="s">
        <v>4379</v>
      </c>
    </row>
    <row r="497" ht="20" customHeight="1" spans="1:14" s="23" customFormat="1" x14ac:dyDescent="0.25">
      <c r="A497" s="24" t="s">
        <v>4382</v>
      </c>
      <c r="B497" s="24" t="s">
        <v>1172</v>
      </c>
      <c r="C497" s="25" t="s">
        <v>4266</v>
      </c>
      <c r="D497" s="32">
        <v>107</v>
      </c>
      <c r="E497" s="33">
        <v>342.4</v>
      </c>
      <c r="F497" s="25" t="s">
        <v>4374</v>
      </c>
      <c r="G497" s="24" t="s">
        <v>3506</v>
      </c>
      <c r="H497" s="24" t="s">
        <v>4375</v>
      </c>
      <c r="I497" s="24" t="s">
        <v>1637</v>
      </c>
      <c r="J497" s="24">
        <f>SE(I497="","-",SE(DATA.VALOR(I497)&lt;HOJE(),"VENCIDO",SE(DATA.VALOR(I497)-HOJE()&lt;=30,"CRÍTICO (&lt;=30D)","REGULAR")))</f>
      </c>
      <c r="K497" s="25" t="s">
        <v>4376</v>
      </c>
      <c r="L497" s="25" t="s">
        <v>4377</v>
      </c>
      <c r="M497" s="25" t="s">
        <v>4378</v>
      </c>
      <c r="N497" s="25" t="s">
        <v>4379</v>
      </c>
    </row>
    <row r="498" ht="20" customHeight="1" spans="1:14" x14ac:dyDescent="0.25">
      <c r="A498" s="21" t="s">
        <v>4383</v>
      </c>
      <c r="B498" s="21" t="s">
        <v>1172</v>
      </c>
      <c r="C498" s="22" t="s">
        <v>4274</v>
      </c>
      <c r="D498" s="30">
        <v>151</v>
      </c>
      <c r="E498" s="31">
        <v>634.2</v>
      </c>
      <c r="F498" s="22" t="s">
        <v>4374</v>
      </c>
      <c r="G498" s="21" t="s">
        <v>3506</v>
      </c>
      <c r="H498" s="21" t="s">
        <v>4375</v>
      </c>
      <c r="I498" s="21" t="s">
        <v>1637</v>
      </c>
      <c r="J498" s="21">
        <f>SE(I498="","-",SE(DATA.VALOR(I498)&lt;HOJE(),"VENCIDO",SE(DATA.VALOR(I498)-HOJE()&lt;=30,"CRÍTICO (&lt;=30D)","REGULAR")))</f>
      </c>
      <c r="K498" s="22" t="s">
        <v>4376</v>
      </c>
      <c r="L498" s="22" t="s">
        <v>4377</v>
      </c>
      <c r="M498" s="22" t="s">
        <v>4378</v>
      </c>
      <c r="N498" s="22" t="s">
        <v>4379</v>
      </c>
    </row>
    <row r="499" ht="20" customHeight="1" spans="1:14" s="23" customFormat="1" x14ac:dyDescent="0.25">
      <c r="A499" s="24" t="s">
        <v>4384</v>
      </c>
      <c r="B499" s="24" t="s">
        <v>1172</v>
      </c>
      <c r="C499" s="25" t="s">
        <v>4276</v>
      </c>
      <c r="D499" s="32">
        <v>164</v>
      </c>
      <c r="E499" s="33">
        <v>656</v>
      </c>
      <c r="F499" s="25" t="s">
        <v>4374</v>
      </c>
      <c r="G499" s="24" t="s">
        <v>3506</v>
      </c>
      <c r="H499" s="24" t="s">
        <v>4375</v>
      </c>
      <c r="I499" s="24" t="s">
        <v>1637</v>
      </c>
      <c r="J499" s="24">
        <f>SE(I499="","-",SE(DATA.VALOR(I499)&lt;HOJE(),"VENCIDO",SE(DATA.VALOR(I499)-HOJE()&lt;=30,"CRÍTICO (&lt;=30D)","REGULAR")))</f>
      </c>
      <c r="K499" s="25" t="s">
        <v>4376</v>
      </c>
      <c r="L499" s="25" t="s">
        <v>4377</v>
      </c>
      <c r="M499" s="25" t="s">
        <v>4378</v>
      </c>
      <c r="N499" s="25" t="s">
        <v>4379</v>
      </c>
    </row>
    <row r="500" ht="20" customHeight="1" spans="1:14" x14ac:dyDescent="0.25">
      <c r="A500" s="21" t="s">
        <v>4385</v>
      </c>
      <c r="B500" s="21" t="s">
        <v>1387</v>
      </c>
      <c r="C500" s="22" t="s">
        <v>2855</v>
      </c>
      <c r="D500" s="30">
        <v>22</v>
      </c>
      <c r="E500" s="31">
        <v>94.29</v>
      </c>
      <c r="F500" s="22" t="s">
        <v>4386</v>
      </c>
      <c r="G500" s="21" t="s">
        <v>1316</v>
      </c>
      <c r="H500" s="21" t="s">
        <v>4387</v>
      </c>
      <c r="I500" s="21" t="s">
        <v>1467</v>
      </c>
      <c r="J500" s="21">
        <f>SE(I500="","-",SE(DATA.VALOR(I500)&lt;HOJE(),"VENCIDO",SE(DATA.VALOR(I500)-HOJE()&lt;=30,"CRÍTICO (&lt;=30D)","REGULAR")))</f>
      </c>
      <c r="K500" s="22" t="s">
        <v>4388</v>
      </c>
      <c r="L500" s="22" t="s">
        <v>4389</v>
      </c>
      <c r="M500" s="22" t="s">
        <v>4390</v>
      </c>
      <c r="N500" s="22" t="s">
        <v>4391</v>
      </c>
    </row>
    <row r="501" ht="20" customHeight="1" spans="1:14" s="23" customFormat="1" x14ac:dyDescent="0.25">
      <c r="A501" s="24" t="s">
        <v>4392</v>
      </c>
      <c r="B501" s="24" t="s">
        <v>1387</v>
      </c>
      <c r="C501" s="25" t="s">
        <v>4266</v>
      </c>
      <c r="D501" s="32">
        <v>98</v>
      </c>
      <c r="E501" s="33">
        <v>311.11</v>
      </c>
      <c r="F501" s="25" t="s">
        <v>4386</v>
      </c>
      <c r="G501" s="24" t="s">
        <v>1316</v>
      </c>
      <c r="H501" s="24" t="s">
        <v>4387</v>
      </c>
      <c r="I501" s="24" t="s">
        <v>1467</v>
      </c>
      <c r="J501" s="24">
        <f>SE(I501="","-",SE(DATA.VALOR(I501)&lt;HOJE(),"VENCIDO",SE(DATA.VALOR(I501)-HOJE()&lt;=30,"CRÍTICO (&lt;=30D)","REGULAR")))</f>
      </c>
      <c r="K501" s="25" t="s">
        <v>4388</v>
      </c>
      <c r="L501" s="25" t="s">
        <v>4389</v>
      </c>
      <c r="M501" s="25" t="s">
        <v>4390</v>
      </c>
      <c r="N501" s="25" t="s">
        <v>4391</v>
      </c>
    </row>
    <row r="502" ht="20" customHeight="1" spans="1:14" x14ac:dyDescent="0.25">
      <c r="A502" s="21" t="s">
        <v>4393</v>
      </c>
      <c r="B502" s="21" t="s">
        <v>1196</v>
      </c>
      <c r="C502" s="22" t="s">
        <v>4338</v>
      </c>
      <c r="D502" s="30">
        <v>75</v>
      </c>
      <c r="E502" s="31">
        <v>337.5</v>
      </c>
      <c r="F502" s="22" t="s">
        <v>3100</v>
      </c>
      <c r="G502" s="21" t="s">
        <v>4394</v>
      </c>
      <c r="H502" s="21" t="s">
        <v>4395</v>
      </c>
      <c r="I502" s="21" t="s">
        <v>1459</v>
      </c>
      <c r="J502" s="21">
        <f>SE(I502="","-",SE(DATA.VALOR(I502)&lt;HOJE(),"VENCIDO",SE(DATA.VALOR(I502)-HOJE()&lt;=30,"CRÍTICO (&lt;=30D)","REGULAR")))</f>
      </c>
      <c r="K502" s="22" t="s">
        <v>4396</v>
      </c>
      <c r="L502" s="22" t="s">
        <v>4397</v>
      </c>
      <c r="M502" s="22" t="s">
        <v>4398</v>
      </c>
      <c r="N502" s="22" t="s">
        <v>4399</v>
      </c>
    </row>
    <row r="503" ht="20" customHeight="1" spans="1:14" s="23" customFormat="1" x14ac:dyDescent="0.25">
      <c r="A503" s="24" t="s">
        <v>4400</v>
      </c>
      <c r="B503" s="24" t="s">
        <v>1325</v>
      </c>
      <c r="C503" s="25" t="s">
        <v>4338</v>
      </c>
      <c r="D503" s="32">
        <v>75</v>
      </c>
      <c r="E503" s="33">
        <v>337.5</v>
      </c>
      <c r="F503" s="25" t="s">
        <v>2765</v>
      </c>
      <c r="G503" s="24" t="s">
        <v>4401</v>
      </c>
      <c r="H503" s="24" t="s">
        <v>4402</v>
      </c>
      <c r="I503" s="24" t="s">
        <v>1444</v>
      </c>
      <c r="J503" s="24">
        <f>SE(I503="","-",SE(DATA.VALOR(I503)&lt;HOJE(),"VENCIDO",SE(DATA.VALOR(I503)-HOJE()&lt;=30,"CRÍTICO (&lt;=30D)","REGULAR")))</f>
      </c>
      <c r="K503" s="25" t="s">
        <v>4403</v>
      </c>
      <c r="L503" s="25" t="s">
        <v>4404</v>
      </c>
      <c r="M503" s="25" t="s">
        <v>4405</v>
      </c>
      <c r="N503" s="25" t="s">
        <v>4406</v>
      </c>
    </row>
    <row r="504" ht="20" customHeight="1" spans="1:14" x14ac:dyDescent="0.25">
      <c r="A504" s="21" t="s">
        <v>4407</v>
      </c>
      <c r="B504" s="21" t="s">
        <v>1196</v>
      </c>
      <c r="C504" s="22" t="s">
        <v>4338</v>
      </c>
      <c r="D504" s="30">
        <v>75</v>
      </c>
      <c r="E504" s="31">
        <v>337.5</v>
      </c>
      <c r="F504" s="22" t="s">
        <v>2994</v>
      </c>
      <c r="G504" s="21" t="s">
        <v>4408</v>
      </c>
      <c r="H504" s="21" t="s">
        <v>4409</v>
      </c>
      <c r="I504" s="21" t="s">
        <v>1397</v>
      </c>
      <c r="J504" s="21">
        <f>SE(I504="","-",SE(DATA.VALOR(I504)&lt;HOJE(),"VENCIDO",SE(DATA.VALOR(I504)-HOJE()&lt;=30,"CRÍTICO (&lt;=30D)","REGULAR")))</f>
      </c>
      <c r="K504" s="22" t="s">
        <v>4410</v>
      </c>
      <c r="L504" s="22" t="s">
        <v>4411</v>
      </c>
      <c r="M504" s="22" t="s">
        <v>4412</v>
      </c>
      <c r="N504" s="22" t="s">
        <v>4413</v>
      </c>
    </row>
    <row r="505" ht="20" customHeight="1" spans="1:14" s="23" customFormat="1" x14ac:dyDescent="0.25">
      <c r="A505" s="24" t="s">
        <v>4414</v>
      </c>
      <c r="B505" s="24" t="s">
        <v>1346</v>
      </c>
      <c r="C505" s="25" t="s">
        <v>4415</v>
      </c>
      <c r="D505" s="32">
        <v>1200</v>
      </c>
      <c r="E505" s="33">
        <v>11880</v>
      </c>
      <c r="F505" s="25" t="s">
        <v>4416</v>
      </c>
      <c r="G505" s="24" t="s">
        <v>4417</v>
      </c>
      <c r="H505" s="24" t="s">
        <v>4418</v>
      </c>
      <c r="I505" s="24" t="s">
        <v>2662</v>
      </c>
      <c r="J505" s="24">
        <f>SE(I505="","-",SE(DATA.VALOR(I505)&lt;HOJE(),"VENCIDO",SE(DATA.VALOR(I505)-HOJE()&lt;=30,"CRÍTICO (&lt;=30D)","REGULAR")))</f>
      </c>
      <c r="K505" s="25" t="s">
        <v>4419</v>
      </c>
      <c r="L505" s="25" t="s">
        <v>4420</v>
      </c>
      <c r="M505" s="25" t="s">
        <v>4421</v>
      </c>
      <c r="N505" s="25" t="s">
        <v>4422</v>
      </c>
    </row>
    <row r="506" ht="20" customHeight="1" spans="1:14" x14ac:dyDescent="0.25">
      <c r="A506" s="21" t="s">
        <v>4423</v>
      </c>
      <c r="B506" s="21" t="s">
        <v>822</v>
      </c>
      <c r="C506" s="22" t="s">
        <v>4424</v>
      </c>
      <c r="D506" s="30">
        <v>2375</v>
      </c>
      <c r="E506" s="31">
        <v>4372.5</v>
      </c>
      <c r="F506" s="22" t="s">
        <v>2552</v>
      </c>
      <c r="G506" s="21" t="s">
        <v>63</v>
      </c>
      <c r="H506" s="21" t="s">
        <v>2996</v>
      </c>
      <c r="I506" s="21" t="s">
        <v>63</v>
      </c>
      <c r="J506" s="21" t="s">
        <v>20</v>
      </c>
      <c r="K506" s="22" t="s">
        <v>63</v>
      </c>
      <c r="L506" s="22" t="s">
        <v>63</v>
      </c>
      <c r="M506" s="22" t="s">
        <v>4425</v>
      </c>
      <c r="N506" s="22" t="s">
        <v>4426</v>
      </c>
    </row>
    <row r="507" ht="20" customHeight="1" spans="1:14" s="23" customFormat="1" x14ac:dyDescent="0.25">
      <c r="A507" s="24" t="s">
        <v>4427</v>
      </c>
      <c r="B507" s="24" t="s">
        <v>822</v>
      </c>
      <c r="C507" s="25" t="s">
        <v>4428</v>
      </c>
      <c r="D507" s="32">
        <v>625</v>
      </c>
      <c r="E507" s="33">
        <v>2625</v>
      </c>
      <c r="F507" s="25" t="s">
        <v>2552</v>
      </c>
      <c r="G507" s="24" t="s">
        <v>63</v>
      </c>
      <c r="H507" s="24" t="s">
        <v>2996</v>
      </c>
      <c r="I507" s="24" t="s">
        <v>63</v>
      </c>
      <c r="J507" s="24" t="s">
        <v>20</v>
      </c>
      <c r="K507" s="25" t="s">
        <v>63</v>
      </c>
      <c r="L507" s="25" t="s">
        <v>63</v>
      </c>
      <c r="M507" s="25" t="s">
        <v>4425</v>
      </c>
      <c r="N507" s="25" t="s">
        <v>4429</v>
      </c>
    </row>
    <row r="508" ht="20" customHeight="1" spans="1:14" x14ac:dyDescent="0.25">
      <c r="A508" s="21" t="s">
        <v>4430</v>
      </c>
      <c r="B508" s="21" t="s">
        <v>822</v>
      </c>
      <c r="C508" s="22" t="s">
        <v>4424</v>
      </c>
      <c r="D508" s="30">
        <v>2375</v>
      </c>
      <c r="E508" s="31">
        <v>4372.5</v>
      </c>
      <c r="F508" s="22" t="s">
        <v>2552</v>
      </c>
      <c r="G508" s="21" t="s">
        <v>4431</v>
      </c>
      <c r="H508" s="21" t="s">
        <v>2996</v>
      </c>
      <c r="I508" s="21" t="s">
        <v>63</v>
      </c>
      <c r="J508" s="21" t="s">
        <v>20</v>
      </c>
      <c r="K508" s="22" t="s">
        <v>4432</v>
      </c>
      <c r="L508" s="22" t="s">
        <v>63</v>
      </c>
      <c r="M508" s="22" t="s">
        <v>4425</v>
      </c>
      <c r="N508" s="22" t="s">
        <v>4433</v>
      </c>
    </row>
    <row r="509" ht="20" customHeight="1" spans="1:14" s="23" customFormat="1" x14ac:dyDescent="0.25">
      <c r="A509" s="24" t="s">
        <v>4434</v>
      </c>
      <c r="B509" s="24" t="s">
        <v>822</v>
      </c>
      <c r="C509" s="25" t="s">
        <v>4428</v>
      </c>
      <c r="D509" s="32">
        <v>625</v>
      </c>
      <c r="E509" s="33">
        <v>2625</v>
      </c>
      <c r="F509" s="25" t="s">
        <v>2552</v>
      </c>
      <c r="G509" s="24" t="s">
        <v>4431</v>
      </c>
      <c r="H509" s="24" t="s">
        <v>2996</v>
      </c>
      <c r="I509" s="24" t="s">
        <v>63</v>
      </c>
      <c r="J509" s="24" t="s">
        <v>20</v>
      </c>
      <c r="K509" s="25" t="s">
        <v>4432</v>
      </c>
      <c r="L509" s="25" t="s">
        <v>63</v>
      </c>
      <c r="M509" s="25" t="s">
        <v>4425</v>
      </c>
      <c r="N509" s="25" t="s">
        <v>4435</v>
      </c>
    </row>
    <row r="510" ht="20" customHeight="1" spans="1:14" x14ac:dyDescent="0.25">
      <c r="A510" s="21" t="s">
        <v>4436</v>
      </c>
      <c r="B510" s="21" t="s">
        <v>890</v>
      </c>
      <c r="C510" s="22" t="s">
        <v>3784</v>
      </c>
      <c r="D510" s="30">
        <v>600</v>
      </c>
      <c r="E510" s="31">
        <v>2982</v>
      </c>
      <c r="F510" s="22" t="s">
        <v>2652</v>
      </c>
      <c r="G510" s="21" t="s">
        <v>4437</v>
      </c>
      <c r="H510" s="21" t="s">
        <v>3194</v>
      </c>
      <c r="I510" s="21" t="s">
        <v>63</v>
      </c>
      <c r="J510" s="21" t="s">
        <v>20</v>
      </c>
      <c r="K510" s="22" t="s">
        <v>4438</v>
      </c>
      <c r="L510" s="22" t="s">
        <v>3778</v>
      </c>
      <c r="M510" s="22" t="s">
        <v>4439</v>
      </c>
      <c r="N510" s="22" t="s">
        <v>4440</v>
      </c>
    </row>
    <row r="511" ht="20" customHeight="1" spans="1:14" s="23" customFormat="1" x14ac:dyDescent="0.25">
      <c r="A511" s="24" t="s">
        <v>4441</v>
      </c>
      <c r="B511" s="24" t="s">
        <v>890</v>
      </c>
      <c r="C511" s="25" t="s">
        <v>2940</v>
      </c>
      <c r="D511" s="32">
        <v>199</v>
      </c>
      <c r="E511" s="33">
        <v>626.85</v>
      </c>
      <c r="F511" s="25" t="s">
        <v>2700</v>
      </c>
      <c r="G511" s="24" t="s">
        <v>4442</v>
      </c>
      <c r="H511" s="24" t="s">
        <v>3164</v>
      </c>
      <c r="I511" s="24" t="s">
        <v>63</v>
      </c>
      <c r="J511" s="24" t="s">
        <v>20</v>
      </c>
      <c r="K511" s="25" t="s">
        <v>4443</v>
      </c>
      <c r="L511" s="25" t="s">
        <v>2705</v>
      </c>
      <c r="M511" s="25" t="s">
        <v>63</v>
      </c>
      <c r="N511" s="25" t="s">
        <v>4444</v>
      </c>
    </row>
    <row r="512" ht="20" customHeight="1" spans="1:14" x14ac:dyDescent="0.25">
      <c r="A512" s="21" t="s">
        <v>4445</v>
      </c>
      <c r="B512" s="21" t="s">
        <v>890</v>
      </c>
      <c r="C512" s="22" t="s">
        <v>63</v>
      </c>
      <c r="D512" s="30">
        <v>107</v>
      </c>
      <c r="E512" s="31">
        <v>401.25</v>
      </c>
      <c r="F512" s="22" t="s">
        <v>2700</v>
      </c>
      <c r="G512" s="21" t="s">
        <v>4442</v>
      </c>
      <c r="H512" s="21" t="s">
        <v>3164</v>
      </c>
      <c r="I512" s="21" t="s">
        <v>63</v>
      </c>
      <c r="J512" s="21" t="s">
        <v>20</v>
      </c>
      <c r="K512" s="22" t="s">
        <v>4443</v>
      </c>
      <c r="L512" s="22" t="s">
        <v>2705</v>
      </c>
      <c r="M512" s="22" t="s">
        <v>63</v>
      </c>
      <c r="N512" s="22" t="s">
        <v>4444</v>
      </c>
    </row>
    <row r="513" ht="20" customHeight="1" spans="1:14" s="23" customFormat="1" x14ac:dyDescent="0.25">
      <c r="A513" s="24" t="s">
        <v>4446</v>
      </c>
      <c r="B513" s="24" t="s">
        <v>890</v>
      </c>
      <c r="C513" s="25" t="s">
        <v>2855</v>
      </c>
      <c r="D513" s="32">
        <v>18</v>
      </c>
      <c r="E513" s="33">
        <v>72</v>
      </c>
      <c r="F513" s="25" t="s">
        <v>2700</v>
      </c>
      <c r="G513" s="24" t="s">
        <v>4442</v>
      </c>
      <c r="H513" s="24" t="s">
        <v>3164</v>
      </c>
      <c r="I513" s="24" t="s">
        <v>63</v>
      </c>
      <c r="J513" s="24" t="s">
        <v>20</v>
      </c>
      <c r="K513" s="25" t="s">
        <v>4443</v>
      </c>
      <c r="L513" s="25" t="s">
        <v>2705</v>
      </c>
      <c r="M513" s="25" t="s">
        <v>63</v>
      </c>
      <c r="N513" s="25" t="s">
        <v>4444</v>
      </c>
    </row>
    <row r="514" ht="20" customHeight="1" spans="1:14" x14ac:dyDescent="0.25">
      <c r="A514" s="21" t="s">
        <v>4447</v>
      </c>
      <c r="B514" s="21" t="s">
        <v>890</v>
      </c>
      <c r="C514" s="22" t="s">
        <v>2935</v>
      </c>
      <c r="D514" s="30">
        <v>17</v>
      </c>
      <c r="E514" s="31">
        <v>91.8</v>
      </c>
      <c r="F514" s="22" t="s">
        <v>2700</v>
      </c>
      <c r="G514" s="21" t="s">
        <v>4442</v>
      </c>
      <c r="H514" s="21" t="s">
        <v>3164</v>
      </c>
      <c r="I514" s="21" t="s">
        <v>63</v>
      </c>
      <c r="J514" s="21" t="s">
        <v>20</v>
      </c>
      <c r="K514" s="22" t="s">
        <v>4443</v>
      </c>
      <c r="L514" s="22" t="s">
        <v>2705</v>
      </c>
      <c r="M514" s="22" t="s">
        <v>63</v>
      </c>
      <c r="N514" s="22" t="s">
        <v>4444</v>
      </c>
    </row>
    <row r="515" ht="20" customHeight="1" spans="1:14" s="23" customFormat="1" x14ac:dyDescent="0.25">
      <c r="A515" s="24" t="s">
        <v>4448</v>
      </c>
      <c r="B515" s="24" t="s">
        <v>858</v>
      </c>
      <c r="C515" s="25" t="s">
        <v>2940</v>
      </c>
      <c r="D515" s="32">
        <v>200</v>
      </c>
      <c r="E515" s="33">
        <v>630</v>
      </c>
      <c r="F515" s="25" t="s">
        <v>2856</v>
      </c>
      <c r="G515" s="24" t="s">
        <v>4278</v>
      </c>
      <c r="H515" s="24" t="s">
        <v>3164</v>
      </c>
      <c r="I515" s="24" t="s">
        <v>63</v>
      </c>
      <c r="J515" s="24" t="s">
        <v>20</v>
      </c>
      <c r="K515" s="25" t="s">
        <v>4279</v>
      </c>
      <c r="L515" s="25" t="s">
        <v>4280</v>
      </c>
      <c r="M515" s="25" t="s">
        <v>4281</v>
      </c>
      <c r="N515" s="25" t="s">
        <v>4449</v>
      </c>
    </row>
    <row r="516" ht="20" customHeight="1" spans="1:14" x14ac:dyDescent="0.25">
      <c r="A516" s="21" t="s">
        <v>4450</v>
      </c>
      <c r="B516" s="21" t="s">
        <v>858</v>
      </c>
      <c r="C516" s="22" t="s">
        <v>2855</v>
      </c>
      <c r="D516" s="30">
        <v>17</v>
      </c>
      <c r="E516" s="31">
        <v>68</v>
      </c>
      <c r="F516" s="22" t="s">
        <v>2856</v>
      </c>
      <c r="G516" s="21" t="s">
        <v>4278</v>
      </c>
      <c r="H516" s="21" t="s">
        <v>3164</v>
      </c>
      <c r="I516" s="21" t="s">
        <v>63</v>
      </c>
      <c r="J516" s="21" t="s">
        <v>20</v>
      </c>
      <c r="K516" s="22" t="s">
        <v>4279</v>
      </c>
      <c r="L516" s="22" t="s">
        <v>4280</v>
      </c>
      <c r="M516" s="22" t="s">
        <v>4281</v>
      </c>
      <c r="N516" s="22" t="s">
        <v>4449</v>
      </c>
    </row>
    <row r="517" ht="20" customHeight="1" spans="1:14" s="23" customFormat="1" x14ac:dyDescent="0.25">
      <c r="A517" s="24" t="s">
        <v>4451</v>
      </c>
      <c r="B517" s="24" t="s">
        <v>934</v>
      </c>
      <c r="C517" s="25" t="s">
        <v>3784</v>
      </c>
      <c r="D517" s="32">
        <v>600</v>
      </c>
      <c r="E517" s="33">
        <v>2982</v>
      </c>
      <c r="F517" s="25" t="s">
        <v>2652</v>
      </c>
      <c r="G517" s="24" t="s">
        <v>4452</v>
      </c>
      <c r="H517" s="24" t="s">
        <v>3164</v>
      </c>
      <c r="I517" s="24" t="s">
        <v>63</v>
      </c>
      <c r="J517" s="24" t="s">
        <v>20</v>
      </c>
      <c r="K517" s="25" t="s">
        <v>4453</v>
      </c>
      <c r="L517" s="25" t="s">
        <v>3778</v>
      </c>
      <c r="M517" s="25" t="s">
        <v>4454</v>
      </c>
      <c r="N517" s="25" t="s">
        <v>4455</v>
      </c>
    </row>
    <row r="518" ht="20" customHeight="1" spans="1:14" x14ac:dyDescent="0.25">
      <c r="A518" s="21" t="s">
        <v>4456</v>
      </c>
      <c r="B518" s="21" t="s">
        <v>934</v>
      </c>
      <c r="C518" s="22" t="s">
        <v>3784</v>
      </c>
      <c r="D518" s="30">
        <v>800</v>
      </c>
      <c r="E518" s="31">
        <v>3976</v>
      </c>
      <c r="F518" s="22" t="s">
        <v>2652</v>
      </c>
      <c r="G518" s="21" t="s">
        <v>4457</v>
      </c>
      <c r="H518" s="21" t="s">
        <v>3164</v>
      </c>
      <c r="I518" s="21" t="s">
        <v>63</v>
      </c>
      <c r="J518" s="21" t="s">
        <v>20</v>
      </c>
      <c r="K518" s="22" t="s">
        <v>4458</v>
      </c>
      <c r="L518" s="22" t="s">
        <v>3778</v>
      </c>
      <c r="M518" s="22" t="s">
        <v>4459</v>
      </c>
      <c r="N518" s="22" t="s">
        <v>4460</v>
      </c>
    </row>
    <row r="519" ht="20" customHeight="1" spans="1:14" s="23" customFormat="1" x14ac:dyDescent="0.25">
      <c r="A519" s="24" t="s">
        <v>4461</v>
      </c>
      <c r="B519" s="24" t="s">
        <v>1006</v>
      </c>
      <c r="C519" s="25" t="s">
        <v>3784</v>
      </c>
      <c r="D519" s="32">
        <v>600</v>
      </c>
      <c r="E519" s="33">
        <v>2982</v>
      </c>
      <c r="F519" s="25" t="s">
        <v>2652</v>
      </c>
      <c r="G519" s="24" t="s">
        <v>4462</v>
      </c>
      <c r="H519" s="24" t="s">
        <v>3164</v>
      </c>
      <c r="I519" s="24" t="s">
        <v>63</v>
      </c>
      <c r="J519" s="24" t="s">
        <v>20</v>
      </c>
      <c r="K519" s="25" t="s">
        <v>4463</v>
      </c>
      <c r="L519" s="25" t="s">
        <v>4046</v>
      </c>
      <c r="M519" s="25" t="s">
        <v>4464</v>
      </c>
      <c r="N519" s="25" t="s">
        <v>4465</v>
      </c>
    </row>
    <row r="520" ht="20" customHeight="1" spans="1:14" x14ac:dyDescent="0.25">
      <c r="A520" s="21" t="s">
        <v>4466</v>
      </c>
      <c r="B520" s="21" t="s">
        <v>1006</v>
      </c>
      <c r="C520" s="22" t="s">
        <v>3784</v>
      </c>
      <c r="D520" s="30">
        <v>800</v>
      </c>
      <c r="E520" s="31">
        <v>3976</v>
      </c>
      <c r="F520" s="22" t="s">
        <v>2652</v>
      </c>
      <c r="G520" s="21" t="s">
        <v>4467</v>
      </c>
      <c r="H520" s="21" t="s">
        <v>3164</v>
      </c>
      <c r="I520" s="21" t="s">
        <v>63</v>
      </c>
      <c r="J520" s="21" t="s">
        <v>20</v>
      </c>
      <c r="K520" s="22" t="s">
        <v>4468</v>
      </c>
      <c r="L520" s="22" t="s">
        <v>4046</v>
      </c>
      <c r="M520" s="22" t="s">
        <v>4469</v>
      </c>
      <c r="N520" s="22" t="s">
        <v>4470</v>
      </c>
    </row>
    <row r="521" ht="20" customHeight="1" spans="1:14" s="23" customFormat="1" x14ac:dyDescent="0.25">
      <c r="A521" s="24" t="s">
        <v>4471</v>
      </c>
      <c r="B521" s="24" t="s">
        <v>1045</v>
      </c>
      <c r="C521" s="25" t="s">
        <v>3883</v>
      </c>
      <c r="D521" s="32">
        <v>305</v>
      </c>
      <c r="E521" s="33">
        <v>1982.5</v>
      </c>
      <c r="F521" s="25" t="s">
        <v>2643</v>
      </c>
      <c r="G521" s="24" t="s">
        <v>4472</v>
      </c>
      <c r="H521" s="24" t="s">
        <v>3164</v>
      </c>
      <c r="I521" s="24" t="s">
        <v>63</v>
      </c>
      <c r="J521" s="24" t="s">
        <v>20</v>
      </c>
      <c r="K521" s="25" t="s">
        <v>4473</v>
      </c>
      <c r="L521" s="25" t="s">
        <v>3886</v>
      </c>
      <c r="M521" s="25" t="s">
        <v>4474</v>
      </c>
      <c r="N521" s="25" t="s">
        <v>4475</v>
      </c>
    </row>
    <row r="522" ht="20" customHeight="1" spans="1:14" x14ac:dyDescent="0.25">
      <c r="A522" s="21" t="s">
        <v>4476</v>
      </c>
      <c r="B522" s="21" t="s">
        <v>1045</v>
      </c>
      <c r="C522" s="22" t="s">
        <v>3890</v>
      </c>
      <c r="D522" s="30">
        <v>700</v>
      </c>
      <c r="E522" s="31">
        <v>2030</v>
      </c>
      <c r="F522" s="22" t="s">
        <v>2643</v>
      </c>
      <c r="G522" s="21" t="s">
        <v>4472</v>
      </c>
      <c r="H522" s="21" t="s">
        <v>3164</v>
      </c>
      <c r="I522" s="21" t="s">
        <v>63</v>
      </c>
      <c r="J522" s="21" t="s">
        <v>20</v>
      </c>
      <c r="K522" s="22" t="s">
        <v>4473</v>
      </c>
      <c r="L522" s="22" t="s">
        <v>3886</v>
      </c>
      <c r="M522" s="22" t="s">
        <v>4474</v>
      </c>
      <c r="N522" s="22" t="s">
        <v>4475</v>
      </c>
    </row>
    <row r="523" ht="20" customHeight="1" spans="1:14" s="23" customFormat="1" x14ac:dyDescent="0.25">
      <c r="A523" s="24" t="s">
        <v>4477</v>
      </c>
      <c r="B523" s="24" t="s">
        <v>1016</v>
      </c>
      <c r="C523" s="25" t="s">
        <v>4276</v>
      </c>
      <c r="D523" s="32">
        <v>147</v>
      </c>
      <c r="E523" s="33">
        <v>580.65</v>
      </c>
      <c r="F523" s="25" t="s">
        <v>2685</v>
      </c>
      <c r="G523" s="24" t="s">
        <v>3966</v>
      </c>
      <c r="H523" s="24" t="s">
        <v>3164</v>
      </c>
      <c r="I523" s="24" t="s">
        <v>63</v>
      </c>
      <c r="J523" s="24" t="s">
        <v>20</v>
      </c>
      <c r="K523" s="25" t="s">
        <v>3967</v>
      </c>
      <c r="L523" s="25" t="s">
        <v>3968</v>
      </c>
      <c r="M523" s="25" t="s">
        <v>3969</v>
      </c>
      <c r="N523" s="25" t="s">
        <v>4478</v>
      </c>
    </row>
    <row r="524" ht="20" customHeight="1" spans="1:14" x14ac:dyDescent="0.25">
      <c r="A524" s="21" t="s">
        <v>4479</v>
      </c>
      <c r="B524" s="21" t="s">
        <v>1016</v>
      </c>
      <c r="C524" s="22" t="s">
        <v>4266</v>
      </c>
      <c r="D524" s="30">
        <v>250</v>
      </c>
      <c r="E524" s="31">
        <v>1275</v>
      </c>
      <c r="F524" s="22" t="s">
        <v>2685</v>
      </c>
      <c r="G524" s="21" t="s">
        <v>3966</v>
      </c>
      <c r="H524" s="21" t="s">
        <v>3164</v>
      </c>
      <c r="I524" s="21" t="s">
        <v>63</v>
      </c>
      <c r="J524" s="21" t="s">
        <v>20</v>
      </c>
      <c r="K524" s="22" t="s">
        <v>3967</v>
      </c>
      <c r="L524" s="22" t="s">
        <v>3968</v>
      </c>
      <c r="M524" s="22" t="s">
        <v>3969</v>
      </c>
      <c r="N524" s="22" t="s">
        <v>4478</v>
      </c>
    </row>
    <row r="525" ht="20" customHeight="1" spans="1:14" s="23" customFormat="1" x14ac:dyDescent="0.25">
      <c r="A525" s="24" t="s">
        <v>4480</v>
      </c>
      <c r="B525" s="24" t="s">
        <v>1016</v>
      </c>
      <c r="C525" s="25" t="s">
        <v>2940</v>
      </c>
      <c r="D525" s="32">
        <v>107</v>
      </c>
      <c r="E525" s="33">
        <v>337.05</v>
      </c>
      <c r="F525" s="25" t="s">
        <v>2685</v>
      </c>
      <c r="G525" s="24" t="s">
        <v>3966</v>
      </c>
      <c r="H525" s="24" t="s">
        <v>3164</v>
      </c>
      <c r="I525" s="24" t="s">
        <v>63</v>
      </c>
      <c r="J525" s="24" t="s">
        <v>20</v>
      </c>
      <c r="K525" s="25" t="s">
        <v>3967</v>
      </c>
      <c r="L525" s="25" t="s">
        <v>3968</v>
      </c>
      <c r="M525" s="25" t="s">
        <v>3969</v>
      </c>
      <c r="N525" s="25" t="s">
        <v>4478</v>
      </c>
    </row>
    <row r="526" ht="20" customHeight="1" spans="1:14" x14ac:dyDescent="0.25">
      <c r="A526" s="21" t="s">
        <v>4481</v>
      </c>
      <c r="B526" s="21" t="s">
        <v>1016</v>
      </c>
      <c r="C526" s="22" t="s">
        <v>4274</v>
      </c>
      <c r="D526" s="30">
        <v>68.5</v>
      </c>
      <c r="E526" s="31">
        <v>246.6</v>
      </c>
      <c r="F526" s="22" t="s">
        <v>2685</v>
      </c>
      <c r="G526" s="21" t="s">
        <v>3966</v>
      </c>
      <c r="H526" s="21" t="s">
        <v>3164</v>
      </c>
      <c r="I526" s="21" t="s">
        <v>63</v>
      </c>
      <c r="J526" s="21" t="s">
        <v>20</v>
      </c>
      <c r="K526" s="22" t="s">
        <v>3967</v>
      </c>
      <c r="L526" s="22" t="s">
        <v>3968</v>
      </c>
      <c r="M526" s="22" t="s">
        <v>3969</v>
      </c>
      <c r="N526" s="22" t="s">
        <v>4478</v>
      </c>
    </row>
    <row r="527" ht="20" customHeight="1" spans="1:14" s="23" customFormat="1" x14ac:dyDescent="0.25">
      <c r="A527" s="24" t="s">
        <v>4482</v>
      </c>
      <c r="B527" s="24" t="s">
        <v>1045</v>
      </c>
      <c r="C527" s="25" t="s">
        <v>3784</v>
      </c>
      <c r="D527" s="32">
        <v>600</v>
      </c>
      <c r="E527" s="33">
        <v>2982</v>
      </c>
      <c r="F527" s="25" t="s">
        <v>2652</v>
      </c>
      <c r="G527" s="24" t="s">
        <v>4483</v>
      </c>
      <c r="H527" s="24" t="s">
        <v>3164</v>
      </c>
      <c r="I527" s="24" t="s">
        <v>63</v>
      </c>
      <c r="J527" s="24" t="s">
        <v>20</v>
      </c>
      <c r="K527" s="25" t="s">
        <v>4484</v>
      </c>
      <c r="L527" s="25" t="s">
        <v>4046</v>
      </c>
      <c r="M527" s="25" t="s">
        <v>4485</v>
      </c>
      <c r="N527" s="25" t="s">
        <v>4486</v>
      </c>
    </row>
    <row r="528" ht="20" customHeight="1" spans="1:14" x14ac:dyDescent="0.25">
      <c r="A528" s="21" t="s">
        <v>4487</v>
      </c>
      <c r="B528" s="21" t="s">
        <v>1076</v>
      </c>
      <c r="C528" s="22" t="s">
        <v>4318</v>
      </c>
      <c r="D528" s="30">
        <v>276.7</v>
      </c>
      <c r="E528" s="31">
        <v>940.78</v>
      </c>
      <c r="F528" s="22" t="s">
        <v>2796</v>
      </c>
      <c r="G528" s="21" t="s">
        <v>3841</v>
      </c>
      <c r="H528" s="21" t="s">
        <v>3164</v>
      </c>
      <c r="I528" s="21" t="s">
        <v>63</v>
      </c>
      <c r="J528" s="21" t="s">
        <v>20</v>
      </c>
      <c r="K528" s="22" t="s">
        <v>3844</v>
      </c>
      <c r="L528" s="22" t="s">
        <v>3845</v>
      </c>
      <c r="M528" s="22" t="s">
        <v>3846</v>
      </c>
      <c r="N528" s="22" t="s">
        <v>4488</v>
      </c>
    </row>
    <row r="529" ht="20" customHeight="1" spans="1:14" s="23" customFormat="1" x14ac:dyDescent="0.25">
      <c r="A529" s="24" t="s">
        <v>4489</v>
      </c>
      <c r="B529" s="24" t="s">
        <v>1076</v>
      </c>
      <c r="C529" s="25" t="s">
        <v>4179</v>
      </c>
      <c r="D529" s="32">
        <v>211.25</v>
      </c>
      <c r="E529" s="33">
        <v>1246.37</v>
      </c>
      <c r="F529" s="25" t="s">
        <v>2796</v>
      </c>
      <c r="G529" s="24" t="s">
        <v>3841</v>
      </c>
      <c r="H529" s="24" t="s">
        <v>3164</v>
      </c>
      <c r="I529" s="24" t="s">
        <v>63</v>
      </c>
      <c r="J529" s="24" t="s">
        <v>20</v>
      </c>
      <c r="K529" s="25" t="s">
        <v>3844</v>
      </c>
      <c r="L529" s="25" t="s">
        <v>3845</v>
      </c>
      <c r="M529" s="25" t="s">
        <v>3846</v>
      </c>
      <c r="N529" s="25" t="s">
        <v>4488</v>
      </c>
    </row>
    <row r="530" ht="20" customHeight="1" spans="1:14" x14ac:dyDescent="0.25">
      <c r="A530" s="21" t="s">
        <v>4490</v>
      </c>
      <c r="B530" s="21" t="s">
        <v>1045</v>
      </c>
      <c r="C530" s="22" t="s">
        <v>2935</v>
      </c>
      <c r="D530" s="30">
        <v>40</v>
      </c>
      <c r="E530" s="31">
        <v>216</v>
      </c>
      <c r="F530" s="22" t="s">
        <v>3220</v>
      </c>
      <c r="G530" s="21" t="s">
        <v>4491</v>
      </c>
      <c r="H530" s="21" t="s">
        <v>3164</v>
      </c>
      <c r="I530" s="21" t="s">
        <v>63</v>
      </c>
      <c r="J530" s="21" t="s">
        <v>20</v>
      </c>
      <c r="K530" s="22" t="s">
        <v>4492</v>
      </c>
      <c r="L530" s="22" t="s">
        <v>3222</v>
      </c>
      <c r="M530" s="22" t="s">
        <v>4493</v>
      </c>
      <c r="N530" s="22" t="s">
        <v>4494</v>
      </c>
    </row>
    <row r="531" ht="20" customHeight="1" spans="1:14" s="23" customFormat="1" x14ac:dyDescent="0.25">
      <c r="A531" s="24" t="s">
        <v>4495</v>
      </c>
      <c r="B531" s="24" t="s">
        <v>1045</v>
      </c>
      <c r="C531" s="25" t="s">
        <v>4284</v>
      </c>
      <c r="D531" s="32">
        <v>175</v>
      </c>
      <c r="E531" s="33">
        <v>656.25</v>
      </c>
      <c r="F531" s="25" t="s">
        <v>3220</v>
      </c>
      <c r="G531" s="24" t="s">
        <v>4491</v>
      </c>
      <c r="H531" s="24" t="s">
        <v>3164</v>
      </c>
      <c r="I531" s="24" t="s">
        <v>63</v>
      </c>
      <c r="J531" s="24" t="s">
        <v>20</v>
      </c>
      <c r="K531" s="25" t="s">
        <v>4492</v>
      </c>
      <c r="L531" s="25" t="s">
        <v>3222</v>
      </c>
      <c r="M531" s="25" t="s">
        <v>4493</v>
      </c>
      <c r="N531" s="25" t="s">
        <v>4494</v>
      </c>
    </row>
    <row r="532" ht="20" customHeight="1" spans="1:14" x14ac:dyDescent="0.25">
      <c r="A532" s="21" t="s">
        <v>4496</v>
      </c>
      <c r="B532" s="21" t="s">
        <v>1045</v>
      </c>
      <c r="C532" s="22" t="s">
        <v>4284</v>
      </c>
      <c r="D532" s="30">
        <v>175</v>
      </c>
      <c r="E532" s="31">
        <v>656.25</v>
      </c>
      <c r="F532" s="22" t="s">
        <v>3230</v>
      </c>
      <c r="G532" s="21" t="s">
        <v>4497</v>
      </c>
      <c r="H532" s="21" t="s">
        <v>3164</v>
      </c>
      <c r="I532" s="21" t="s">
        <v>63</v>
      </c>
      <c r="J532" s="21" t="s">
        <v>20</v>
      </c>
      <c r="K532" s="22" t="s">
        <v>4498</v>
      </c>
      <c r="L532" s="22" t="s">
        <v>4499</v>
      </c>
      <c r="M532" s="22" t="s">
        <v>4500</v>
      </c>
      <c r="N532" s="22" t="s">
        <v>4501</v>
      </c>
    </row>
    <row r="533" ht="20" customHeight="1" spans="1:14" s="23" customFormat="1" x14ac:dyDescent="0.25">
      <c r="A533" s="24" t="s">
        <v>4502</v>
      </c>
      <c r="B533" s="24" t="s">
        <v>1045</v>
      </c>
      <c r="C533" s="25" t="s">
        <v>2935</v>
      </c>
      <c r="D533" s="32">
        <v>40</v>
      </c>
      <c r="E533" s="33">
        <v>216</v>
      </c>
      <c r="F533" s="25" t="s">
        <v>3230</v>
      </c>
      <c r="G533" s="24" t="s">
        <v>4497</v>
      </c>
      <c r="H533" s="24" t="s">
        <v>3164</v>
      </c>
      <c r="I533" s="24" t="s">
        <v>63</v>
      </c>
      <c r="J533" s="24" t="s">
        <v>20</v>
      </c>
      <c r="K533" s="25" t="s">
        <v>4498</v>
      </c>
      <c r="L533" s="25" t="s">
        <v>4499</v>
      </c>
      <c r="M533" s="25" t="s">
        <v>4500</v>
      </c>
      <c r="N533" s="25" t="s">
        <v>4501</v>
      </c>
    </row>
    <row r="534" ht="20" customHeight="1" spans="1:14" x14ac:dyDescent="0.25">
      <c r="A534" s="21" t="s">
        <v>4503</v>
      </c>
      <c r="B534" s="21" t="s">
        <v>1056</v>
      </c>
      <c r="C534" s="22" t="s">
        <v>3784</v>
      </c>
      <c r="D534" s="30">
        <v>3300</v>
      </c>
      <c r="E534" s="31">
        <v>16401</v>
      </c>
      <c r="F534" s="22" t="s">
        <v>2652</v>
      </c>
      <c r="G534" s="21" t="s">
        <v>4504</v>
      </c>
      <c r="H534" s="21" t="s">
        <v>3164</v>
      </c>
      <c r="I534" s="21" t="s">
        <v>63</v>
      </c>
      <c r="J534" s="21" t="s">
        <v>20</v>
      </c>
      <c r="K534" s="22" t="s">
        <v>4505</v>
      </c>
      <c r="L534" s="22" t="s">
        <v>4046</v>
      </c>
      <c r="M534" s="22" t="s">
        <v>4506</v>
      </c>
      <c r="N534" s="22" t="s">
        <v>4507</v>
      </c>
    </row>
    <row r="535" ht="20" customHeight="1" spans="1:14" s="23" customFormat="1" x14ac:dyDescent="0.25">
      <c r="A535" s="24" t="s">
        <v>4508</v>
      </c>
      <c r="B535" s="24" t="s">
        <v>1076</v>
      </c>
      <c r="C535" s="25" t="s">
        <v>2696</v>
      </c>
      <c r="D535" s="32">
        <v>314.87</v>
      </c>
      <c r="E535" s="33">
        <v>1133.54</v>
      </c>
      <c r="F535" s="25" t="s">
        <v>2757</v>
      </c>
      <c r="G535" s="24" t="s">
        <v>3836</v>
      </c>
      <c r="H535" s="24" t="s">
        <v>3164</v>
      </c>
      <c r="I535" s="24" t="s">
        <v>63</v>
      </c>
      <c r="J535" s="24" t="s">
        <v>20</v>
      </c>
      <c r="K535" s="25" t="s">
        <v>3837</v>
      </c>
      <c r="L535" s="25" t="s">
        <v>2760</v>
      </c>
      <c r="M535" s="25" t="s">
        <v>3838</v>
      </c>
      <c r="N535" s="25" t="s">
        <v>4509</v>
      </c>
    </row>
    <row r="536" ht="20" customHeight="1" spans="1:14" x14ac:dyDescent="0.25">
      <c r="A536" s="21" t="s">
        <v>4510</v>
      </c>
      <c r="B536" s="21" t="s">
        <v>1076</v>
      </c>
      <c r="C536" s="22" t="s">
        <v>2940</v>
      </c>
      <c r="D536" s="30">
        <v>133.82</v>
      </c>
      <c r="E536" s="31">
        <v>421.54</v>
      </c>
      <c r="F536" s="22" t="s">
        <v>2757</v>
      </c>
      <c r="G536" s="21" t="s">
        <v>3836</v>
      </c>
      <c r="H536" s="21" t="s">
        <v>3164</v>
      </c>
      <c r="I536" s="21" t="s">
        <v>63</v>
      </c>
      <c r="J536" s="21" t="s">
        <v>20</v>
      </c>
      <c r="K536" s="22" t="s">
        <v>3837</v>
      </c>
      <c r="L536" s="22" t="s">
        <v>2760</v>
      </c>
      <c r="M536" s="22" t="s">
        <v>3838</v>
      </c>
      <c r="N536" s="22" t="s">
        <v>4509</v>
      </c>
    </row>
    <row r="537" ht="20" customHeight="1" spans="1:14" s="23" customFormat="1" x14ac:dyDescent="0.25">
      <c r="A537" s="24" t="s">
        <v>4511</v>
      </c>
      <c r="B537" s="24" t="s">
        <v>1104</v>
      </c>
      <c r="C537" s="25" t="s">
        <v>2940</v>
      </c>
      <c r="D537" s="32">
        <v>186</v>
      </c>
      <c r="E537" s="33">
        <v>585.9</v>
      </c>
      <c r="F537" s="25" t="s">
        <v>2717</v>
      </c>
      <c r="G537" s="24" t="s">
        <v>3824</v>
      </c>
      <c r="H537" s="24" t="s">
        <v>3164</v>
      </c>
      <c r="I537" s="24" t="s">
        <v>63</v>
      </c>
      <c r="J537" s="24" t="s">
        <v>20</v>
      </c>
      <c r="K537" s="25" t="s">
        <v>3825</v>
      </c>
      <c r="L537" s="25" t="s">
        <v>3826</v>
      </c>
      <c r="M537" s="25" t="s">
        <v>4512</v>
      </c>
      <c r="N537" s="25" t="s">
        <v>4513</v>
      </c>
    </row>
    <row r="538" ht="20" customHeight="1" spans="1:14" x14ac:dyDescent="0.25">
      <c r="A538" s="21" t="s">
        <v>4514</v>
      </c>
      <c r="B538" s="21" t="s">
        <v>1104</v>
      </c>
      <c r="C538" s="22" t="s">
        <v>4266</v>
      </c>
      <c r="D538" s="30">
        <v>0</v>
      </c>
      <c r="E538" s="31">
        <v>1530</v>
      </c>
      <c r="F538" s="22" t="s">
        <v>2717</v>
      </c>
      <c r="G538" s="21" t="s">
        <v>3824</v>
      </c>
      <c r="H538" s="21" t="s">
        <v>2996</v>
      </c>
      <c r="I538" s="21" t="s">
        <v>63</v>
      </c>
      <c r="J538" s="21" t="s">
        <v>20</v>
      </c>
      <c r="K538" s="22" t="s">
        <v>3825</v>
      </c>
      <c r="L538" s="22" t="s">
        <v>3826</v>
      </c>
      <c r="M538" s="22" t="s">
        <v>63</v>
      </c>
      <c r="N538" s="22" t="s">
        <v>4513</v>
      </c>
    </row>
    <row r="539" ht="20" customHeight="1" spans="1:14" s="23" customFormat="1" x14ac:dyDescent="0.25">
      <c r="A539" s="24" t="s">
        <v>4515</v>
      </c>
      <c r="B539" s="24" t="s">
        <v>1325</v>
      </c>
      <c r="C539" s="25" t="s">
        <v>4516</v>
      </c>
      <c r="D539" s="32">
        <v>280</v>
      </c>
      <c r="E539" s="33">
        <v>1568</v>
      </c>
      <c r="F539" s="25" t="s">
        <v>2561</v>
      </c>
      <c r="G539" s="24" t="s">
        <v>4517</v>
      </c>
      <c r="H539" s="24" t="s">
        <v>4518</v>
      </c>
      <c r="I539" s="24" t="s">
        <v>1613</v>
      </c>
      <c r="J539" s="24">
        <f>SE(I539="","-",SE(DATA.VALOR(I539)&lt;HOJE(),"VENCIDO",SE(DATA.VALOR(I539)-HOJE()&lt;=30,"CRÍTICO (&lt;=30D)","REGULAR")))</f>
      </c>
      <c r="K539" s="25" t="s">
        <v>4519</v>
      </c>
      <c r="L539" s="25" t="s">
        <v>4520</v>
      </c>
      <c r="M539" s="25" t="s">
        <v>4521</v>
      </c>
      <c r="N539" s="25" t="s">
        <v>4522</v>
      </c>
    </row>
    <row r="540" ht="20" customHeight="1" spans="1:14" x14ac:dyDescent="0.25">
      <c r="A540" s="21" t="s">
        <v>4523</v>
      </c>
      <c r="B540" s="21" t="s">
        <v>1325</v>
      </c>
      <c r="C540" s="22" t="s">
        <v>4524</v>
      </c>
      <c r="D540" s="30">
        <v>150</v>
      </c>
      <c r="E540" s="31">
        <v>996</v>
      </c>
      <c r="F540" s="22" t="s">
        <v>2561</v>
      </c>
      <c r="G540" s="21" t="s">
        <v>4517</v>
      </c>
      <c r="H540" s="21" t="s">
        <v>4518</v>
      </c>
      <c r="I540" s="21" t="s">
        <v>1613</v>
      </c>
      <c r="J540" s="21">
        <f>SE(I540="","-",SE(DATA.VALOR(I540)&lt;HOJE(),"VENCIDO",SE(DATA.VALOR(I540)-HOJE()&lt;=30,"CRÍTICO (&lt;=30D)","REGULAR")))</f>
      </c>
      <c r="K540" s="22" t="s">
        <v>4519</v>
      </c>
      <c r="L540" s="22" t="s">
        <v>4520</v>
      </c>
      <c r="M540" s="22" t="s">
        <v>4521</v>
      </c>
      <c r="N540" s="22" t="s">
        <v>4522</v>
      </c>
    </row>
    <row r="541" ht="20" customHeight="1" spans="1:14" s="23" customFormat="1" x14ac:dyDescent="0.25">
      <c r="A541" s="24" t="s">
        <v>4525</v>
      </c>
      <c r="B541" s="24" t="s">
        <v>1345</v>
      </c>
      <c r="C541" s="25" t="s">
        <v>4526</v>
      </c>
      <c r="D541" s="32">
        <v>100</v>
      </c>
      <c r="E541" s="33">
        <v>1589</v>
      </c>
      <c r="F541" s="25" t="s">
        <v>4527</v>
      </c>
      <c r="G541" s="24" t="s">
        <v>4528</v>
      </c>
      <c r="H541" s="24" t="s">
        <v>4529</v>
      </c>
      <c r="I541" s="24" t="s">
        <v>4530</v>
      </c>
      <c r="J541" s="24">
        <f>SE(I541="","-",SE(DATA.VALOR(I541)&lt;HOJE(),"VENCIDO",SE(DATA.VALOR(I541)-HOJE()&lt;=30,"CRÍTICO (&lt;=30D)","REGULAR")))</f>
      </c>
      <c r="K541" s="25" t="s">
        <v>4531</v>
      </c>
      <c r="L541" s="25" t="s">
        <v>4532</v>
      </c>
      <c r="M541" s="25" t="s">
        <v>4533</v>
      </c>
      <c r="N541" s="25" t="s">
        <v>4534</v>
      </c>
    </row>
    <row r="542" ht="20" customHeight="1" spans="1:14" x14ac:dyDescent="0.25">
      <c r="A542" s="21" t="s">
        <v>4535</v>
      </c>
      <c r="B542" s="21" t="s">
        <v>1345</v>
      </c>
      <c r="C542" s="22" t="s">
        <v>4536</v>
      </c>
      <c r="D542" s="30">
        <v>96</v>
      </c>
      <c r="E542" s="31">
        <v>1090.56</v>
      </c>
      <c r="F542" s="22" t="s">
        <v>4527</v>
      </c>
      <c r="G542" s="21" t="s">
        <v>4528</v>
      </c>
      <c r="H542" s="21" t="s">
        <v>4537</v>
      </c>
      <c r="I542" s="21" t="s">
        <v>2519</v>
      </c>
      <c r="J542" s="21">
        <f>SE(I542="","-",SE(DATA.VALOR(I542)&lt;HOJE(),"VENCIDO",SE(DATA.VALOR(I542)-HOJE()&lt;=30,"CRÍTICO (&lt;=30D)","REGULAR")))</f>
      </c>
      <c r="K542" s="22" t="s">
        <v>4531</v>
      </c>
      <c r="L542" s="22" t="s">
        <v>4532</v>
      </c>
      <c r="M542" s="22" t="s">
        <v>4533</v>
      </c>
      <c r="N542" s="22" t="s">
        <v>4534</v>
      </c>
    </row>
    <row r="543" ht="20" customHeight="1" spans="1:14" s="23" customFormat="1" x14ac:dyDescent="0.25">
      <c r="A543" s="24" t="s">
        <v>4538</v>
      </c>
      <c r="B543" s="24" t="s">
        <v>1345</v>
      </c>
      <c r="C543" s="25" t="s">
        <v>4539</v>
      </c>
      <c r="D543" s="32">
        <v>204</v>
      </c>
      <c r="E543" s="33">
        <v>748.68</v>
      </c>
      <c r="F543" s="25" t="s">
        <v>4527</v>
      </c>
      <c r="G543" s="24" t="s">
        <v>4528</v>
      </c>
      <c r="H543" s="24" t="s">
        <v>4540</v>
      </c>
      <c r="I543" s="24" t="s">
        <v>4541</v>
      </c>
      <c r="J543" s="24">
        <f>SE(I543="","-",SE(DATA.VALOR(I543)&lt;HOJE(),"VENCIDO",SE(DATA.VALOR(I543)-HOJE()&lt;=30,"CRÍTICO (&lt;=30D)","REGULAR")))</f>
      </c>
      <c r="K543" s="25" t="s">
        <v>4531</v>
      </c>
      <c r="L543" s="25" t="s">
        <v>4532</v>
      </c>
      <c r="M543" s="25" t="s">
        <v>4533</v>
      </c>
      <c r="N543" s="25" t="s">
        <v>4534</v>
      </c>
    </row>
    <row r="544" ht="20" customHeight="1" spans="1:14" x14ac:dyDescent="0.25">
      <c r="A544" s="21" t="s">
        <v>4542</v>
      </c>
      <c r="B544" s="21" t="s">
        <v>1345</v>
      </c>
      <c r="C544" s="22" t="s">
        <v>4543</v>
      </c>
      <c r="D544" s="30">
        <v>24</v>
      </c>
      <c r="E544" s="31">
        <v>79.44</v>
      </c>
      <c r="F544" s="22" t="s">
        <v>4527</v>
      </c>
      <c r="G544" s="21" t="s">
        <v>4528</v>
      </c>
      <c r="H544" s="21" t="s">
        <v>4540</v>
      </c>
      <c r="I544" s="21" t="s">
        <v>4541</v>
      </c>
      <c r="J544" s="21">
        <f>SE(I544="","-",SE(DATA.VALOR(I544)&lt;HOJE(),"VENCIDO",SE(DATA.VALOR(I544)-HOJE()&lt;=30,"CRÍTICO (&lt;=30D)","REGULAR")))</f>
      </c>
      <c r="K544" s="22" t="s">
        <v>4531</v>
      </c>
      <c r="L544" s="22" t="s">
        <v>4532</v>
      </c>
      <c r="M544" s="22" t="s">
        <v>4533</v>
      </c>
      <c r="N544" s="22" t="s">
        <v>4534</v>
      </c>
    </row>
    <row r="545" ht="20" customHeight="1" spans="1:14" s="23" customFormat="1" x14ac:dyDescent="0.25">
      <c r="A545" s="24" t="s">
        <v>4544</v>
      </c>
      <c r="B545" s="24" t="s">
        <v>1345</v>
      </c>
      <c r="C545" s="25" t="s">
        <v>4545</v>
      </c>
      <c r="D545" s="32">
        <v>84</v>
      </c>
      <c r="E545" s="33">
        <v>530.04</v>
      </c>
      <c r="F545" s="25" t="s">
        <v>4527</v>
      </c>
      <c r="G545" s="24" t="s">
        <v>4528</v>
      </c>
      <c r="H545" s="24" t="s">
        <v>4546</v>
      </c>
      <c r="I545" s="24" t="s">
        <v>4547</v>
      </c>
      <c r="J545" s="24">
        <f>SE(I545="","-",SE(DATA.VALOR(I545)&lt;HOJE(),"VENCIDO",SE(DATA.VALOR(I545)-HOJE()&lt;=30,"CRÍTICO (&lt;=30D)","REGULAR")))</f>
      </c>
      <c r="K545" s="25" t="s">
        <v>4531</v>
      </c>
      <c r="L545" s="25" t="s">
        <v>4532</v>
      </c>
      <c r="M545" s="25" t="s">
        <v>4533</v>
      </c>
      <c r="N545" s="25" t="s">
        <v>4534</v>
      </c>
    </row>
    <row r="546" ht="20" customHeight="1" spans="1:14" x14ac:dyDescent="0.25">
      <c r="A546" s="21" t="s">
        <v>4548</v>
      </c>
      <c r="B546" s="21" t="s">
        <v>1056</v>
      </c>
      <c r="C546" s="22" t="s">
        <v>4549</v>
      </c>
      <c r="D546" s="30">
        <v>800</v>
      </c>
      <c r="E546" s="31">
        <v>10320</v>
      </c>
      <c r="F546" s="22" t="s">
        <v>3324</v>
      </c>
      <c r="G546" s="21" t="s">
        <v>4550</v>
      </c>
      <c r="H546" s="21" t="s">
        <v>2996</v>
      </c>
      <c r="I546" s="21" t="s">
        <v>63</v>
      </c>
      <c r="J546" s="21" t="s">
        <v>20</v>
      </c>
      <c r="K546" s="22" t="s">
        <v>4551</v>
      </c>
      <c r="L546" s="22" t="s">
        <v>4552</v>
      </c>
      <c r="M546" s="22" t="s">
        <v>4553</v>
      </c>
      <c r="N546" s="22" t="s">
        <v>4554</v>
      </c>
    </row>
    <row r="547" ht="20" customHeight="1" spans="1:14" s="23" customFormat="1" x14ac:dyDescent="0.25">
      <c r="A547" s="24" t="s">
        <v>4555</v>
      </c>
      <c r="B547" s="24" t="s">
        <v>1056</v>
      </c>
      <c r="C547" s="25" t="s">
        <v>4556</v>
      </c>
      <c r="D547" s="32">
        <v>1237</v>
      </c>
      <c r="E547" s="33">
        <v>13582.26</v>
      </c>
      <c r="F547" s="25" t="s">
        <v>4239</v>
      </c>
      <c r="G547" s="24" t="s">
        <v>4557</v>
      </c>
      <c r="H547" s="24" t="s">
        <v>2996</v>
      </c>
      <c r="I547" s="24" t="s">
        <v>63</v>
      </c>
      <c r="J547" s="24" t="s">
        <v>20</v>
      </c>
      <c r="K547" s="25" t="s">
        <v>4558</v>
      </c>
      <c r="L547" s="25" t="s">
        <v>4559</v>
      </c>
      <c r="M547" s="25" t="s">
        <v>4560</v>
      </c>
      <c r="N547" s="25" t="s">
        <v>4561</v>
      </c>
    </row>
    <row r="548" ht="20" customHeight="1" spans="1:14" x14ac:dyDescent="0.25">
      <c r="A548" s="21" t="s">
        <v>4562</v>
      </c>
      <c r="B548" s="21" t="s">
        <v>1076</v>
      </c>
      <c r="C548" s="22" t="s">
        <v>4563</v>
      </c>
      <c r="D548" s="30">
        <v>2500</v>
      </c>
      <c r="E548" s="31">
        <v>13750</v>
      </c>
      <c r="F548" s="22" t="s">
        <v>4564</v>
      </c>
      <c r="G548" s="21" t="s">
        <v>4565</v>
      </c>
      <c r="H548" s="21" t="s">
        <v>4566</v>
      </c>
      <c r="I548" s="21" t="s">
        <v>4567</v>
      </c>
      <c r="J548" s="21">
        <f>SE(I548="","-",SE(DATA.VALOR(I548)&lt;HOJE(),"VENCIDO",SE(DATA.VALOR(I548)-HOJE()&lt;=30,"CRÍTICO (&lt;=30D)","REGULAR")))</f>
      </c>
      <c r="K548" s="22" t="s">
        <v>4568</v>
      </c>
      <c r="L548" s="22" t="s">
        <v>4569</v>
      </c>
      <c r="M548" s="22" t="s">
        <v>4570</v>
      </c>
      <c r="N548" s="22" t="s">
        <v>4571</v>
      </c>
    </row>
    <row r="549" ht="20" customHeight="1" spans="1:14" s="23" customFormat="1" x14ac:dyDescent="0.25">
      <c r="A549" s="24" t="s">
        <v>4572</v>
      </c>
      <c r="B549" s="24" t="s">
        <v>1433</v>
      </c>
      <c r="C549" s="25" t="s">
        <v>4573</v>
      </c>
      <c r="D549" s="32">
        <v>100</v>
      </c>
      <c r="E549" s="33">
        <v>9647</v>
      </c>
      <c r="F549" s="25" t="s">
        <v>2898</v>
      </c>
      <c r="G549" s="24" t="s">
        <v>4574</v>
      </c>
      <c r="H549" s="24" t="s">
        <v>4575</v>
      </c>
      <c r="I549" s="24" t="s">
        <v>4576</v>
      </c>
      <c r="J549" s="24">
        <f>SE(I549="","-",SE(DATA.VALOR(I549)&lt;HOJE(),"VENCIDO",SE(DATA.VALOR(I549)-HOJE()&lt;=30,"CRÍTICO (&lt;=30D)","REGULAR")))</f>
      </c>
      <c r="K549" s="25" t="s">
        <v>4577</v>
      </c>
      <c r="L549" s="25" t="s">
        <v>4578</v>
      </c>
      <c r="M549" s="25" t="s">
        <v>4579</v>
      </c>
      <c r="N549" s="25" t="s">
        <v>4580</v>
      </c>
    </row>
    <row r="550" ht="20" customHeight="1" spans="1:14" x14ac:dyDescent="0.25">
      <c r="A550" s="21" t="s">
        <v>4581</v>
      </c>
      <c r="B550" s="21" t="s">
        <v>1433</v>
      </c>
      <c r="C550" s="22" t="s">
        <v>4582</v>
      </c>
      <c r="D550" s="30">
        <v>75</v>
      </c>
      <c r="E550" s="31">
        <v>297.75</v>
      </c>
      <c r="F550" s="22" t="s">
        <v>2898</v>
      </c>
      <c r="G550" s="21" t="s">
        <v>4574</v>
      </c>
      <c r="H550" s="21" t="s">
        <v>4197</v>
      </c>
      <c r="I550" s="21" t="s">
        <v>4583</v>
      </c>
      <c r="J550" s="21">
        <f>SE(I550="","-",SE(DATA.VALOR(I550)&lt;HOJE(),"VENCIDO",SE(DATA.VALOR(I550)-HOJE()&lt;=30,"CRÍTICO (&lt;=30D)","REGULAR")))</f>
      </c>
      <c r="K550" s="22" t="s">
        <v>4577</v>
      </c>
      <c r="L550" s="22" t="s">
        <v>4578</v>
      </c>
      <c r="M550" s="22" t="s">
        <v>4579</v>
      </c>
      <c r="N550" s="22" t="s">
        <v>4580</v>
      </c>
    </row>
    <row r="551" ht="20" customHeight="1" spans="1:14" s="23" customFormat="1" x14ac:dyDescent="0.25">
      <c r="A551" s="24" t="s">
        <v>4584</v>
      </c>
      <c r="B551" s="24" t="s">
        <v>1433</v>
      </c>
      <c r="C551" s="25" t="s">
        <v>4585</v>
      </c>
      <c r="D551" s="32">
        <v>350</v>
      </c>
      <c r="E551" s="33">
        <v>3000</v>
      </c>
      <c r="F551" s="25" t="s">
        <v>4586</v>
      </c>
      <c r="G551" s="24" t="s">
        <v>4587</v>
      </c>
      <c r="H551" s="24" t="s">
        <v>4588</v>
      </c>
      <c r="I551" s="24" t="s">
        <v>4589</v>
      </c>
      <c r="J551" s="24">
        <f>SE(I551="","-",SE(DATA.VALOR(I551)&lt;HOJE(),"VENCIDO",SE(DATA.VALOR(I551)-HOJE()&lt;=30,"CRÍTICO (&lt;=30D)","REGULAR")))</f>
      </c>
      <c r="K551" s="25" t="s">
        <v>4590</v>
      </c>
      <c r="L551" s="25" t="s">
        <v>4591</v>
      </c>
      <c r="M551" s="25" t="s">
        <v>4592</v>
      </c>
      <c r="N551" s="25" t="s">
        <v>4593</v>
      </c>
    </row>
    <row r="552" ht="20" customHeight="1" spans="1:14" x14ac:dyDescent="0.25">
      <c r="A552" s="21" t="s">
        <v>4594</v>
      </c>
      <c r="B552" s="21" t="s">
        <v>1433</v>
      </c>
      <c r="C552" s="22" t="s">
        <v>3784</v>
      </c>
      <c r="D552" s="30">
        <v>5400</v>
      </c>
      <c r="E552" s="31">
        <v>29160</v>
      </c>
      <c r="F552" s="22" t="s">
        <v>2652</v>
      </c>
      <c r="G552" s="21" t="s">
        <v>4595</v>
      </c>
      <c r="H552" s="21" t="s">
        <v>4596</v>
      </c>
      <c r="I552" s="21" t="s">
        <v>1511</v>
      </c>
      <c r="J552" s="21">
        <f>SE(I552="","-",SE(DATA.VALOR(I552)&lt;HOJE(),"VENCIDO",SE(DATA.VALOR(I552)-HOJE()&lt;=30,"CRÍTICO (&lt;=30D)","REGULAR")))</f>
      </c>
      <c r="K552" s="22" t="s">
        <v>4597</v>
      </c>
      <c r="L552" s="22" t="s">
        <v>4598</v>
      </c>
      <c r="M552" s="22" t="s">
        <v>4599</v>
      </c>
      <c r="N552" s="22" t="s">
        <v>4600</v>
      </c>
    </row>
    <row r="553" ht="20" customHeight="1" spans="1:14" s="23" customFormat="1" x14ac:dyDescent="0.25">
      <c r="A553" s="24" t="s">
        <v>4601</v>
      </c>
      <c r="B553" s="24" t="s">
        <v>2688</v>
      </c>
      <c r="C553" s="25" t="s">
        <v>4318</v>
      </c>
      <c r="D553" s="32">
        <v>190</v>
      </c>
      <c r="E553" s="33">
        <v>646</v>
      </c>
      <c r="F553" s="25" t="s">
        <v>2796</v>
      </c>
      <c r="G553" s="24" t="s">
        <v>2797</v>
      </c>
      <c r="H553" s="24" t="s">
        <v>2798</v>
      </c>
      <c r="I553" s="24" t="s">
        <v>2582</v>
      </c>
      <c r="J553" s="24">
        <f>SE(I553="","-",SE(DATA.VALOR(I553)&lt;HOJE(),"VENCIDO",SE(DATA.VALOR(I553)-HOJE()&lt;=30,"CRÍTICO (&lt;=30D)","REGULAR")))</f>
      </c>
      <c r="K553" s="25" t="s">
        <v>2799</v>
      </c>
      <c r="L553" s="25" t="s">
        <v>2800</v>
      </c>
      <c r="M553" s="25" t="s">
        <v>63</v>
      </c>
      <c r="N553" s="25" t="s">
        <v>4602</v>
      </c>
    </row>
    <row r="554" ht="20" customHeight="1" spans="1:14" x14ac:dyDescent="0.25">
      <c r="A554" s="21" t="s">
        <v>4603</v>
      </c>
      <c r="B554" s="21" t="s">
        <v>2688</v>
      </c>
      <c r="C554" s="22" t="s">
        <v>4179</v>
      </c>
      <c r="D554" s="30">
        <v>218</v>
      </c>
      <c r="E554" s="31">
        <v>1286.2</v>
      </c>
      <c r="F554" s="22" t="s">
        <v>2796</v>
      </c>
      <c r="G554" s="21" t="s">
        <v>2797</v>
      </c>
      <c r="H554" s="21" t="s">
        <v>2798</v>
      </c>
      <c r="I554" s="21" t="s">
        <v>2582</v>
      </c>
      <c r="J554" s="21">
        <f>SE(I554="","-",SE(DATA.VALOR(I554)&lt;HOJE(),"VENCIDO",SE(DATA.VALOR(I554)-HOJE()&lt;=30,"CRÍTICO (&lt;=30D)","REGULAR")))</f>
      </c>
      <c r="K554" s="22" t="s">
        <v>2799</v>
      </c>
      <c r="L554" s="22" t="s">
        <v>2800</v>
      </c>
      <c r="M554" s="22" t="s">
        <v>63</v>
      </c>
      <c r="N554" s="22" t="s">
        <v>4602</v>
      </c>
    </row>
    <row r="555" ht="20" customHeight="1" spans="1:14" s="23" customFormat="1" x14ac:dyDescent="0.25">
      <c r="A555" s="24" t="s">
        <v>4604</v>
      </c>
      <c r="B555" s="24" t="s">
        <v>2715</v>
      </c>
      <c r="C555" s="25" t="s">
        <v>4284</v>
      </c>
      <c r="D555" s="32">
        <v>175</v>
      </c>
      <c r="E555" s="33">
        <v>656.25</v>
      </c>
      <c r="F555" s="25" t="s">
        <v>3230</v>
      </c>
      <c r="G555" s="24" t="s">
        <v>988</v>
      </c>
      <c r="H555" s="24" t="s">
        <v>4605</v>
      </c>
      <c r="I555" s="24" t="s">
        <v>4606</v>
      </c>
      <c r="J555" s="24">
        <f>SE(I555="","-",SE(DATA.VALOR(I555)&lt;HOJE(),"VENCIDO",SE(DATA.VALOR(I555)-HOJE()&lt;=30,"CRÍTICO (&lt;=30D)","REGULAR")))</f>
      </c>
      <c r="K555" s="25" t="s">
        <v>4607</v>
      </c>
      <c r="L555" s="25" t="s">
        <v>4499</v>
      </c>
      <c r="M555" s="25" t="s">
        <v>63</v>
      </c>
      <c r="N555" s="25" t="s">
        <v>4608</v>
      </c>
    </row>
    <row r="556" ht="20" customHeight="1" spans="1:14" x14ac:dyDescent="0.25">
      <c r="A556" s="21" t="s">
        <v>4609</v>
      </c>
      <c r="B556" s="21" t="s">
        <v>2715</v>
      </c>
      <c r="C556" s="22" t="s">
        <v>2935</v>
      </c>
      <c r="D556" s="30">
        <v>40</v>
      </c>
      <c r="E556" s="31">
        <v>216</v>
      </c>
      <c r="F556" s="22" t="s">
        <v>3230</v>
      </c>
      <c r="G556" s="21" t="s">
        <v>988</v>
      </c>
      <c r="H556" s="21" t="s">
        <v>4605</v>
      </c>
      <c r="I556" s="21" t="s">
        <v>4610</v>
      </c>
      <c r="J556" s="21">
        <f>SE(I556="","-",SE(DATA.VALOR(I556)&lt;HOJE(),"VENCIDO",SE(DATA.VALOR(I556)-HOJE()&lt;=30,"CRÍTICO (&lt;=30D)","REGULAR")))</f>
      </c>
      <c r="K556" s="22" t="s">
        <v>4607</v>
      </c>
      <c r="L556" s="22" t="s">
        <v>4499</v>
      </c>
      <c r="M556" s="22" t="s">
        <v>63</v>
      </c>
      <c r="N556" s="22" t="s">
        <v>4608</v>
      </c>
    </row>
    <row r="557" ht="20" customHeight="1" spans="1:14" s="23" customFormat="1" x14ac:dyDescent="0.25">
      <c r="A557" s="24" t="s">
        <v>4611</v>
      </c>
      <c r="B557" s="24" t="s">
        <v>2715</v>
      </c>
      <c r="C557" s="25" t="s">
        <v>4284</v>
      </c>
      <c r="D557" s="32">
        <v>40</v>
      </c>
      <c r="E557" s="33">
        <v>216</v>
      </c>
      <c r="F557" s="25" t="s">
        <v>3220</v>
      </c>
      <c r="G557" s="24" t="s">
        <v>2020</v>
      </c>
      <c r="H557" s="24" t="s">
        <v>4605</v>
      </c>
      <c r="I557" s="24" t="s">
        <v>4606</v>
      </c>
      <c r="J557" s="24">
        <f>SE(I557="","-",SE(DATA.VALOR(I557)&lt;HOJE(),"VENCIDO",SE(DATA.VALOR(I557)-HOJE()&lt;=30,"CRÍTICO (&lt;=30D)","REGULAR")))</f>
      </c>
      <c r="K557" s="25" t="s">
        <v>4612</v>
      </c>
      <c r="L557" s="25" t="s">
        <v>4613</v>
      </c>
      <c r="M557" s="25" t="s">
        <v>63</v>
      </c>
      <c r="N557" s="25" t="s">
        <v>4614</v>
      </c>
    </row>
    <row r="558" ht="20" customHeight="1" spans="1:14" x14ac:dyDescent="0.25">
      <c r="A558" s="21" t="s">
        <v>4615</v>
      </c>
      <c r="B558" s="21" t="s">
        <v>2715</v>
      </c>
      <c r="C558" s="22" t="s">
        <v>2935</v>
      </c>
      <c r="D558" s="30">
        <v>175</v>
      </c>
      <c r="E558" s="31">
        <v>656.25</v>
      </c>
      <c r="F558" s="22" t="s">
        <v>3220</v>
      </c>
      <c r="G558" s="21" t="s">
        <v>2020</v>
      </c>
      <c r="H558" s="21" t="s">
        <v>4605</v>
      </c>
      <c r="I558" s="21" t="s">
        <v>4606</v>
      </c>
      <c r="J558" s="21">
        <f>SE(I558="","-",SE(DATA.VALOR(I558)&lt;HOJE(),"VENCIDO",SE(DATA.VALOR(I558)-HOJE()&lt;=30,"CRÍTICO (&lt;=30D)","REGULAR")))</f>
      </c>
      <c r="K558" s="22" t="s">
        <v>4612</v>
      </c>
      <c r="L558" s="22" t="s">
        <v>4613</v>
      </c>
      <c r="M558" s="22" t="s">
        <v>63</v>
      </c>
      <c r="N558" s="22" t="s">
        <v>4614</v>
      </c>
    </row>
    <row r="559" ht="20" customHeight="1" spans="1:14" s="23" customFormat="1" x14ac:dyDescent="0.25">
      <c r="A559" s="24" t="s">
        <v>4616</v>
      </c>
      <c r="B559" s="24" t="s">
        <v>4114</v>
      </c>
      <c r="C559" s="25" t="s">
        <v>4338</v>
      </c>
      <c r="D559" s="32">
        <v>175</v>
      </c>
      <c r="E559" s="33">
        <v>647.5</v>
      </c>
      <c r="F559" s="25" t="s">
        <v>3149</v>
      </c>
      <c r="G559" s="24" t="s">
        <v>4617</v>
      </c>
      <c r="H559" s="24" t="s">
        <v>4618</v>
      </c>
      <c r="I559" s="24" t="s">
        <v>2585</v>
      </c>
      <c r="J559" s="24">
        <f>SE(I559="","-",SE(DATA.VALOR(I559)&lt;HOJE(),"VENCIDO",SE(DATA.VALOR(I559)-HOJE()&lt;=30,"CRÍTICO (&lt;=30D)","REGULAR")))</f>
      </c>
      <c r="K559" s="25" t="s">
        <v>4619</v>
      </c>
      <c r="L559" s="25" t="s">
        <v>4620</v>
      </c>
      <c r="M559" s="25" t="s">
        <v>63</v>
      </c>
      <c r="N559" s="25" t="s">
        <v>4621</v>
      </c>
    </row>
    <row r="560" ht="20" customHeight="1" spans="1:14" x14ac:dyDescent="0.25">
      <c r="A560" s="21" t="s">
        <v>4622</v>
      </c>
      <c r="B560" s="21" t="s">
        <v>1297</v>
      </c>
      <c r="C560" s="22" t="s">
        <v>4623</v>
      </c>
      <c r="D560" s="30">
        <v>300</v>
      </c>
      <c r="E560" s="31">
        <v>3288</v>
      </c>
      <c r="F560" s="22" t="s">
        <v>4624</v>
      </c>
      <c r="G560" s="21" t="s">
        <v>4625</v>
      </c>
      <c r="H560" s="21" t="s">
        <v>4626</v>
      </c>
      <c r="I560" s="21" t="s">
        <v>3368</v>
      </c>
      <c r="J560" s="21">
        <f>SE(I560="","-",SE(DATA.VALOR(I560)&lt;HOJE(),"VENCIDO",SE(DATA.VALOR(I560)-HOJE()&lt;=30,"CRÍTICO (&lt;=30D)","REGULAR")))</f>
      </c>
      <c r="K560" s="22" t="s">
        <v>4627</v>
      </c>
      <c r="L560" s="22" t="s">
        <v>4628</v>
      </c>
      <c r="M560" s="22" t="s">
        <v>4629</v>
      </c>
      <c r="N560" s="22" t="s">
        <v>4630</v>
      </c>
    </row>
    <row r="561" ht="20" customHeight="1" spans="1:14" s="23" customFormat="1" x14ac:dyDescent="0.25">
      <c r="A561" s="24" t="s">
        <v>4631</v>
      </c>
      <c r="B561" s="24" t="s">
        <v>1345</v>
      </c>
      <c r="C561" s="25" t="s">
        <v>4632</v>
      </c>
      <c r="D561" s="32">
        <v>360</v>
      </c>
      <c r="E561" s="33">
        <v>4132.8</v>
      </c>
      <c r="F561" s="25" t="s">
        <v>4633</v>
      </c>
      <c r="G561" s="24" t="s">
        <v>4634</v>
      </c>
      <c r="H561" s="24" t="s">
        <v>4635</v>
      </c>
      <c r="I561" s="24" t="s">
        <v>4636</v>
      </c>
      <c r="J561" s="24">
        <f>SE(I561="","-",SE(DATA.VALOR(I561)&lt;HOJE(),"VENCIDO",SE(DATA.VALOR(I561)-HOJE()&lt;=30,"CRÍTICO (&lt;=30D)","REGULAR")))</f>
      </c>
      <c r="K561" s="25" t="s">
        <v>4637</v>
      </c>
      <c r="L561" s="25" t="s">
        <v>4638</v>
      </c>
      <c r="M561" s="25" t="s">
        <v>4639</v>
      </c>
      <c r="N561" s="25" t="s">
        <v>4640</v>
      </c>
    </row>
    <row r="562" ht="20" customHeight="1" spans="1:14" x14ac:dyDescent="0.25">
      <c r="A562" s="21" t="s">
        <v>4641</v>
      </c>
      <c r="B562" s="21" t="s">
        <v>1297</v>
      </c>
      <c r="C562" s="22" t="s">
        <v>2940</v>
      </c>
      <c r="D562" s="30">
        <v>63</v>
      </c>
      <c r="E562" s="31">
        <v>189</v>
      </c>
      <c r="F562" s="22" t="s">
        <v>4642</v>
      </c>
      <c r="G562" s="21" t="s">
        <v>4497</v>
      </c>
      <c r="H562" s="21" t="s">
        <v>4588</v>
      </c>
      <c r="I562" s="21" t="s">
        <v>1397</v>
      </c>
      <c r="J562" s="21">
        <f>SE(I562="","-",SE(DATA.VALOR(I562)&lt;HOJE(),"VENCIDO",SE(DATA.VALOR(I562)-HOJE()&lt;=30,"CRÍTICO (&lt;=30D)","REGULAR")))</f>
      </c>
      <c r="K562" s="22" t="s">
        <v>4643</v>
      </c>
      <c r="L562" s="22" t="s">
        <v>4644</v>
      </c>
      <c r="M562" s="22" t="s">
        <v>4645</v>
      </c>
      <c r="N562" s="22" t="s">
        <v>4646</v>
      </c>
    </row>
    <row r="563" ht="20" customHeight="1" spans="1:14" s="23" customFormat="1" x14ac:dyDescent="0.25">
      <c r="A563" s="24" t="s">
        <v>4647</v>
      </c>
      <c r="B563" s="24" t="s">
        <v>1297</v>
      </c>
      <c r="C563" s="25" t="s">
        <v>4266</v>
      </c>
      <c r="D563" s="32">
        <v>92</v>
      </c>
      <c r="E563" s="33">
        <v>294.4</v>
      </c>
      <c r="F563" s="25" t="s">
        <v>4642</v>
      </c>
      <c r="G563" s="24" t="s">
        <v>4497</v>
      </c>
      <c r="H563" s="24" t="s">
        <v>4588</v>
      </c>
      <c r="I563" s="24" t="s">
        <v>1397</v>
      </c>
      <c r="J563" s="24">
        <f>SE(I563="","-",SE(DATA.VALOR(I563)&lt;HOJE(),"VENCIDO",SE(DATA.VALOR(I563)-HOJE()&lt;=30,"CRÍTICO (&lt;=30D)","REGULAR")))</f>
      </c>
      <c r="K563" s="25" t="s">
        <v>4643</v>
      </c>
      <c r="L563" s="25" t="s">
        <v>4644</v>
      </c>
      <c r="M563" s="25" t="s">
        <v>4645</v>
      </c>
      <c r="N563" s="25" t="s">
        <v>4646</v>
      </c>
    </row>
    <row r="564" ht="20" customHeight="1" spans="1:14" x14ac:dyDescent="0.25">
      <c r="A564" s="21" t="s">
        <v>4648</v>
      </c>
      <c r="B564" s="21" t="s">
        <v>415</v>
      </c>
      <c r="C564" s="22" t="s">
        <v>4318</v>
      </c>
      <c r="D564" s="30">
        <v>134</v>
      </c>
      <c r="E564" s="31">
        <v>455.59999999999997</v>
      </c>
      <c r="F564" s="22" t="s">
        <v>2796</v>
      </c>
      <c r="G564" s="21" t="s">
        <v>3564</v>
      </c>
      <c r="H564" s="21" t="s">
        <v>3565</v>
      </c>
      <c r="I564" s="21" t="s">
        <v>807</v>
      </c>
      <c r="J564" s="21">
        <f>SE(I564="","-",SE(DATA.VALOR(I564)&lt;HOJE(),"VENCIDO",SE(DATA.VALOR(I564)-HOJE()&lt;=30,"CRÍTICO (&lt;=30D)","REGULAR")))</f>
      </c>
      <c r="K564" s="22" t="s">
        <v>3566</v>
      </c>
      <c r="L564" s="22" t="s">
        <v>2800</v>
      </c>
      <c r="M564" s="22" t="s">
        <v>3567</v>
      </c>
      <c r="N564" s="22" t="s">
        <v>4649</v>
      </c>
    </row>
    <row r="565" ht="20" customHeight="1" spans="1:14" s="23" customFormat="1" x14ac:dyDescent="0.25">
      <c r="A565" s="24" t="s">
        <v>4650</v>
      </c>
      <c r="B565" s="24" t="s">
        <v>415</v>
      </c>
      <c r="C565" s="25" t="s">
        <v>4179</v>
      </c>
      <c r="D565" s="32">
        <v>227</v>
      </c>
      <c r="E565" s="33">
        <v>1339.3000000000002</v>
      </c>
      <c r="F565" s="25" t="s">
        <v>2796</v>
      </c>
      <c r="G565" s="24" t="s">
        <v>3564</v>
      </c>
      <c r="H565" s="24" t="s">
        <v>3565</v>
      </c>
      <c r="I565" s="24" t="s">
        <v>807</v>
      </c>
      <c r="J565" s="24">
        <f>SE(I565="","-",SE(DATA.VALOR(I565)&lt;HOJE(),"VENCIDO",SE(DATA.VALOR(I565)-HOJE()&lt;=30,"CRÍTICO (&lt;=30D)","REGULAR")))</f>
      </c>
      <c r="K565" s="25" t="s">
        <v>3566</v>
      </c>
      <c r="L565" s="25" t="s">
        <v>2800</v>
      </c>
      <c r="M565" s="25" t="s">
        <v>3567</v>
      </c>
      <c r="N565" s="25" t="s">
        <v>4649</v>
      </c>
    </row>
    <row r="566" ht="20" customHeight="1" spans="1:14" x14ac:dyDescent="0.25">
      <c r="A566" s="21" t="s">
        <v>4651</v>
      </c>
      <c r="B566" s="21" t="s">
        <v>1433</v>
      </c>
      <c r="C566" s="22" t="s">
        <v>4338</v>
      </c>
      <c r="D566" s="30">
        <v>75</v>
      </c>
      <c r="E566" s="31">
        <v>337.5</v>
      </c>
      <c r="F566" s="22" t="s">
        <v>3149</v>
      </c>
      <c r="G566" s="21" t="s">
        <v>4652</v>
      </c>
      <c r="H566" s="21" t="s">
        <v>4653</v>
      </c>
      <c r="I566" s="21" t="s">
        <v>1511</v>
      </c>
      <c r="J566" s="21">
        <f>SE(I566="","-",SE(DATA.VALOR(I566)&lt;HOJE(),"VENCIDO",SE(DATA.VALOR(I566)-HOJE()&lt;=30,"CRÍTICO (&lt;=30D)","REGULAR")))</f>
      </c>
      <c r="K566" s="22" t="s">
        <v>4654</v>
      </c>
      <c r="L566" s="22" t="s">
        <v>4655</v>
      </c>
      <c r="M566" s="22" t="s">
        <v>4656</v>
      </c>
      <c r="N566" s="22" t="s">
        <v>4657</v>
      </c>
    </row>
    <row r="567" ht="20" customHeight="1" spans="1:14" s="23" customFormat="1" x14ac:dyDescent="0.25">
      <c r="A567" s="24" t="s">
        <v>4658</v>
      </c>
      <c r="B567" s="24" t="s">
        <v>1433</v>
      </c>
      <c r="C567" s="25" t="s">
        <v>4659</v>
      </c>
      <c r="D567" s="32">
        <v>1000</v>
      </c>
      <c r="E567" s="33">
        <v>5030</v>
      </c>
      <c r="F567" s="25" t="s">
        <v>4660</v>
      </c>
      <c r="G567" s="24" t="s">
        <v>4661</v>
      </c>
      <c r="H567" s="24" t="s">
        <v>4662</v>
      </c>
      <c r="I567" s="24" t="s">
        <v>4663</v>
      </c>
      <c r="J567" s="24">
        <f>SE(I567="","-",SE(DATA.VALOR(I567)&lt;HOJE(),"VENCIDO",SE(DATA.VALOR(I567)-HOJE()&lt;=30,"CRÍTICO (&lt;=30D)","REGULAR")))</f>
      </c>
      <c r="K567" s="25" t="s">
        <v>4664</v>
      </c>
      <c r="L567" s="25" t="s">
        <v>4665</v>
      </c>
      <c r="M567" s="25" t="s">
        <v>4666</v>
      </c>
      <c r="N567" s="25" t="s">
        <v>4667</v>
      </c>
    </row>
    <row r="568" ht="20" customHeight="1" spans="1:14" x14ac:dyDescent="0.25">
      <c r="A568" s="21" t="s">
        <v>4668</v>
      </c>
      <c r="B568" s="21" t="s">
        <v>1433</v>
      </c>
      <c r="C568" s="22" t="s">
        <v>4669</v>
      </c>
      <c r="D568" s="30">
        <v>2000</v>
      </c>
      <c r="E568" s="31">
        <v>9800</v>
      </c>
      <c r="F568" s="22" t="s">
        <v>4660</v>
      </c>
      <c r="G568" s="21" t="s">
        <v>4661</v>
      </c>
      <c r="H568" s="21" t="s">
        <v>4670</v>
      </c>
      <c r="I568" s="21" t="s">
        <v>4671</v>
      </c>
      <c r="J568" s="21">
        <f>SE(I568="","-",SE(DATA.VALOR(I568)&lt;HOJE(),"VENCIDO",SE(DATA.VALOR(I568)-HOJE()&lt;=30,"CRÍTICO (&lt;=30D)","REGULAR")))</f>
      </c>
      <c r="K568" s="22" t="s">
        <v>4664</v>
      </c>
      <c r="L568" s="22" t="s">
        <v>4665</v>
      </c>
      <c r="M568" s="22" t="s">
        <v>4666</v>
      </c>
      <c r="N568" s="22" t="s">
        <v>4672</v>
      </c>
    </row>
    <row r="569" ht="20" customHeight="1" spans="1:14" s="23" customFormat="1" x14ac:dyDescent="0.25">
      <c r="A569" s="24" t="s">
        <v>4673</v>
      </c>
      <c r="B569" s="24" t="s">
        <v>1433</v>
      </c>
      <c r="C569" s="25" t="s">
        <v>4674</v>
      </c>
      <c r="D569" s="32">
        <v>500</v>
      </c>
      <c r="E569" s="33">
        <v>5990</v>
      </c>
      <c r="F569" s="25" t="s">
        <v>4660</v>
      </c>
      <c r="G569" s="24" t="s">
        <v>4661</v>
      </c>
      <c r="H569" s="24" t="s">
        <v>4675</v>
      </c>
      <c r="I569" s="24" t="s">
        <v>4676</v>
      </c>
      <c r="J569" s="24">
        <f>SE(I569="","-",SE(DATA.VALOR(I569)&lt;HOJE(),"VENCIDO",SE(DATA.VALOR(I569)-HOJE()&lt;=30,"CRÍTICO (&lt;=30D)","REGULAR")))</f>
      </c>
      <c r="K569" s="25" t="s">
        <v>4664</v>
      </c>
      <c r="L569" s="25" t="s">
        <v>4665</v>
      </c>
      <c r="M569" s="25" t="s">
        <v>4666</v>
      </c>
      <c r="N569" s="25" t="s">
        <v>4677</v>
      </c>
    </row>
    <row r="570" ht="20" customHeight="1" spans="1:14" x14ac:dyDescent="0.25">
      <c r="A570" s="21" t="s">
        <v>4678</v>
      </c>
      <c r="B570" s="21" t="s">
        <v>1261</v>
      </c>
      <c r="C570" s="22" t="s">
        <v>4679</v>
      </c>
      <c r="D570" s="30">
        <v>813</v>
      </c>
      <c r="E570" s="31">
        <v>27642</v>
      </c>
      <c r="F570" s="22" t="s">
        <v>4680</v>
      </c>
      <c r="G570" s="21" t="s">
        <v>4681</v>
      </c>
      <c r="H570" s="21" t="s">
        <v>4682</v>
      </c>
      <c r="I570" s="21" t="s">
        <v>1813</v>
      </c>
      <c r="J570" s="21">
        <f>SE(I570="","-",SE(DATA.VALOR(I570)&lt;HOJE(),"VENCIDO",SE(DATA.VALOR(I570)-HOJE()&lt;=30,"CRÍTICO (&lt;=30D)","REGULAR")))</f>
      </c>
      <c r="K570" s="22" t="s">
        <v>4683</v>
      </c>
      <c r="L570" s="22" t="s">
        <v>4684</v>
      </c>
      <c r="M570" s="22" t="s">
        <v>4685</v>
      </c>
      <c r="N570" s="22" t="s">
        <v>4686</v>
      </c>
    </row>
    <row r="571" ht="20" customHeight="1" spans="1:14" s="23" customFormat="1" x14ac:dyDescent="0.25">
      <c r="A571" s="24" t="s">
        <v>4687</v>
      </c>
      <c r="B571" s="24" t="s">
        <v>1261</v>
      </c>
      <c r="C571" s="25" t="s">
        <v>4688</v>
      </c>
      <c r="D571" s="32">
        <v>1920</v>
      </c>
      <c r="E571" s="33">
        <v>14356.36</v>
      </c>
      <c r="F571" s="25" t="s">
        <v>4680</v>
      </c>
      <c r="G571" s="24" t="s">
        <v>4681</v>
      </c>
      <c r="H571" s="24" t="s">
        <v>4689</v>
      </c>
      <c r="I571" s="24" t="s">
        <v>4690</v>
      </c>
      <c r="J571" s="24">
        <f>SE(I571="","-",SE(DATA.VALOR(I571)&lt;HOJE(),"VENCIDO",SE(DATA.VALOR(I571)-HOJE()&lt;=30,"CRÍTICO (&lt;=30D)","REGULAR")))</f>
      </c>
      <c r="K571" s="25" t="s">
        <v>4683</v>
      </c>
      <c r="L571" s="25" t="s">
        <v>4684</v>
      </c>
      <c r="M571" s="25" t="s">
        <v>4685</v>
      </c>
      <c r="N571" s="25" t="s">
        <v>4686</v>
      </c>
    </row>
    <row r="572" ht="20" customHeight="1" spans="1:14" x14ac:dyDescent="0.25">
      <c r="A572" s="21" t="s">
        <v>4691</v>
      </c>
      <c r="B572" s="21" t="s">
        <v>1261</v>
      </c>
      <c r="C572" s="22" t="s">
        <v>4692</v>
      </c>
      <c r="D572" s="30">
        <v>153</v>
      </c>
      <c r="E572" s="31">
        <v>3545.12</v>
      </c>
      <c r="F572" s="22" t="s">
        <v>4680</v>
      </c>
      <c r="G572" s="21" t="s">
        <v>4681</v>
      </c>
      <c r="H572" s="21" t="s">
        <v>4693</v>
      </c>
      <c r="I572" s="21" t="s">
        <v>1802</v>
      </c>
      <c r="J572" s="21">
        <f>SE(I572="","-",SE(DATA.VALOR(I572)&lt;HOJE(),"VENCIDO",SE(DATA.VALOR(I572)-HOJE()&lt;=30,"CRÍTICO (&lt;=30D)","REGULAR")))</f>
      </c>
      <c r="K572" s="22" t="s">
        <v>4683</v>
      </c>
      <c r="L572" s="22" t="s">
        <v>4684</v>
      </c>
      <c r="M572" s="22" t="s">
        <v>4685</v>
      </c>
      <c r="N572" s="22" t="s">
        <v>4686</v>
      </c>
    </row>
    <row r="573" ht="20" customHeight="1" spans="1:14" s="23" customFormat="1" x14ac:dyDescent="0.25">
      <c r="A573" s="24" t="s">
        <v>4694</v>
      </c>
      <c r="B573" s="24" t="s">
        <v>1459</v>
      </c>
      <c r="C573" s="25" t="s">
        <v>4246</v>
      </c>
      <c r="D573" s="32">
        <v>82</v>
      </c>
      <c r="E573" s="33">
        <v>0</v>
      </c>
      <c r="F573" s="25" t="s">
        <v>2643</v>
      </c>
      <c r="G573" s="24" t="s">
        <v>4247</v>
      </c>
      <c r="H573" s="24" t="s">
        <v>2996</v>
      </c>
      <c r="I573" s="24" t="s">
        <v>63</v>
      </c>
      <c r="J573" s="24" t="s">
        <v>20</v>
      </c>
      <c r="K573" s="25" t="s">
        <v>63</v>
      </c>
      <c r="L573" s="25" t="s">
        <v>63</v>
      </c>
      <c r="M573" s="25" t="s">
        <v>4695</v>
      </c>
      <c r="N573" s="25" t="s">
        <v>4696</v>
      </c>
    </row>
    <row r="574" ht="20" customHeight="1" spans="1:14" x14ac:dyDescent="0.25">
      <c r="A574" s="21" t="s">
        <v>4697</v>
      </c>
      <c r="B574" s="21" t="s">
        <v>1387</v>
      </c>
      <c r="C574" s="22" t="s">
        <v>2855</v>
      </c>
      <c r="D574" s="30">
        <v>22</v>
      </c>
      <c r="E574" s="31">
        <v>96.8</v>
      </c>
      <c r="F574" s="22" t="s">
        <v>4698</v>
      </c>
      <c r="G574" s="21" t="s">
        <v>4699</v>
      </c>
      <c r="H574" s="21" t="s">
        <v>4700</v>
      </c>
      <c r="I574" s="21" t="s">
        <v>4701</v>
      </c>
      <c r="J574" s="21">
        <f>SE(I574="","-",SE(DATA.VALOR(I574)&lt;HOJE(),"VENCIDO",SE(DATA.VALOR(I574)-HOJE()&lt;=30,"CRÍTICO (&lt;=30D)","REGULAR")))</f>
      </c>
      <c r="K574" s="22" t="s">
        <v>4702</v>
      </c>
      <c r="L574" s="22" t="s">
        <v>4703</v>
      </c>
      <c r="M574" s="22" t="s">
        <v>4704</v>
      </c>
      <c r="N574" s="22" t="s">
        <v>4705</v>
      </c>
    </row>
    <row r="575" ht="20" customHeight="1" spans="1:14" s="23" customFormat="1" x14ac:dyDescent="0.25">
      <c r="A575" s="24" t="s">
        <v>4706</v>
      </c>
      <c r="B575" s="24" t="s">
        <v>1387</v>
      </c>
      <c r="C575" s="25" t="s">
        <v>4266</v>
      </c>
      <c r="D575" s="32">
        <v>98</v>
      </c>
      <c r="E575" s="33">
        <v>313.6</v>
      </c>
      <c r="F575" s="25" t="s">
        <v>4698</v>
      </c>
      <c r="G575" s="24" t="s">
        <v>4699</v>
      </c>
      <c r="H575" s="24" t="s">
        <v>4700</v>
      </c>
      <c r="I575" s="24" t="s">
        <v>4701</v>
      </c>
      <c r="J575" s="24">
        <f>SE(I575="","-",SE(DATA.VALOR(I575)&lt;HOJE(),"VENCIDO",SE(DATA.VALOR(I575)-HOJE()&lt;=30,"CRÍTICO (&lt;=30D)","REGULAR")))</f>
      </c>
      <c r="K575" s="25" t="s">
        <v>4702</v>
      </c>
      <c r="L575" s="25" t="s">
        <v>4703</v>
      </c>
      <c r="M575" s="25" t="s">
        <v>4704</v>
      </c>
      <c r="N575" s="25" t="s">
        <v>4705</v>
      </c>
    </row>
    <row r="576" ht="20" customHeight="1" spans="1:14" x14ac:dyDescent="0.25">
      <c r="A576" s="21" t="s">
        <v>4707</v>
      </c>
      <c r="B576" s="21" t="s">
        <v>1444</v>
      </c>
      <c r="C576" s="22" t="s">
        <v>4708</v>
      </c>
      <c r="D576" s="30">
        <v>101</v>
      </c>
      <c r="E576" s="31">
        <v>3322.9</v>
      </c>
      <c r="F576" s="22" t="s">
        <v>4709</v>
      </c>
      <c r="G576" s="21" t="s">
        <v>4710</v>
      </c>
      <c r="H576" s="21" t="s">
        <v>4711</v>
      </c>
      <c r="I576" s="21" t="s">
        <v>2240</v>
      </c>
      <c r="J576" s="21">
        <f>SE(I576="","-",SE(DATA.VALOR(I576)&lt;HOJE(),"VENCIDO",SE(DATA.VALOR(I576)-HOJE()&lt;=30,"CRÍTICO (&lt;=30D)","REGULAR")))</f>
      </c>
      <c r="K576" s="22" t="s">
        <v>4712</v>
      </c>
      <c r="L576" s="22" t="s">
        <v>4713</v>
      </c>
      <c r="M576" s="22" t="s">
        <v>4714</v>
      </c>
      <c r="N576" s="22" t="s">
        <v>4715</v>
      </c>
    </row>
    <row r="577" ht="20" customHeight="1" spans="1:14" s="23" customFormat="1" x14ac:dyDescent="0.25">
      <c r="A577" s="24" t="s">
        <v>4716</v>
      </c>
      <c r="B577" s="24" t="s">
        <v>1444</v>
      </c>
      <c r="C577" s="25" t="s">
        <v>4717</v>
      </c>
      <c r="D577" s="32">
        <v>5231</v>
      </c>
      <c r="E577" s="33">
        <v>5231.52</v>
      </c>
      <c r="F577" s="25" t="s">
        <v>4709</v>
      </c>
      <c r="G577" s="24" t="s">
        <v>4710</v>
      </c>
      <c r="H577" s="24" t="s">
        <v>4711</v>
      </c>
      <c r="I577" s="24" t="s">
        <v>4718</v>
      </c>
      <c r="J577" s="24">
        <f>SE(I577="","-",SE(DATA.VALOR(I577)&lt;HOJE(),"VENCIDO",SE(DATA.VALOR(I577)-HOJE()&lt;=30,"CRÍTICO (&lt;=30D)","REGULAR")))</f>
      </c>
      <c r="K577" s="25" t="s">
        <v>4712</v>
      </c>
      <c r="L577" s="25" t="s">
        <v>4713</v>
      </c>
      <c r="M577" s="25" t="s">
        <v>4714</v>
      </c>
      <c r="N577" s="25" t="s">
        <v>4719</v>
      </c>
    </row>
    <row r="578" ht="20" customHeight="1" spans="1:14" x14ac:dyDescent="0.25">
      <c r="A578" s="21" t="s">
        <v>4720</v>
      </c>
      <c r="B578" s="21" t="s">
        <v>1251</v>
      </c>
      <c r="C578" s="22" t="s">
        <v>3883</v>
      </c>
      <c r="D578" s="30">
        <v>90</v>
      </c>
      <c r="E578" s="31">
        <v>540</v>
      </c>
      <c r="F578" s="22" t="s">
        <v>2643</v>
      </c>
      <c r="G578" s="21" t="s">
        <v>4721</v>
      </c>
      <c r="H578" s="21" t="s">
        <v>4722</v>
      </c>
      <c r="I578" s="21" t="s">
        <v>1196</v>
      </c>
      <c r="J578" s="21">
        <f>SE(I578="","-",SE(DATA.VALOR(I578)&lt;HOJE(),"VENCIDO",SE(DATA.VALOR(I578)-HOJE()&lt;=30,"CRÍTICO (&lt;=30D)","REGULAR")))</f>
      </c>
      <c r="K578" s="22" t="s">
        <v>4723</v>
      </c>
      <c r="L578" s="22" t="s">
        <v>4724</v>
      </c>
      <c r="M578" s="22" t="s">
        <v>4725</v>
      </c>
      <c r="N578" s="22" t="s">
        <v>4726</v>
      </c>
    </row>
    <row r="579" ht="20" customHeight="1" spans="1:14" s="23" customFormat="1" x14ac:dyDescent="0.25">
      <c r="A579" s="24" t="s">
        <v>4727</v>
      </c>
      <c r="B579" s="24" t="s">
        <v>1251</v>
      </c>
      <c r="C579" s="25" t="s">
        <v>3890</v>
      </c>
      <c r="D579" s="32">
        <v>250</v>
      </c>
      <c r="E579" s="33">
        <v>1125</v>
      </c>
      <c r="F579" s="25" t="s">
        <v>2643</v>
      </c>
      <c r="G579" s="24" t="s">
        <v>4721</v>
      </c>
      <c r="H579" s="24" t="s">
        <v>4728</v>
      </c>
      <c r="I579" s="24" t="s">
        <v>1196</v>
      </c>
      <c r="J579" s="24">
        <f>SE(I579="","-",SE(DATA.VALOR(I579)&lt;HOJE(),"VENCIDO",SE(DATA.VALOR(I579)-HOJE()&lt;=30,"CRÍTICO (&lt;=30D)","REGULAR")))</f>
      </c>
      <c r="K579" s="25" t="s">
        <v>4723</v>
      </c>
      <c r="L579" s="25" t="s">
        <v>4724</v>
      </c>
      <c r="M579" s="25" t="s">
        <v>4725</v>
      </c>
      <c r="N579" s="25" t="s">
        <v>4726</v>
      </c>
    </row>
    <row r="580" ht="20" customHeight="1" spans="1:14" x14ac:dyDescent="0.25">
      <c r="A580" s="21" t="s">
        <v>4729</v>
      </c>
      <c r="B580" s="21" t="s">
        <v>1444</v>
      </c>
      <c r="C580" s="22" t="s">
        <v>4276</v>
      </c>
      <c r="D580" s="30">
        <v>152</v>
      </c>
      <c r="E580" s="31">
        <v>608</v>
      </c>
      <c r="F580" s="22" t="s">
        <v>4730</v>
      </c>
      <c r="G580" s="21" t="s">
        <v>2810</v>
      </c>
      <c r="H580" s="21" t="s">
        <v>4731</v>
      </c>
      <c r="I580" s="21" t="s">
        <v>1524</v>
      </c>
      <c r="J580" s="21">
        <f>SE(I580="","-",SE(DATA.VALOR(I580)&lt;HOJE(),"VENCIDO",SE(DATA.VALOR(I580)-HOJE()&lt;=30,"CRÍTICO (&lt;=30D)","REGULAR")))</f>
      </c>
      <c r="K580" s="22" t="s">
        <v>4732</v>
      </c>
      <c r="L580" s="22" t="s">
        <v>4733</v>
      </c>
      <c r="M580" s="22" t="s">
        <v>4734</v>
      </c>
      <c r="N580" s="22" t="s">
        <v>4735</v>
      </c>
    </row>
    <row r="581" ht="20" customHeight="1" spans="1:14" s="23" customFormat="1" x14ac:dyDescent="0.25">
      <c r="A581" s="24" t="s">
        <v>4736</v>
      </c>
      <c r="B581" s="24" t="s">
        <v>1444</v>
      </c>
      <c r="C581" s="25" t="s">
        <v>4322</v>
      </c>
      <c r="D581" s="32">
        <v>166</v>
      </c>
      <c r="E581" s="33">
        <v>647.4</v>
      </c>
      <c r="F581" s="25" t="s">
        <v>4730</v>
      </c>
      <c r="G581" s="24" t="s">
        <v>2810</v>
      </c>
      <c r="H581" s="24" t="s">
        <v>4731</v>
      </c>
      <c r="I581" s="24" t="s">
        <v>1524</v>
      </c>
      <c r="J581" s="24">
        <f>SE(I581="","-",SE(DATA.VALOR(I581)&lt;HOJE(),"VENCIDO",SE(DATA.VALOR(I581)-HOJE()&lt;=30,"CRÍTICO (&lt;=30D)","REGULAR")))</f>
      </c>
      <c r="K581" s="25" t="s">
        <v>4732</v>
      </c>
      <c r="L581" s="25" t="s">
        <v>4733</v>
      </c>
      <c r="M581" s="25" t="s">
        <v>4734</v>
      </c>
      <c r="N581" s="25" t="s">
        <v>4735</v>
      </c>
    </row>
    <row r="582" ht="20" customHeight="1" spans="1:14" x14ac:dyDescent="0.25">
      <c r="A582" s="21" t="s">
        <v>4737</v>
      </c>
      <c r="B582" s="21" t="s">
        <v>1444</v>
      </c>
      <c r="C582" s="22" t="s">
        <v>2855</v>
      </c>
      <c r="D582" s="30">
        <v>21</v>
      </c>
      <c r="E582" s="31">
        <v>92.4</v>
      </c>
      <c r="F582" s="22" t="s">
        <v>4730</v>
      </c>
      <c r="G582" s="21" t="s">
        <v>2810</v>
      </c>
      <c r="H582" s="21" t="s">
        <v>4731</v>
      </c>
      <c r="I582" s="21" t="s">
        <v>1524</v>
      </c>
      <c r="J582" s="21">
        <f>SE(I582="","-",SE(DATA.VALOR(I582)&lt;HOJE(),"VENCIDO",SE(DATA.VALOR(I582)-HOJE()&lt;=30,"CRÍTICO (&lt;=30D)","REGULAR")))</f>
      </c>
      <c r="K582" s="22" t="s">
        <v>4732</v>
      </c>
      <c r="L582" s="22" t="s">
        <v>4733</v>
      </c>
      <c r="M582" s="22" t="s">
        <v>4734</v>
      </c>
      <c r="N582" s="22" t="s">
        <v>4735</v>
      </c>
    </row>
    <row r="583" ht="20" customHeight="1" spans="1:14" s="23" customFormat="1" x14ac:dyDescent="0.25">
      <c r="A583" s="24" t="s">
        <v>4738</v>
      </c>
      <c r="B583" s="24" t="s">
        <v>1444</v>
      </c>
      <c r="C583" s="25" t="s">
        <v>3883</v>
      </c>
      <c r="D583" s="32">
        <v>90</v>
      </c>
      <c r="E583" s="33">
        <v>540</v>
      </c>
      <c r="F583" s="25" t="s">
        <v>4730</v>
      </c>
      <c r="G583" s="24" t="s">
        <v>2810</v>
      </c>
      <c r="H583" s="24" t="s">
        <v>4731</v>
      </c>
      <c r="I583" s="24" t="s">
        <v>1524</v>
      </c>
      <c r="J583" s="24">
        <f>SE(I583="","-",SE(DATA.VALOR(I583)&lt;HOJE(),"VENCIDO",SE(DATA.VALOR(I583)-HOJE()&lt;=30,"CRÍTICO (&lt;=30D)","REGULAR")))</f>
      </c>
      <c r="K583" s="25" t="s">
        <v>4732</v>
      </c>
      <c r="L583" s="25" t="s">
        <v>4733</v>
      </c>
      <c r="M583" s="25" t="s">
        <v>4734</v>
      </c>
      <c r="N583" s="25" t="s">
        <v>4735</v>
      </c>
    </row>
    <row r="584" ht="20" customHeight="1" spans="1:14" x14ac:dyDescent="0.25">
      <c r="A584" s="21" t="s">
        <v>4739</v>
      </c>
      <c r="B584" s="21" t="s">
        <v>1444</v>
      </c>
      <c r="C584" s="22" t="s">
        <v>4327</v>
      </c>
      <c r="D584" s="30">
        <v>33</v>
      </c>
      <c r="E584" s="31">
        <v>180.18</v>
      </c>
      <c r="F584" s="22" t="s">
        <v>4730</v>
      </c>
      <c r="G584" s="21" t="s">
        <v>2810</v>
      </c>
      <c r="H584" s="21" t="s">
        <v>4731</v>
      </c>
      <c r="I584" s="21" t="s">
        <v>1524</v>
      </c>
      <c r="J584" s="21">
        <f>SE(I584="","-",SE(DATA.VALOR(I584)&lt;HOJE(),"VENCIDO",SE(DATA.VALOR(I584)-HOJE()&lt;=30,"CRÍTICO (&lt;=30D)","REGULAR")))</f>
      </c>
      <c r="K584" s="22" t="s">
        <v>4732</v>
      </c>
      <c r="L584" s="22" t="s">
        <v>4733</v>
      </c>
      <c r="M584" s="22" t="s">
        <v>4734</v>
      </c>
      <c r="N584" s="22" t="s">
        <v>4735</v>
      </c>
    </row>
    <row r="585" ht="20" customHeight="1" spans="1:14" s="23" customFormat="1" x14ac:dyDescent="0.25">
      <c r="A585" s="24" t="s">
        <v>4740</v>
      </c>
      <c r="B585" s="24" t="s">
        <v>1444</v>
      </c>
      <c r="C585" s="25" t="s">
        <v>4362</v>
      </c>
      <c r="D585" s="32">
        <v>218</v>
      </c>
      <c r="E585" s="33">
        <v>1308</v>
      </c>
      <c r="F585" s="25" t="s">
        <v>4730</v>
      </c>
      <c r="G585" s="24" t="s">
        <v>2810</v>
      </c>
      <c r="H585" s="24" t="s">
        <v>4731</v>
      </c>
      <c r="I585" s="24" t="s">
        <v>1524</v>
      </c>
      <c r="J585" s="24">
        <f>SE(I585="","-",SE(DATA.VALOR(I585)&lt;HOJE(),"VENCIDO",SE(DATA.VALOR(I585)-HOJE()&lt;=30,"CRÍTICO (&lt;=30D)","REGULAR")))</f>
      </c>
      <c r="K585" s="25" t="s">
        <v>4732</v>
      </c>
      <c r="L585" s="25" t="s">
        <v>4733</v>
      </c>
      <c r="M585" s="25" t="s">
        <v>4734</v>
      </c>
      <c r="N585" s="25" t="s">
        <v>4735</v>
      </c>
    </row>
    <row r="586" ht="20" customHeight="1" spans="1:14" x14ac:dyDescent="0.25">
      <c r="A586" s="21" t="s">
        <v>4741</v>
      </c>
      <c r="B586" s="21" t="s">
        <v>1444</v>
      </c>
      <c r="C586" s="22" t="s">
        <v>2940</v>
      </c>
      <c r="D586" s="30">
        <v>60</v>
      </c>
      <c r="E586" s="31">
        <v>180</v>
      </c>
      <c r="F586" s="22" t="s">
        <v>4730</v>
      </c>
      <c r="G586" s="21" t="s">
        <v>2810</v>
      </c>
      <c r="H586" s="21" t="s">
        <v>4731</v>
      </c>
      <c r="I586" s="21" t="s">
        <v>1524</v>
      </c>
      <c r="J586" s="21">
        <f>SE(I586="","-",SE(DATA.VALOR(I586)&lt;HOJE(),"VENCIDO",SE(DATA.VALOR(I586)-HOJE()&lt;=30,"CRÍTICO (&lt;=30D)","REGULAR")))</f>
      </c>
      <c r="K586" s="22" t="s">
        <v>4732</v>
      </c>
      <c r="L586" s="22" t="s">
        <v>4733</v>
      </c>
      <c r="M586" s="22" t="s">
        <v>4734</v>
      </c>
      <c r="N586" s="22" t="s">
        <v>4735</v>
      </c>
    </row>
    <row r="587" ht="20" customHeight="1" spans="1:14" s="23" customFormat="1" x14ac:dyDescent="0.25">
      <c r="A587" s="24" t="s">
        <v>4742</v>
      </c>
      <c r="B587" s="24" t="s">
        <v>1444</v>
      </c>
      <c r="C587" s="25" t="s">
        <v>4274</v>
      </c>
      <c r="D587" s="32">
        <v>125</v>
      </c>
      <c r="E587" s="33">
        <v>525</v>
      </c>
      <c r="F587" s="25" t="s">
        <v>4730</v>
      </c>
      <c r="G587" s="24" t="s">
        <v>2810</v>
      </c>
      <c r="H587" s="24" t="s">
        <v>4731</v>
      </c>
      <c r="I587" s="24" t="s">
        <v>1524</v>
      </c>
      <c r="J587" s="24">
        <f>SE(I587="","-",SE(DATA.VALOR(I587)&lt;HOJE(),"VENCIDO",SE(DATA.VALOR(I587)-HOJE()&lt;=30,"CRÍTICO (&lt;=30D)","REGULAR")))</f>
      </c>
      <c r="K587" s="25" t="s">
        <v>4732</v>
      </c>
      <c r="L587" s="25" t="s">
        <v>4733</v>
      </c>
      <c r="M587" s="25" t="s">
        <v>4734</v>
      </c>
      <c r="N587" s="25" t="s">
        <v>4735</v>
      </c>
    </row>
    <row r="588" ht="20" customHeight="1" spans="1:14" x14ac:dyDescent="0.25">
      <c r="A588" s="21" t="s">
        <v>4743</v>
      </c>
      <c r="B588" s="21" t="s">
        <v>1444</v>
      </c>
      <c r="C588" s="22" t="s">
        <v>4338</v>
      </c>
      <c r="D588" s="30">
        <v>75</v>
      </c>
      <c r="E588" s="31">
        <v>337.5</v>
      </c>
      <c r="F588" s="22" t="s">
        <v>4730</v>
      </c>
      <c r="G588" s="21" t="s">
        <v>2810</v>
      </c>
      <c r="H588" s="21" t="s">
        <v>4731</v>
      </c>
      <c r="I588" s="21" t="s">
        <v>1524</v>
      </c>
      <c r="J588" s="21">
        <f>SE(I588="","-",SE(DATA.VALOR(I588)&lt;HOJE(),"VENCIDO",SE(DATA.VALOR(I588)-HOJE()&lt;=30,"CRÍTICO (&lt;=30D)","REGULAR")))</f>
      </c>
      <c r="K588" s="22" t="s">
        <v>4732</v>
      </c>
      <c r="L588" s="22" t="s">
        <v>4733</v>
      </c>
      <c r="M588" s="22" t="s">
        <v>4734</v>
      </c>
      <c r="N588" s="22" t="s">
        <v>4735</v>
      </c>
    </row>
    <row r="589" ht="20" customHeight="1" spans="1:14" s="23" customFormat="1" x14ac:dyDescent="0.25">
      <c r="A589" s="24" t="s">
        <v>4744</v>
      </c>
      <c r="B589" s="24" t="s">
        <v>1444</v>
      </c>
      <c r="C589" s="25" t="s">
        <v>4305</v>
      </c>
      <c r="D589" s="32">
        <v>93</v>
      </c>
      <c r="E589" s="33">
        <v>316.2</v>
      </c>
      <c r="F589" s="25" t="s">
        <v>4730</v>
      </c>
      <c r="G589" s="24" t="s">
        <v>2810</v>
      </c>
      <c r="H589" s="24" t="s">
        <v>4731</v>
      </c>
      <c r="I589" s="24" t="s">
        <v>1524</v>
      </c>
      <c r="J589" s="24">
        <f>SE(I589="","-",SE(DATA.VALOR(I589)&lt;HOJE(),"VENCIDO",SE(DATA.VALOR(I589)-HOJE()&lt;=30,"CRÍTICO (&lt;=30D)","REGULAR")))</f>
      </c>
      <c r="K589" s="25" t="s">
        <v>4732</v>
      </c>
      <c r="L589" s="25" t="s">
        <v>4733</v>
      </c>
      <c r="M589" s="25" t="s">
        <v>4734</v>
      </c>
      <c r="N589" s="25" t="s">
        <v>4735</v>
      </c>
    </row>
    <row r="590" ht="20" customHeight="1" spans="1:14" x14ac:dyDescent="0.25">
      <c r="A590" s="21" t="s">
        <v>4745</v>
      </c>
      <c r="B590" s="21" t="s">
        <v>1444</v>
      </c>
      <c r="C590" s="22" t="s">
        <v>4369</v>
      </c>
      <c r="D590" s="30">
        <v>156</v>
      </c>
      <c r="E590" s="31">
        <v>483.6</v>
      </c>
      <c r="F590" s="22" t="s">
        <v>4730</v>
      </c>
      <c r="G590" s="21" t="s">
        <v>2810</v>
      </c>
      <c r="H590" s="21" t="s">
        <v>4731</v>
      </c>
      <c r="I590" s="21" t="s">
        <v>1524</v>
      </c>
      <c r="J590" s="21">
        <f>SE(I590="","-",SE(DATA.VALOR(I590)&lt;HOJE(),"VENCIDO",SE(DATA.VALOR(I590)-HOJE()&lt;=30,"CRÍTICO (&lt;=30D)","REGULAR")))</f>
      </c>
      <c r="K590" s="22" t="s">
        <v>4732</v>
      </c>
      <c r="L590" s="22" t="s">
        <v>4733</v>
      </c>
      <c r="M590" s="22" t="s">
        <v>4734</v>
      </c>
      <c r="N590" s="22" t="s">
        <v>4735</v>
      </c>
    </row>
    <row r="591" ht="20" customHeight="1" spans="1:14" s="23" customFormat="1" x14ac:dyDescent="0.25">
      <c r="A591" s="24" t="s">
        <v>4746</v>
      </c>
      <c r="B591" s="24" t="s">
        <v>1444</v>
      </c>
      <c r="C591" s="25" t="s">
        <v>4318</v>
      </c>
      <c r="D591" s="32">
        <v>162</v>
      </c>
      <c r="E591" s="33">
        <v>680.4</v>
      </c>
      <c r="F591" s="25" t="s">
        <v>4730</v>
      </c>
      <c r="G591" s="24" t="s">
        <v>2810</v>
      </c>
      <c r="H591" s="24" t="s">
        <v>4731</v>
      </c>
      <c r="I591" s="24" t="s">
        <v>1524</v>
      </c>
      <c r="J591" s="24">
        <f>SE(I591="","-",SE(DATA.VALOR(I591)&lt;HOJE(),"VENCIDO",SE(DATA.VALOR(I591)-HOJE()&lt;=30,"CRÍTICO (&lt;=30D)","REGULAR")))</f>
      </c>
      <c r="K591" s="25" t="s">
        <v>4732</v>
      </c>
      <c r="L591" s="25" t="s">
        <v>4733</v>
      </c>
      <c r="M591" s="25" t="s">
        <v>4734</v>
      </c>
      <c r="N591" s="25" t="s">
        <v>4735</v>
      </c>
    </row>
    <row r="592" ht="20" customHeight="1" spans="1:14" x14ac:dyDescent="0.25">
      <c r="A592" s="21" t="s">
        <v>4747</v>
      </c>
      <c r="B592" s="21" t="s">
        <v>1444</v>
      </c>
      <c r="C592" s="22" t="s">
        <v>4179</v>
      </c>
      <c r="D592" s="30">
        <v>177</v>
      </c>
      <c r="E592" s="31">
        <v>838.98</v>
      </c>
      <c r="F592" s="22" t="s">
        <v>4730</v>
      </c>
      <c r="G592" s="21" t="s">
        <v>2810</v>
      </c>
      <c r="H592" s="21" t="s">
        <v>4731</v>
      </c>
      <c r="I592" s="21" t="s">
        <v>1524</v>
      </c>
      <c r="J592" s="21">
        <f>SE(I592="","-",SE(DATA.VALOR(I592)&lt;HOJE(),"VENCIDO",SE(DATA.VALOR(I592)-HOJE()&lt;=30,"CRÍTICO (&lt;=30D)","REGULAR")))</f>
      </c>
      <c r="K592" s="22" t="s">
        <v>4732</v>
      </c>
      <c r="L592" s="22" t="s">
        <v>4733</v>
      </c>
      <c r="M592" s="22" t="s">
        <v>4734</v>
      </c>
      <c r="N592" s="22" t="s">
        <v>4735</v>
      </c>
    </row>
    <row r="593" ht="20" customHeight="1" spans="1:14" s="23" customFormat="1" x14ac:dyDescent="0.25">
      <c r="A593" s="24" t="s">
        <v>4748</v>
      </c>
      <c r="B593" s="24" t="s">
        <v>1397</v>
      </c>
      <c r="C593" s="25" t="s">
        <v>4749</v>
      </c>
      <c r="D593" s="32">
        <v>830</v>
      </c>
      <c r="E593" s="33">
        <v>5793.4</v>
      </c>
      <c r="F593" s="25" t="s">
        <v>4750</v>
      </c>
      <c r="G593" s="24" t="s">
        <v>4751</v>
      </c>
      <c r="H593" s="24" t="s">
        <v>4752</v>
      </c>
      <c r="I593" s="24" t="s">
        <v>2115</v>
      </c>
      <c r="J593" s="24">
        <f>SE(I593="","-",SE(DATA.VALOR(I593)&lt;HOJE(),"VENCIDO",SE(DATA.VALOR(I593)-HOJE()&lt;=30,"CRÍTICO (&lt;=30D)","REGULAR")))</f>
      </c>
      <c r="K593" s="25" t="s">
        <v>4753</v>
      </c>
      <c r="L593" s="25" t="s">
        <v>4754</v>
      </c>
      <c r="M593" s="25" t="s">
        <v>4755</v>
      </c>
      <c r="N593" s="25" t="s">
        <v>4756</v>
      </c>
    </row>
    <row r="594" ht="20" customHeight="1" spans="1:14" x14ac:dyDescent="0.25">
      <c r="A594" s="21" t="s">
        <v>4757</v>
      </c>
      <c r="B594" s="21" t="s">
        <v>1498</v>
      </c>
      <c r="C594" s="22" t="s">
        <v>4338</v>
      </c>
      <c r="D594" s="30">
        <v>75</v>
      </c>
      <c r="E594" s="31">
        <v>337.5</v>
      </c>
      <c r="F594" s="22" t="s">
        <v>4758</v>
      </c>
      <c r="G594" s="21" t="s">
        <v>4759</v>
      </c>
      <c r="H594" s="21" t="s">
        <v>4760</v>
      </c>
      <c r="I594" s="21" t="s">
        <v>1563</v>
      </c>
      <c r="J594" s="21">
        <f>SE(I594="","-",SE(DATA.VALOR(I594)&lt;HOJE(),"VENCIDO",SE(DATA.VALOR(I594)-HOJE()&lt;=30,"CRÍTICO (&lt;=30D)","REGULAR")))</f>
      </c>
      <c r="K594" s="22" t="s">
        <v>4761</v>
      </c>
      <c r="L594" s="22" t="s">
        <v>4762</v>
      </c>
      <c r="M594" s="22" t="s">
        <v>4763</v>
      </c>
      <c r="N594" s="22" t="s">
        <v>4764</v>
      </c>
    </row>
    <row r="595" ht="20" customHeight="1" spans="1:14" s="23" customFormat="1" x14ac:dyDescent="0.25">
      <c r="A595" s="24" t="s">
        <v>4765</v>
      </c>
      <c r="B595" s="24" t="s">
        <v>1524</v>
      </c>
      <c r="C595" s="25" t="s">
        <v>4338</v>
      </c>
      <c r="D595" s="32">
        <v>75</v>
      </c>
      <c r="E595" s="33">
        <v>337.5</v>
      </c>
      <c r="F595" s="25" t="s">
        <v>4766</v>
      </c>
      <c r="G595" s="24" t="s">
        <v>4767</v>
      </c>
      <c r="H595" s="24" t="s">
        <v>4768</v>
      </c>
      <c r="I595" s="24" t="s">
        <v>1613</v>
      </c>
      <c r="J595" s="24">
        <f>SE(I595="","-",SE(DATA.VALOR(I595)&lt;HOJE(),"VENCIDO",SE(DATA.VALOR(I595)-HOJE()&lt;=30,"CRÍTICO (&lt;=30D)","REGULAR")))</f>
      </c>
      <c r="K595" s="25" t="s">
        <v>4769</v>
      </c>
      <c r="L595" s="25" t="s">
        <v>4770</v>
      </c>
      <c r="M595" s="25" t="s">
        <v>4771</v>
      </c>
      <c r="N595" s="25" t="s">
        <v>4772</v>
      </c>
    </row>
    <row r="596" ht="20" customHeight="1" spans="1:14" x14ac:dyDescent="0.25">
      <c r="A596" s="21" t="s">
        <v>4773</v>
      </c>
      <c r="B596" s="21" t="s">
        <v>1498</v>
      </c>
      <c r="C596" s="22" t="s">
        <v>4338</v>
      </c>
      <c r="D596" s="30">
        <v>75</v>
      </c>
      <c r="E596" s="31">
        <v>337.5</v>
      </c>
      <c r="F596" s="22" t="s">
        <v>4774</v>
      </c>
      <c r="G596" s="21" t="s">
        <v>2668</v>
      </c>
      <c r="H596" s="21" t="s">
        <v>4775</v>
      </c>
      <c r="I596" s="21" t="s">
        <v>1563</v>
      </c>
      <c r="J596" s="21">
        <f>SE(I596="","-",SE(DATA.VALOR(I596)&lt;HOJE(),"VENCIDO",SE(DATA.VALOR(I596)-HOJE()&lt;=30,"CRÍTICO (&lt;=30D)","REGULAR")))</f>
      </c>
      <c r="K596" s="22" t="s">
        <v>4776</v>
      </c>
      <c r="L596" s="22" t="s">
        <v>4777</v>
      </c>
      <c r="M596" s="22" t="s">
        <v>4778</v>
      </c>
      <c r="N596" s="22" t="s">
        <v>4779</v>
      </c>
    </row>
    <row r="597" ht="20" customHeight="1" spans="1:14" s="23" customFormat="1" x14ac:dyDescent="0.25">
      <c r="A597" s="24" t="s">
        <v>4780</v>
      </c>
      <c r="B597" s="24" t="s">
        <v>1498</v>
      </c>
      <c r="C597" s="25" t="s">
        <v>4338</v>
      </c>
      <c r="D597" s="32">
        <v>75</v>
      </c>
      <c r="E597" s="33">
        <v>337.5</v>
      </c>
      <c r="F597" s="25" t="s">
        <v>4781</v>
      </c>
      <c r="G597" s="24" t="s">
        <v>4782</v>
      </c>
      <c r="H597" s="24" t="s">
        <v>4775</v>
      </c>
      <c r="I597" s="24" t="s">
        <v>1563</v>
      </c>
      <c r="J597" s="24">
        <f>SE(I597="","-",SE(DATA.VALOR(I597)&lt;HOJE(),"VENCIDO",SE(DATA.VALOR(I597)-HOJE()&lt;=30,"CRÍTICO (&lt;=30D)","REGULAR")))</f>
      </c>
      <c r="K597" s="25" t="s">
        <v>4783</v>
      </c>
      <c r="L597" s="25" t="s">
        <v>4784</v>
      </c>
      <c r="M597" s="25" t="s">
        <v>4785</v>
      </c>
      <c r="N597" s="25" t="s">
        <v>4786</v>
      </c>
    </row>
    <row r="598" ht="20" customHeight="1" spans="1:14" x14ac:dyDescent="0.25">
      <c r="A598" s="21" t="s">
        <v>4787</v>
      </c>
      <c r="B598" s="21" t="s">
        <v>1498</v>
      </c>
      <c r="C598" s="22" t="s">
        <v>4688</v>
      </c>
      <c r="D598" s="30">
        <v>1800</v>
      </c>
      <c r="E598" s="31">
        <v>13459.1</v>
      </c>
      <c r="F598" s="22" t="s">
        <v>4680</v>
      </c>
      <c r="G598" s="21" t="s">
        <v>4788</v>
      </c>
      <c r="H598" s="21" t="s">
        <v>4789</v>
      </c>
      <c r="I598" s="21" t="s">
        <v>4790</v>
      </c>
      <c r="J598" s="21">
        <f>SE(I598="","-",SE(DATA.VALOR(I598)&lt;HOJE(),"VENCIDO",SE(DATA.VALOR(I598)-HOJE()&lt;=30,"CRÍTICO (&lt;=30D)","REGULAR")))</f>
      </c>
      <c r="K598" s="22" t="s">
        <v>4791</v>
      </c>
      <c r="L598" s="22" t="s">
        <v>4792</v>
      </c>
      <c r="M598" s="22" t="s">
        <v>4793</v>
      </c>
      <c r="N598" s="22" t="s">
        <v>4794</v>
      </c>
    </row>
    <row r="599" ht="20" customHeight="1" spans="1:14" s="23" customFormat="1" x14ac:dyDescent="0.25">
      <c r="A599" s="24" t="s">
        <v>4795</v>
      </c>
      <c r="B599" s="24" t="s">
        <v>1498</v>
      </c>
      <c r="C599" s="25" t="s">
        <v>4692</v>
      </c>
      <c r="D599" s="32">
        <v>151</v>
      </c>
      <c r="E599" s="33">
        <v>3498.78</v>
      </c>
      <c r="F599" s="25" t="s">
        <v>4680</v>
      </c>
      <c r="G599" s="24" t="s">
        <v>4788</v>
      </c>
      <c r="H599" s="24" t="s">
        <v>4796</v>
      </c>
      <c r="I599" s="24" t="s">
        <v>1802</v>
      </c>
      <c r="J599" s="24">
        <f>SE(I599="","-",SE(DATA.VALOR(I599)&lt;HOJE(),"VENCIDO",SE(DATA.VALOR(I599)-HOJE()&lt;=30,"CRÍTICO (&lt;=30D)","REGULAR")))</f>
      </c>
      <c r="K599" s="25" t="s">
        <v>4791</v>
      </c>
      <c r="L599" s="25" t="s">
        <v>4792</v>
      </c>
      <c r="M599" s="25" t="s">
        <v>4793</v>
      </c>
      <c r="N599" s="25" t="s">
        <v>4797</v>
      </c>
    </row>
    <row r="600" ht="20" customHeight="1" spans="1:14" x14ac:dyDescent="0.25">
      <c r="A600" s="21" t="s">
        <v>4798</v>
      </c>
      <c r="B600" s="21" t="s">
        <v>1498</v>
      </c>
      <c r="C600" s="22" t="s">
        <v>4679</v>
      </c>
      <c r="D600" s="30">
        <v>807</v>
      </c>
      <c r="E600" s="31">
        <v>27438</v>
      </c>
      <c r="F600" s="22" t="s">
        <v>4680</v>
      </c>
      <c r="G600" s="21" t="s">
        <v>4788</v>
      </c>
      <c r="H600" s="21" t="s">
        <v>4799</v>
      </c>
      <c r="I600" s="21" t="s">
        <v>1880</v>
      </c>
      <c r="J600" s="21">
        <f>SE(I600="","-",SE(DATA.VALOR(I600)&lt;HOJE(),"VENCIDO",SE(DATA.VALOR(I600)-HOJE()&lt;=30,"CRÍTICO (&lt;=30D)","REGULAR")))</f>
      </c>
      <c r="K600" s="22" t="s">
        <v>4791</v>
      </c>
      <c r="L600" s="22" t="s">
        <v>4792</v>
      </c>
      <c r="M600" s="22" t="s">
        <v>4793</v>
      </c>
      <c r="N600" s="22" t="s">
        <v>4800</v>
      </c>
    </row>
    <row r="601" ht="20" customHeight="1" spans="1:14" s="23" customFormat="1" x14ac:dyDescent="0.25">
      <c r="A601" s="24" t="s">
        <v>4801</v>
      </c>
      <c r="B601" s="24" t="s">
        <v>1540</v>
      </c>
      <c r="C601" s="25" t="s">
        <v>4802</v>
      </c>
      <c r="D601" s="32">
        <v>500</v>
      </c>
      <c r="E601" s="33">
        <v>5500</v>
      </c>
      <c r="F601" s="25" t="s">
        <v>4803</v>
      </c>
      <c r="G601" s="24" t="s">
        <v>3088</v>
      </c>
      <c r="H601" s="24" t="s">
        <v>4804</v>
      </c>
      <c r="I601" s="24" t="s">
        <v>4805</v>
      </c>
      <c r="J601" s="24">
        <f>SE(I601="","-",SE(DATA.VALOR(I601)&lt;HOJE(),"VENCIDO",SE(DATA.VALOR(I601)-HOJE()&lt;=30,"CRÍTICO (&lt;=30D)","REGULAR")))</f>
      </c>
      <c r="K601" s="25" t="s">
        <v>4806</v>
      </c>
      <c r="L601" s="25" t="s">
        <v>4807</v>
      </c>
      <c r="M601" s="25" t="s">
        <v>4808</v>
      </c>
      <c r="N601" s="25" t="s">
        <v>4809</v>
      </c>
    </row>
    <row r="602" ht="20" customHeight="1" spans="1:14" x14ac:dyDescent="0.25">
      <c r="A602" s="21" t="s">
        <v>4810</v>
      </c>
      <c r="B602" s="21" t="s">
        <v>1563</v>
      </c>
      <c r="C602" s="22" t="s">
        <v>4524</v>
      </c>
      <c r="D602" s="30">
        <v>150</v>
      </c>
      <c r="E602" s="31">
        <v>996</v>
      </c>
      <c r="F602" s="22" t="s">
        <v>2561</v>
      </c>
      <c r="G602" s="21" t="s">
        <v>4811</v>
      </c>
      <c r="H602" s="21" t="s">
        <v>4812</v>
      </c>
      <c r="I602" s="21" t="s">
        <v>1651</v>
      </c>
      <c r="J602" s="21">
        <f>SE(I602="","-",SE(DATA.VALOR(I602)&lt;HOJE(),"VENCIDO",SE(DATA.VALOR(I602)-HOJE()&lt;=30,"CRÍTICO (&lt;=30D)","REGULAR")))</f>
      </c>
      <c r="K602" s="22" t="s">
        <v>4813</v>
      </c>
      <c r="L602" s="22" t="s">
        <v>4814</v>
      </c>
      <c r="M602" s="22" t="s">
        <v>4815</v>
      </c>
      <c r="N602" s="22" t="s">
        <v>4816</v>
      </c>
    </row>
    <row r="603" ht="20" customHeight="1" spans="1:14" s="23" customFormat="1" x14ac:dyDescent="0.25">
      <c r="A603" s="24" t="s">
        <v>4817</v>
      </c>
      <c r="B603" s="24" t="s">
        <v>2641</v>
      </c>
      <c r="C603" s="25" t="s">
        <v>3483</v>
      </c>
      <c r="D603" s="32">
        <v>500</v>
      </c>
      <c r="E603" s="33">
        <v>6475</v>
      </c>
      <c r="F603" s="25" t="s">
        <v>3484</v>
      </c>
      <c r="G603" s="24" t="s">
        <v>4818</v>
      </c>
      <c r="H603" s="24" t="s">
        <v>4819</v>
      </c>
      <c r="I603" s="24" t="s">
        <v>4820</v>
      </c>
      <c r="J603" s="24">
        <f>SE(I603="","-",SE(DATA.VALOR(I603)&lt;HOJE(),"VENCIDO",SE(DATA.VALOR(I603)-HOJE()&lt;=30,"CRÍTICO (&lt;=30D)","REGULAR")))</f>
      </c>
      <c r="K603" s="25" t="s">
        <v>4821</v>
      </c>
      <c r="L603" s="25" t="s">
        <v>4822</v>
      </c>
      <c r="M603" s="25" t="s">
        <v>4823</v>
      </c>
      <c r="N603" s="25" t="s">
        <v>4824</v>
      </c>
    </row>
    <row r="604" ht="20" customHeight="1" spans="1:14" x14ac:dyDescent="0.25">
      <c r="A604" s="21" t="s">
        <v>4825</v>
      </c>
      <c r="B604" s="21" t="s">
        <v>2641</v>
      </c>
      <c r="C604" s="22" t="s">
        <v>4826</v>
      </c>
      <c r="D604" s="30">
        <v>600</v>
      </c>
      <c r="E604" s="31">
        <v>1140</v>
      </c>
      <c r="F604" s="22" t="s">
        <v>3484</v>
      </c>
      <c r="G604" s="21" t="s">
        <v>4818</v>
      </c>
      <c r="H604" s="21" t="s">
        <v>4827</v>
      </c>
      <c r="I604" s="21" t="s">
        <v>4828</v>
      </c>
      <c r="J604" s="21">
        <f>SE(I604="","-",SE(DATA.VALOR(I604)&lt;HOJE(),"VENCIDO",SE(DATA.VALOR(I604)-HOJE()&lt;=30,"CRÍTICO (&lt;=30D)","REGULAR")))</f>
      </c>
      <c r="K604" s="22" t="s">
        <v>4821</v>
      </c>
      <c r="L604" s="22" t="s">
        <v>4822</v>
      </c>
      <c r="M604" s="22" t="s">
        <v>4823</v>
      </c>
      <c r="N604" s="22" t="s">
        <v>4824</v>
      </c>
    </row>
    <row r="605" ht="20" customHeight="1" spans="1:14" s="23" customFormat="1" x14ac:dyDescent="0.25">
      <c r="A605" s="24" t="s">
        <v>4829</v>
      </c>
      <c r="B605" s="24" t="s">
        <v>1563</v>
      </c>
      <c r="C605" s="25" t="s">
        <v>4516</v>
      </c>
      <c r="D605" s="32">
        <v>280</v>
      </c>
      <c r="E605" s="33">
        <v>1568</v>
      </c>
      <c r="F605" s="25" t="s">
        <v>2561</v>
      </c>
      <c r="G605" s="24" t="s">
        <v>4811</v>
      </c>
      <c r="H605" s="24" t="s">
        <v>4830</v>
      </c>
      <c r="I605" s="24" t="s">
        <v>1651</v>
      </c>
      <c r="J605" s="24">
        <f>SE(I605="","-",SE(DATA.VALOR(I605)&lt;HOJE(),"VENCIDO",SE(DATA.VALOR(I605)-HOJE()&lt;=30,"CRÍTICO (&lt;=30D)","REGULAR")))</f>
      </c>
      <c r="K605" s="25" t="s">
        <v>4813</v>
      </c>
      <c r="L605" s="25" t="s">
        <v>4814</v>
      </c>
      <c r="M605" s="25" t="s">
        <v>4815</v>
      </c>
      <c r="N605" s="25" t="s">
        <v>4831</v>
      </c>
    </row>
    <row r="606" ht="20" customHeight="1" spans="1:14" x14ac:dyDescent="0.25">
      <c r="A606" s="21" t="s">
        <v>4832</v>
      </c>
      <c r="B606" s="21" t="s">
        <v>2934</v>
      </c>
      <c r="C606" s="22" t="s">
        <v>2935</v>
      </c>
      <c r="D606" s="30">
        <v>72.9</v>
      </c>
      <c r="E606" s="31">
        <v>297</v>
      </c>
      <c r="F606" s="22" t="s">
        <v>2856</v>
      </c>
      <c r="G606" s="21" t="s">
        <v>4833</v>
      </c>
      <c r="H606" s="21" t="s">
        <v>4834</v>
      </c>
      <c r="I606" s="21" t="s">
        <v>2937</v>
      </c>
      <c r="J606" s="21">
        <f>SE(I606="","-",SE(DATA.VALOR(I606)&lt;HOJE(),"VENCIDO",SE(DATA.VALOR(I606)-HOJE()&lt;=30,"CRÍTICO (&lt;=30D)","REGULAR")))</f>
      </c>
      <c r="K606" s="22" t="s">
        <v>4835</v>
      </c>
      <c r="L606" s="22" t="s">
        <v>4280</v>
      </c>
      <c r="M606" s="22" t="s">
        <v>4836</v>
      </c>
      <c r="N606" s="22" t="s">
        <v>4837</v>
      </c>
    </row>
    <row r="607" ht="20" customHeight="1" spans="1:14" s="23" customFormat="1" x14ac:dyDescent="0.25">
      <c r="A607" s="24" t="s">
        <v>4838</v>
      </c>
      <c r="B607" s="24" t="s">
        <v>2934</v>
      </c>
      <c r="C607" s="25" t="s">
        <v>2940</v>
      </c>
      <c r="D607" s="32">
        <v>53.6</v>
      </c>
      <c r="E607" s="33">
        <v>226.8</v>
      </c>
      <c r="F607" s="25" t="s">
        <v>2856</v>
      </c>
      <c r="G607" s="24" t="s">
        <v>4833</v>
      </c>
      <c r="H607" s="24" t="s">
        <v>4834</v>
      </c>
      <c r="I607" s="24" t="s">
        <v>2937</v>
      </c>
      <c r="J607" s="24">
        <f>SE(I607="","-",SE(DATA.VALOR(I607)&lt;HOJE(),"VENCIDO",SE(DATA.VALOR(I607)-HOJE()&lt;=30,"CRÍTICO (&lt;=30D)","REGULAR")))</f>
      </c>
      <c r="K607" s="25" t="s">
        <v>4835</v>
      </c>
      <c r="L607" s="25" t="s">
        <v>4280</v>
      </c>
      <c r="M607" s="25" t="s">
        <v>4836</v>
      </c>
      <c r="N607" s="25" t="s">
        <v>4837</v>
      </c>
    </row>
    <row r="608" ht="20" customHeight="1" spans="1:14" x14ac:dyDescent="0.25">
      <c r="A608" s="21" t="s">
        <v>4839</v>
      </c>
      <c r="B608" s="21" t="s">
        <v>2934</v>
      </c>
      <c r="C608" s="22" t="s">
        <v>63</v>
      </c>
      <c r="D608" s="30">
        <v>150.2</v>
      </c>
      <c r="E608" s="31">
        <v>562.5</v>
      </c>
      <c r="F608" s="22" t="s">
        <v>2856</v>
      </c>
      <c r="G608" s="21" t="s">
        <v>4833</v>
      </c>
      <c r="H608" s="21" t="s">
        <v>4834</v>
      </c>
      <c r="I608" s="21" t="s">
        <v>2937</v>
      </c>
      <c r="J608" s="21">
        <f>SE(I608="","-",SE(DATA.VALOR(I608)&lt;HOJE(),"VENCIDO",SE(DATA.VALOR(I608)-HOJE()&lt;=30,"CRÍTICO (&lt;=30D)","REGULAR")))</f>
      </c>
      <c r="K608" s="22" t="s">
        <v>4835</v>
      </c>
      <c r="L608" s="22" t="s">
        <v>4280</v>
      </c>
      <c r="M608" s="22" t="s">
        <v>4836</v>
      </c>
      <c r="N608" s="22" t="s">
        <v>4837</v>
      </c>
    </row>
    <row r="609" ht="20" customHeight="1" spans="1:14" s="23" customFormat="1" x14ac:dyDescent="0.25">
      <c r="A609" s="24" t="s">
        <v>4840</v>
      </c>
      <c r="B609" s="24" t="s">
        <v>2934</v>
      </c>
      <c r="C609" s="25" t="s">
        <v>2855</v>
      </c>
      <c r="D609" s="32">
        <v>52.4</v>
      </c>
      <c r="E609" s="33">
        <v>208</v>
      </c>
      <c r="F609" s="25" t="s">
        <v>2856</v>
      </c>
      <c r="G609" s="24" t="s">
        <v>4833</v>
      </c>
      <c r="H609" s="24" t="s">
        <v>4834</v>
      </c>
      <c r="I609" s="24" t="s">
        <v>2937</v>
      </c>
      <c r="J609" s="24">
        <f>SE(I609="","-",SE(DATA.VALOR(I609)&lt;HOJE(),"VENCIDO",SE(DATA.VALOR(I609)-HOJE()&lt;=30,"CRÍTICO (&lt;=30D)","REGULAR")))</f>
      </c>
      <c r="K609" s="25" t="s">
        <v>4835</v>
      </c>
      <c r="L609" s="25" t="s">
        <v>4280</v>
      </c>
      <c r="M609" s="25" t="s">
        <v>4836</v>
      </c>
      <c r="N609" s="25" t="s">
        <v>4837</v>
      </c>
    </row>
    <row r="610" ht="20" customHeight="1" spans="1:14" x14ac:dyDescent="0.25">
      <c r="A610" s="21" t="s">
        <v>4841</v>
      </c>
      <c r="B610" s="21" t="s">
        <v>3123</v>
      </c>
      <c r="C610" s="22" t="s">
        <v>4338</v>
      </c>
      <c r="D610" s="30">
        <v>175</v>
      </c>
      <c r="E610" s="31">
        <v>647.5</v>
      </c>
      <c r="F610" s="22" t="s">
        <v>2765</v>
      </c>
      <c r="G610" s="21" t="s">
        <v>4218</v>
      </c>
      <c r="H610" s="21" t="s">
        <v>3158</v>
      </c>
      <c r="I610" s="21" t="s">
        <v>116</v>
      </c>
      <c r="J610" s="21">
        <f>SE(I610="","-",SE(DATA.VALOR(I610)&lt;HOJE(),"VENCIDO",SE(DATA.VALOR(I610)-HOJE()&lt;=30,"CRÍTICO (&lt;=30D)","REGULAR")))</f>
      </c>
      <c r="K610" s="22" t="s">
        <v>4842</v>
      </c>
      <c r="L610" s="22" t="s">
        <v>2770</v>
      </c>
      <c r="M610" s="22" t="s">
        <v>4843</v>
      </c>
      <c r="N610" s="22" t="s">
        <v>4844</v>
      </c>
    </row>
    <row r="611" ht="20" customHeight="1" spans="1:14" s="23" customFormat="1" x14ac:dyDescent="0.25">
      <c r="A611" s="24" t="s">
        <v>4845</v>
      </c>
      <c r="B611" s="24" t="s">
        <v>2962</v>
      </c>
      <c r="C611" s="25" t="s">
        <v>4266</v>
      </c>
      <c r="D611" s="32">
        <v>218.75</v>
      </c>
      <c r="E611" s="33">
        <v>1115.63</v>
      </c>
      <c r="F611" s="25" t="s">
        <v>2717</v>
      </c>
      <c r="G611" s="24" t="s">
        <v>4259</v>
      </c>
      <c r="H611" s="24" t="s">
        <v>2996</v>
      </c>
      <c r="I611" s="24" t="s">
        <v>63</v>
      </c>
      <c r="J611" s="24" t="s">
        <v>20</v>
      </c>
      <c r="K611" s="25" t="s">
        <v>4260</v>
      </c>
      <c r="L611" s="25" t="s">
        <v>2721</v>
      </c>
      <c r="M611" s="25" t="s">
        <v>4261</v>
      </c>
      <c r="N611" s="25" t="s">
        <v>4846</v>
      </c>
    </row>
    <row r="612" ht="20" customHeight="1" spans="1:14" x14ac:dyDescent="0.25">
      <c r="A612" s="21" t="s">
        <v>4847</v>
      </c>
      <c r="B612" s="21" t="s">
        <v>2962</v>
      </c>
      <c r="C612" s="22" t="s">
        <v>4362</v>
      </c>
      <c r="D612" s="30">
        <v>187.5</v>
      </c>
      <c r="E612" s="31">
        <v>993.75</v>
      </c>
      <c r="F612" s="22" t="s">
        <v>2717</v>
      </c>
      <c r="G612" s="21" t="s">
        <v>4259</v>
      </c>
      <c r="H612" s="21" t="s">
        <v>2996</v>
      </c>
      <c r="I612" s="21" t="s">
        <v>63</v>
      </c>
      <c r="J612" s="21" t="s">
        <v>20</v>
      </c>
      <c r="K612" s="22" t="s">
        <v>4260</v>
      </c>
      <c r="L612" s="22" t="s">
        <v>2721</v>
      </c>
      <c r="M612" s="22" t="s">
        <v>4261</v>
      </c>
      <c r="N612" s="22" t="s">
        <v>4846</v>
      </c>
    </row>
    <row r="613" ht="20" customHeight="1" spans="1:14" s="23" customFormat="1" x14ac:dyDescent="0.25">
      <c r="A613" s="24" t="s">
        <v>4848</v>
      </c>
      <c r="B613" s="24" t="s">
        <v>2962</v>
      </c>
      <c r="C613" s="25" t="s">
        <v>3883</v>
      </c>
      <c r="D613" s="32">
        <v>150</v>
      </c>
      <c r="E613" s="33">
        <v>975</v>
      </c>
      <c r="F613" s="25" t="s">
        <v>2717</v>
      </c>
      <c r="G613" s="24" t="s">
        <v>4259</v>
      </c>
      <c r="H613" s="24" t="s">
        <v>2996</v>
      </c>
      <c r="I613" s="24" t="s">
        <v>63</v>
      </c>
      <c r="J613" s="24" t="s">
        <v>20</v>
      </c>
      <c r="K613" s="25" t="s">
        <v>4260</v>
      </c>
      <c r="L613" s="25" t="s">
        <v>2721</v>
      </c>
      <c r="M613" s="25" t="s">
        <v>4261</v>
      </c>
      <c r="N613" s="25" t="s">
        <v>4846</v>
      </c>
    </row>
    <row r="614" ht="20" customHeight="1" spans="1:14" x14ac:dyDescent="0.25">
      <c r="A614" s="21" t="s">
        <v>4849</v>
      </c>
      <c r="B614" s="21" t="s">
        <v>2962</v>
      </c>
      <c r="C614" s="22" t="s">
        <v>2679</v>
      </c>
      <c r="D614" s="30">
        <v>33.334</v>
      </c>
      <c r="E614" s="31">
        <v>182.67</v>
      </c>
      <c r="F614" s="22" t="s">
        <v>2717</v>
      </c>
      <c r="G614" s="21" t="s">
        <v>4259</v>
      </c>
      <c r="H614" s="21" t="s">
        <v>2996</v>
      </c>
      <c r="I614" s="21" t="s">
        <v>63</v>
      </c>
      <c r="J614" s="21" t="s">
        <v>20</v>
      </c>
      <c r="K614" s="22" t="s">
        <v>4260</v>
      </c>
      <c r="L614" s="22" t="s">
        <v>2721</v>
      </c>
      <c r="M614" s="22" t="s">
        <v>4261</v>
      </c>
      <c r="N614" s="22" t="s">
        <v>4846</v>
      </c>
    </row>
    <row r="615" ht="20" customHeight="1" spans="1:14" s="23" customFormat="1" x14ac:dyDescent="0.25">
      <c r="A615" s="24" t="s">
        <v>4850</v>
      </c>
      <c r="B615" s="24" t="s">
        <v>2962</v>
      </c>
      <c r="C615" s="25" t="s">
        <v>2940</v>
      </c>
      <c r="D615" s="32">
        <v>68.18</v>
      </c>
      <c r="E615" s="33">
        <v>214.77</v>
      </c>
      <c r="F615" s="25" t="s">
        <v>2717</v>
      </c>
      <c r="G615" s="24" t="s">
        <v>4259</v>
      </c>
      <c r="H615" s="24" t="s">
        <v>2996</v>
      </c>
      <c r="I615" s="24" t="s">
        <v>63</v>
      </c>
      <c r="J615" s="24" t="s">
        <v>20</v>
      </c>
      <c r="K615" s="25" t="s">
        <v>4260</v>
      </c>
      <c r="L615" s="25" t="s">
        <v>2721</v>
      </c>
      <c r="M615" s="25" t="s">
        <v>4261</v>
      </c>
      <c r="N615" s="25" t="s">
        <v>4846</v>
      </c>
    </row>
    <row r="616" ht="20" customHeight="1" spans="1:14" x14ac:dyDescent="0.25">
      <c r="A616" s="21" t="s">
        <v>4851</v>
      </c>
      <c r="B616" s="21" t="s">
        <v>3123</v>
      </c>
      <c r="C616" s="22" t="s">
        <v>4305</v>
      </c>
      <c r="D616" s="30">
        <v>260.698</v>
      </c>
      <c r="E616" s="31">
        <v>959.37</v>
      </c>
      <c r="F616" s="22" t="s">
        <v>2734</v>
      </c>
      <c r="G616" s="21" t="s">
        <v>4852</v>
      </c>
      <c r="H616" s="21" t="s">
        <v>4853</v>
      </c>
      <c r="I616" s="21" t="s">
        <v>184</v>
      </c>
      <c r="J616" s="21">
        <f>SE(I616="","-",SE(DATA.VALOR(I616)&lt;HOJE(),"VENCIDO",SE(DATA.VALOR(I616)-HOJE()&lt;=30,"CRÍTICO (&lt;=30D)","REGULAR")))</f>
      </c>
      <c r="K616" s="22" t="s">
        <v>4854</v>
      </c>
      <c r="L616" s="22" t="s">
        <v>2738</v>
      </c>
      <c r="M616" s="22" t="s">
        <v>4855</v>
      </c>
      <c r="N616" s="22" t="s">
        <v>4856</v>
      </c>
    </row>
    <row r="617" ht="20" customHeight="1" spans="1:14" s="23" customFormat="1" x14ac:dyDescent="0.25">
      <c r="A617" s="24" t="s">
        <v>4857</v>
      </c>
      <c r="B617" s="24" t="s">
        <v>3123</v>
      </c>
      <c r="C617" s="25" t="s">
        <v>4179</v>
      </c>
      <c r="D617" s="32">
        <v>203.5</v>
      </c>
      <c r="E617" s="33">
        <v>1200.65</v>
      </c>
      <c r="F617" s="25" t="s">
        <v>2734</v>
      </c>
      <c r="G617" s="24" t="s">
        <v>4852</v>
      </c>
      <c r="H617" s="24" t="s">
        <v>4853</v>
      </c>
      <c r="I617" s="24" t="s">
        <v>184</v>
      </c>
      <c r="J617" s="24">
        <f>SE(I617="","-",SE(DATA.VALOR(I617)&lt;HOJE(),"VENCIDO",SE(DATA.VALOR(I617)-HOJE()&lt;=30,"CRÍTICO (&lt;=30D)","REGULAR")))</f>
      </c>
      <c r="K617" s="25" t="s">
        <v>4854</v>
      </c>
      <c r="L617" s="25" t="s">
        <v>2738</v>
      </c>
      <c r="M617" s="25" t="s">
        <v>4855</v>
      </c>
      <c r="N617" s="25" t="s">
        <v>4856</v>
      </c>
    </row>
    <row r="618" ht="20" customHeight="1" spans="1:14" x14ac:dyDescent="0.25">
      <c r="A618" s="21" t="s">
        <v>4858</v>
      </c>
      <c r="B618" s="21" t="s">
        <v>3123</v>
      </c>
      <c r="C618" s="22" t="s">
        <v>4274</v>
      </c>
      <c r="D618" s="30">
        <v>143.8</v>
      </c>
      <c r="E618" s="31">
        <v>517.68</v>
      </c>
      <c r="F618" s="22" t="s">
        <v>2734</v>
      </c>
      <c r="G618" s="21" t="s">
        <v>4852</v>
      </c>
      <c r="H618" s="21" t="s">
        <v>4853</v>
      </c>
      <c r="I618" s="21" t="s">
        <v>184</v>
      </c>
      <c r="J618" s="21">
        <f>SE(I618="","-",SE(DATA.VALOR(I618)&lt;HOJE(),"VENCIDO",SE(DATA.VALOR(I618)-HOJE()&lt;=30,"CRÍTICO (&lt;=30D)","REGULAR")))</f>
      </c>
      <c r="K618" s="22" t="s">
        <v>4854</v>
      </c>
      <c r="L618" s="22" t="s">
        <v>2738</v>
      </c>
      <c r="M618" s="22" t="s">
        <v>4855</v>
      </c>
      <c r="N618" s="22" t="s">
        <v>4856</v>
      </c>
    </row>
    <row r="619" ht="20" customHeight="1" spans="1:14" s="23" customFormat="1" x14ac:dyDescent="0.25">
      <c r="A619" s="24" t="s">
        <v>4859</v>
      </c>
      <c r="B619" s="24" t="s">
        <v>3123</v>
      </c>
      <c r="C619" s="25" t="s">
        <v>2940</v>
      </c>
      <c r="D619" s="32">
        <v>103.6</v>
      </c>
      <c r="E619" s="33">
        <v>326.34</v>
      </c>
      <c r="F619" s="25" t="s">
        <v>2734</v>
      </c>
      <c r="G619" s="24" t="s">
        <v>4852</v>
      </c>
      <c r="H619" s="24" t="s">
        <v>4853</v>
      </c>
      <c r="I619" s="24" t="s">
        <v>184</v>
      </c>
      <c r="J619" s="24">
        <f>SE(I619="","-",SE(DATA.VALOR(I619)&lt;HOJE(),"VENCIDO",SE(DATA.VALOR(I619)-HOJE()&lt;=30,"CRÍTICO (&lt;=30D)","REGULAR")))</f>
      </c>
      <c r="K619" s="25" t="s">
        <v>4854</v>
      </c>
      <c r="L619" s="25" t="s">
        <v>2738</v>
      </c>
      <c r="M619" s="25" t="s">
        <v>4855</v>
      </c>
      <c r="N619" s="25" t="s">
        <v>4856</v>
      </c>
    </row>
    <row r="620" ht="20" customHeight="1" spans="1:14" x14ac:dyDescent="0.25">
      <c r="A620" s="21" t="s">
        <v>4860</v>
      </c>
      <c r="B620" s="21" t="s">
        <v>3123</v>
      </c>
      <c r="C620" s="22" t="s">
        <v>4318</v>
      </c>
      <c r="D620" s="30">
        <v>554.6</v>
      </c>
      <c r="E620" s="31">
        <v>772.48</v>
      </c>
      <c r="F620" s="22" t="s">
        <v>2734</v>
      </c>
      <c r="G620" s="21" t="s">
        <v>4852</v>
      </c>
      <c r="H620" s="21" t="s">
        <v>4853</v>
      </c>
      <c r="I620" s="21" t="s">
        <v>184</v>
      </c>
      <c r="J620" s="21">
        <f>SE(I620="","-",SE(DATA.VALOR(I620)&lt;HOJE(),"VENCIDO",SE(DATA.VALOR(I620)-HOJE()&lt;=30,"CRÍTICO (&lt;=30D)","REGULAR")))</f>
      </c>
      <c r="K620" s="22" t="s">
        <v>4854</v>
      </c>
      <c r="L620" s="22" t="s">
        <v>2738</v>
      </c>
      <c r="M620" s="22" t="s">
        <v>4855</v>
      </c>
      <c r="N620" s="22" t="s">
        <v>4856</v>
      </c>
    </row>
    <row r="621" ht="20" customHeight="1" spans="1:14" s="23" customFormat="1" x14ac:dyDescent="0.25">
      <c r="A621" s="24" t="s">
        <v>4861</v>
      </c>
      <c r="B621" s="24" t="s">
        <v>3123</v>
      </c>
      <c r="C621" s="25" t="s">
        <v>4322</v>
      </c>
      <c r="D621" s="32">
        <v>138.4</v>
      </c>
      <c r="E621" s="33">
        <v>1769.17</v>
      </c>
      <c r="F621" s="25" t="s">
        <v>2734</v>
      </c>
      <c r="G621" s="24" t="s">
        <v>4852</v>
      </c>
      <c r="H621" s="24" t="s">
        <v>4853</v>
      </c>
      <c r="I621" s="24" t="s">
        <v>184</v>
      </c>
      <c r="J621" s="24">
        <f>SE(I621="","-",SE(DATA.VALOR(I621)&lt;HOJE(),"VENCIDO",SE(DATA.VALOR(I621)-HOJE()&lt;=30,"CRÍTICO (&lt;=30D)","REGULAR")))</f>
      </c>
      <c r="K621" s="25" t="s">
        <v>4854</v>
      </c>
      <c r="L621" s="25" t="s">
        <v>2738</v>
      </c>
      <c r="M621" s="25" t="s">
        <v>4855</v>
      </c>
      <c r="N621" s="25" t="s">
        <v>4856</v>
      </c>
    </row>
    <row r="622" ht="20" customHeight="1" spans="1:14" x14ac:dyDescent="0.25">
      <c r="A622" s="21" t="s">
        <v>4862</v>
      </c>
      <c r="B622" s="21" t="s">
        <v>3123</v>
      </c>
      <c r="C622" s="22" t="s">
        <v>4276</v>
      </c>
      <c r="D622" s="30">
        <v>0</v>
      </c>
      <c r="E622" s="31">
        <v>546.68</v>
      </c>
      <c r="F622" s="22" t="s">
        <v>2734</v>
      </c>
      <c r="G622" s="21" t="s">
        <v>4852</v>
      </c>
      <c r="H622" s="21" t="s">
        <v>2996</v>
      </c>
      <c r="I622" s="21" t="s">
        <v>63</v>
      </c>
      <c r="J622" s="21" t="s">
        <v>20</v>
      </c>
      <c r="K622" s="22" t="s">
        <v>4854</v>
      </c>
      <c r="L622" s="22" t="s">
        <v>2738</v>
      </c>
      <c r="M622" s="22" t="s">
        <v>4855</v>
      </c>
      <c r="N622" s="22" t="s">
        <v>4863</v>
      </c>
    </row>
    <row r="623" ht="20" customHeight="1" spans="1:14" s="23" customFormat="1" x14ac:dyDescent="0.25">
      <c r="A623" s="24" t="s">
        <v>4864</v>
      </c>
      <c r="B623" s="24" t="s">
        <v>292</v>
      </c>
      <c r="C623" s="25" t="s">
        <v>2935</v>
      </c>
      <c r="D623" s="32">
        <v>40</v>
      </c>
      <c r="E623" s="33">
        <v>216</v>
      </c>
      <c r="F623" s="25" t="s">
        <v>3220</v>
      </c>
      <c r="G623" s="24" t="s">
        <v>1726</v>
      </c>
      <c r="H623" s="24" t="s">
        <v>3604</v>
      </c>
      <c r="I623" s="24" t="s">
        <v>399</v>
      </c>
      <c r="J623" s="24">
        <f>SE(I623="","-",SE(DATA.VALOR(I623)&lt;HOJE(),"VENCIDO",SE(DATA.VALOR(I623)-HOJE()&lt;=30,"CRÍTICO (&lt;=30D)","REGULAR")))</f>
      </c>
      <c r="K623" s="25" t="s">
        <v>4865</v>
      </c>
      <c r="L623" s="25" t="s">
        <v>3222</v>
      </c>
      <c r="M623" s="25" t="s">
        <v>4866</v>
      </c>
      <c r="N623" s="25" t="s">
        <v>4867</v>
      </c>
    </row>
    <row r="624" ht="20" customHeight="1" spans="1:14" x14ac:dyDescent="0.25">
      <c r="A624" s="21" t="s">
        <v>4868</v>
      </c>
      <c r="B624" s="21" t="s">
        <v>292</v>
      </c>
      <c r="C624" s="22" t="s">
        <v>4284</v>
      </c>
      <c r="D624" s="30">
        <v>175</v>
      </c>
      <c r="E624" s="31">
        <v>656.25</v>
      </c>
      <c r="F624" s="22" t="s">
        <v>3220</v>
      </c>
      <c r="G624" s="21" t="s">
        <v>1726</v>
      </c>
      <c r="H624" s="21" t="s">
        <v>3604</v>
      </c>
      <c r="I624" s="21" t="s">
        <v>399</v>
      </c>
      <c r="J624" s="21">
        <f>SE(I624="","-",SE(DATA.VALOR(I624)&lt;HOJE(),"VENCIDO",SE(DATA.VALOR(I624)-HOJE()&lt;=30,"CRÍTICO (&lt;=30D)","REGULAR")))</f>
      </c>
      <c r="K624" s="22" t="s">
        <v>4865</v>
      </c>
      <c r="L624" s="22" t="s">
        <v>3222</v>
      </c>
      <c r="M624" s="22" t="s">
        <v>4866</v>
      </c>
      <c r="N624" s="22" t="s">
        <v>4867</v>
      </c>
    </row>
    <row r="625" ht="20" customHeight="1" spans="1:14" s="23" customFormat="1" x14ac:dyDescent="0.25">
      <c r="A625" s="24" t="s">
        <v>4869</v>
      </c>
      <c r="B625" s="24" t="s">
        <v>292</v>
      </c>
      <c r="C625" s="25" t="s">
        <v>4284</v>
      </c>
      <c r="D625" s="32">
        <v>40</v>
      </c>
      <c r="E625" s="33">
        <v>216</v>
      </c>
      <c r="F625" s="25" t="s">
        <v>3230</v>
      </c>
      <c r="G625" s="24" t="s">
        <v>4870</v>
      </c>
      <c r="H625" s="24" t="s">
        <v>3604</v>
      </c>
      <c r="I625" s="24" t="s">
        <v>399</v>
      </c>
      <c r="J625" s="24">
        <f>SE(I625="","-",SE(DATA.VALOR(I625)&lt;HOJE(),"VENCIDO",SE(DATA.VALOR(I625)-HOJE()&lt;=30,"CRÍTICO (&lt;=30D)","REGULAR")))</f>
      </c>
      <c r="K625" s="25" t="s">
        <v>4871</v>
      </c>
      <c r="L625" s="25" t="s">
        <v>3234</v>
      </c>
      <c r="M625" s="25" t="s">
        <v>4872</v>
      </c>
      <c r="N625" s="25" t="s">
        <v>4873</v>
      </c>
    </row>
    <row r="626" ht="20" customHeight="1" spans="1:14" x14ac:dyDescent="0.25">
      <c r="A626" s="21" t="s">
        <v>4874</v>
      </c>
      <c r="B626" s="21" t="s">
        <v>292</v>
      </c>
      <c r="C626" s="22" t="s">
        <v>2935</v>
      </c>
      <c r="D626" s="30">
        <v>175</v>
      </c>
      <c r="E626" s="31">
        <v>656.25</v>
      </c>
      <c r="F626" s="22" t="s">
        <v>3230</v>
      </c>
      <c r="G626" s="21" t="s">
        <v>4870</v>
      </c>
      <c r="H626" s="21" t="s">
        <v>3604</v>
      </c>
      <c r="I626" s="21" t="s">
        <v>399</v>
      </c>
      <c r="J626" s="21">
        <f>SE(I626="","-",SE(DATA.VALOR(I626)&lt;HOJE(),"VENCIDO",SE(DATA.VALOR(I626)-HOJE()&lt;=30,"CRÍTICO (&lt;=30D)","REGULAR")))</f>
      </c>
      <c r="K626" s="22" t="s">
        <v>4871</v>
      </c>
      <c r="L626" s="22" t="s">
        <v>3234</v>
      </c>
      <c r="M626" s="22" t="s">
        <v>4872</v>
      </c>
      <c r="N626" s="22" t="s">
        <v>4873</v>
      </c>
    </row>
    <row r="627" ht="20" customHeight="1" spans="1:14" s="23" customFormat="1" x14ac:dyDescent="0.25">
      <c r="A627" s="24" t="s">
        <v>4875</v>
      </c>
      <c r="B627" s="24" t="s">
        <v>300</v>
      </c>
      <c r="C627" s="25" t="s">
        <v>4338</v>
      </c>
      <c r="D627" s="32">
        <v>175</v>
      </c>
      <c r="E627" s="33">
        <v>647.5</v>
      </c>
      <c r="F627" s="25" t="s">
        <v>3149</v>
      </c>
      <c r="G627" s="24" t="s">
        <v>4876</v>
      </c>
      <c r="H627" s="24" t="s">
        <v>3414</v>
      </c>
      <c r="I627" s="24" t="s">
        <v>364</v>
      </c>
      <c r="J627" s="24">
        <f>SE(I627="","-",SE(DATA.VALOR(I627)&lt;HOJE(),"VENCIDO",SE(DATA.VALOR(I627)-HOJE()&lt;=30,"CRÍTICO (&lt;=30D)","REGULAR")))</f>
      </c>
      <c r="K627" s="25" t="s">
        <v>4877</v>
      </c>
      <c r="L627" s="25" t="s">
        <v>4620</v>
      </c>
      <c r="M627" s="25" t="s">
        <v>4878</v>
      </c>
      <c r="N627" s="25" t="s">
        <v>4879</v>
      </c>
    </row>
    <row r="628" ht="20" customHeight="1" spans="1:14" x14ac:dyDescent="0.25">
      <c r="A628" s="21" t="s">
        <v>4880</v>
      </c>
      <c r="B628" s="21" t="s">
        <v>531</v>
      </c>
      <c r="C628" s="22" t="s">
        <v>4516</v>
      </c>
      <c r="D628" s="30">
        <v>250</v>
      </c>
      <c r="E628" s="31">
        <v>1500</v>
      </c>
      <c r="F628" s="22" t="s">
        <v>2561</v>
      </c>
      <c r="G628" s="21" t="s">
        <v>4881</v>
      </c>
      <c r="H628" s="21" t="s">
        <v>2996</v>
      </c>
      <c r="I628" s="21" t="s">
        <v>63</v>
      </c>
      <c r="J628" s="21" t="s">
        <v>20</v>
      </c>
      <c r="K628" s="22" t="s">
        <v>4882</v>
      </c>
      <c r="L628" s="22" t="s">
        <v>3143</v>
      </c>
      <c r="M628" s="22" t="s">
        <v>4883</v>
      </c>
      <c r="N628" s="22" t="s">
        <v>4884</v>
      </c>
    </row>
    <row r="629" ht="20" customHeight="1" spans="1:14" s="23" customFormat="1" x14ac:dyDescent="0.25">
      <c r="A629" s="24" t="s">
        <v>4885</v>
      </c>
      <c r="B629" s="24" t="s">
        <v>531</v>
      </c>
      <c r="C629" s="25" t="s">
        <v>4524</v>
      </c>
      <c r="D629" s="32">
        <v>200</v>
      </c>
      <c r="E629" s="33">
        <v>1200</v>
      </c>
      <c r="F629" s="25" t="s">
        <v>2561</v>
      </c>
      <c r="G629" s="24" t="s">
        <v>4881</v>
      </c>
      <c r="H629" s="24" t="s">
        <v>2996</v>
      </c>
      <c r="I629" s="24" t="s">
        <v>63</v>
      </c>
      <c r="J629" s="24" t="s">
        <v>20</v>
      </c>
      <c r="K629" s="25" t="s">
        <v>4882</v>
      </c>
      <c r="L629" s="25" t="s">
        <v>3143</v>
      </c>
      <c r="M629" s="25" t="s">
        <v>4883</v>
      </c>
      <c r="N629" s="25" t="s">
        <v>4884</v>
      </c>
    </row>
    <row r="630" ht="20" customHeight="1" spans="1:14" x14ac:dyDescent="0.25">
      <c r="A630" s="21" t="s">
        <v>4886</v>
      </c>
      <c r="B630" s="21" t="s">
        <v>269</v>
      </c>
      <c r="C630" s="22" t="s">
        <v>4516</v>
      </c>
      <c r="D630" s="30">
        <v>250</v>
      </c>
      <c r="E630" s="31">
        <v>1500</v>
      </c>
      <c r="F630" s="22" t="s">
        <v>2561</v>
      </c>
      <c r="G630" s="21" t="s">
        <v>4887</v>
      </c>
      <c r="H630" s="21" t="s">
        <v>4888</v>
      </c>
      <c r="I630" s="21" t="s">
        <v>890</v>
      </c>
      <c r="J630" s="21">
        <f>SE(I630="","-",SE(DATA.VALOR(I630)&lt;HOJE(),"VENCIDO",SE(DATA.VALOR(I630)-HOJE()&lt;=30,"CRÍTICO (&lt;=30D)","REGULAR")))</f>
      </c>
      <c r="K630" s="22" t="s">
        <v>4889</v>
      </c>
      <c r="L630" s="22" t="s">
        <v>2877</v>
      </c>
      <c r="M630" s="22" t="s">
        <v>4890</v>
      </c>
      <c r="N630" s="22" t="s">
        <v>4891</v>
      </c>
    </row>
    <row r="631" ht="20" customHeight="1" spans="1:14" s="23" customFormat="1" x14ac:dyDescent="0.25">
      <c r="A631" s="24" t="s">
        <v>4892</v>
      </c>
      <c r="B631" s="24" t="s">
        <v>269</v>
      </c>
      <c r="C631" s="25" t="s">
        <v>4524</v>
      </c>
      <c r="D631" s="32">
        <v>200</v>
      </c>
      <c r="E631" s="33">
        <v>1200</v>
      </c>
      <c r="F631" s="25" t="s">
        <v>2561</v>
      </c>
      <c r="G631" s="24" t="s">
        <v>4887</v>
      </c>
      <c r="H631" s="24" t="s">
        <v>4888</v>
      </c>
      <c r="I631" s="24" t="s">
        <v>890</v>
      </c>
      <c r="J631" s="24">
        <f>SE(I631="","-",SE(DATA.VALOR(I631)&lt;HOJE(),"VENCIDO",SE(DATA.VALOR(I631)-HOJE()&lt;=30,"CRÍTICO (&lt;=30D)","REGULAR")))</f>
      </c>
      <c r="K631" s="25" t="s">
        <v>4889</v>
      </c>
      <c r="L631" s="25" t="s">
        <v>2877</v>
      </c>
      <c r="M631" s="25" t="s">
        <v>4890</v>
      </c>
      <c r="N631" s="25" t="s">
        <v>4891</v>
      </c>
    </row>
    <row r="632" ht="20" customHeight="1" spans="1:14" x14ac:dyDescent="0.25">
      <c r="A632" s="21" t="s">
        <v>4893</v>
      </c>
      <c r="B632" s="21" t="s">
        <v>92</v>
      </c>
      <c r="C632" s="22" t="s">
        <v>2780</v>
      </c>
      <c r="D632" s="30">
        <v>1000</v>
      </c>
      <c r="E632" s="31">
        <v>3800</v>
      </c>
      <c r="F632" s="22" t="s">
        <v>2774</v>
      </c>
      <c r="G632" s="21" t="s">
        <v>4894</v>
      </c>
      <c r="H632" s="21" t="s">
        <v>2996</v>
      </c>
      <c r="I632" s="21" t="s">
        <v>63</v>
      </c>
      <c r="J632" s="21" t="s">
        <v>20</v>
      </c>
      <c r="K632" s="22" t="s">
        <v>4895</v>
      </c>
      <c r="L632" s="22" t="s">
        <v>2777</v>
      </c>
      <c r="M632" s="22" t="s">
        <v>63</v>
      </c>
      <c r="N632" s="22" t="s">
        <v>4896</v>
      </c>
    </row>
    <row r="633" ht="20" customHeight="1" spans="1:14" s="23" customFormat="1" x14ac:dyDescent="0.25">
      <c r="A633" s="24" t="s">
        <v>4897</v>
      </c>
      <c r="B633" s="24" t="s">
        <v>1532</v>
      </c>
      <c r="C633" s="25" t="s">
        <v>2855</v>
      </c>
      <c r="D633" s="32">
        <v>26</v>
      </c>
      <c r="E633" s="33">
        <v>0</v>
      </c>
      <c r="F633" s="25" t="s">
        <v>2856</v>
      </c>
      <c r="G633" s="24" t="s">
        <v>4898</v>
      </c>
      <c r="H633" s="24" t="s">
        <v>4899</v>
      </c>
      <c r="I633" s="24" t="s">
        <v>1696</v>
      </c>
      <c r="J633" s="24">
        <f>SE(I633="","-",SE(DATA.VALOR(I633)&lt;HOJE(),"VENCIDO",SE(DATA.VALOR(I633)-HOJE()&lt;=30,"CRÍTICO (&lt;=30D)","REGULAR")))</f>
      </c>
      <c r="K633" s="25" t="s">
        <v>4900</v>
      </c>
      <c r="L633" s="25" t="s">
        <v>4901</v>
      </c>
      <c r="M633" s="25" t="s">
        <v>4902</v>
      </c>
      <c r="N633" s="25" t="s">
        <v>4903</v>
      </c>
    </row>
    <row r="634" ht="20" customHeight="1" spans="1:14" x14ac:dyDescent="0.25">
      <c r="A634" s="21" t="s">
        <v>4904</v>
      </c>
      <c r="B634" s="21" t="s">
        <v>1532</v>
      </c>
      <c r="C634" s="22" t="s">
        <v>2935</v>
      </c>
      <c r="D634" s="30">
        <v>48</v>
      </c>
      <c r="E634" s="31">
        <v>0</v>
      </c>
      <c r="F634" s="22" t="s">
        <v>2856</v>
      </c>
      <c r="G634" s="21" t="s">
        <v>4898</v>
      </c>
      <c r="H634" s="21" t="s">
        <v>4899</v>
      </c>
      <c r="I634" s="21" t="s">
        <v>1696</v>
      </c>
      <c r="J634" s="21">
        <f>SE(I634="","-",SE(DATA.VALOR(I634)&lt;HOJE(),"VENCIDO",SE(DATA.VALOR(I634)-HOJE()&lt;=30,"CRÍTICO (&lt;=30D)","REGULAR")))</f>
      </c>
      <c r="K634" s="22" t="s">
        <v>4900</v>
      </c>
      <c r="L634" s="22" t="s">
        <v>4901</v>
      </c>
      <c r="M634" s="22" t="s">
        <v>4902</v>
      </c>
      <c r="N634" s="22" t="s">
        <v>4903</v>
      </c>
    </row>
    <row r="635" ht="20" customHeight="1" spans="1:14" s="23" customFormat="1" x14ac:dyDescent="0.25">
      <c r="A635" s="24" t="s">
        <v>4905</v>
      </c>
      <c r="B635" s="24" t="s">
        <v>1532</v>
      </c>
      <c r="C635" s="25" t="s">
        <v>4338</v>
      </c>
      <c r="D635" s="32">
        <v>77</v>
      </c>
      <c r="E635" s="33">
        <v>0</v>
      </c>
      <c r="F635" s="25" t="s">
        <v>2856</v>
      </c>
      <c r="G635" s="24" t="s">
        <v>4898</v>
      </c>
      <c r="H635" s="24" t="s">
        <v>4899</v>
      </c>
      <c r="I635" s="24" t="s">
        <v>1696</v>
      </c>
      <c r="J635" s="24">
        <f>SE(I635="","-",SE(DATA.VALOR(I635)&lt;HOJE(),"VENCIDO",SE(DATA.VALOR(I635)-HOJE()&lt;=30,"CRÍTICO (&lt;=30D)","REGULAR")))</f>
      </c>
      <c r="K635" s="25" t="s">
        <v>4900</v>
      </c>
      <c r="L635" s="25" t="s">
        <v>4901</v>
      </c>
      <c r="M635" s="25" t="s">
        <v>4902</v>
      </c>
      <c r="N635" s="25" t="s">
        <v>4903</v>
      </c>
    </row>
    <row r="636" ht="20" customHeight="1" spans="1:14" x14ac:dyDescent="0.25">
      <c r="A636" s="21" t="s">
        <v>4906</v>
      </c>
      <c r="B636" s="21" t="s">
        <v>1563</v>
      </c>
      <c r="C636" s="22" t="s">
        <v>2855</v>
      </c>
      <c r="D636" s="30">
        <v>26</v>
      </c>
      <c r="E636" s="31">
        <v>114.4</v>
      </c>
      <c r="F636" s="22" t="s">
        <v>2700</v>
      </c>
      <c r="G636" s="21" t="s">
        <v>4907</v>
      </c>
      <c r="H636" s="21" t="s">
        <v>4899</v>
      </c>
      <c r="I636" s="21" t="s">
        <v>1696</v>
      </c>
      <c r="J636" s="21">
        <f>SE(I636="","-",SE(DATA.VALOR(I636)&lt;HOJE(),"VENCIDO",SE(DATA.VALOR(I636)-HOJE()&lt;=30,"CRÍTICO (&lt;=30D)","REGULAR")))</f>
      </c>
      <c r="K636" s="22" t="s">
        <v>4908</v>
      </c>
      <c r="L636" s="22" t="s">
        <v>4909</v>
      </c>
      <c r="M636" s="22" t="s">
        <v>2706</v>
      </c>
      <c r="N636" s="22" t="s">
        <v>4910</v>
      </c>
    </row>
    <row r="637" ht="20" customHeight="1" spans="1:14" s="23" customFormat="1" x14ac:dyDescent="0.25">
      <c r="A637" s="24" t="s">
        <v>4911</v>
      </c>
      <c r="B637" s="24" t="s">
        <v>1563</v>
      </c>
      <c r="C637" s="25" t="s">
        <v>2935</v>
      </c>
      <c r="D637" s="32">
        <v>48</v>
      </c>
      <c r="E637" s="33">
        <v>278.4</v>
      </c>
      <c r="F637" s="25" t="s">
        <v>2700</v>
      </c>
      <c r="G637" s="24" t="s">
        <v>4907</v>
      </c>
      <c r="H637" s="24" t="s">
        <v>4899</v>
      </c>
      <c r="I637" s="24" t="s">
        <v>1696</v>
      </c>
      <c r="J637" s="24">
        <f>SE(I637="","-",SE(DATA.VALOR(I637)&lt;HOJE(),"VENCIDO",SE(DATA.VALOR(I637)-HOJE()&lt;=30,"CRÍTICO (&lt;=30D)","REGULAR")))</f>
      </c>
      <c r="K637" s="25" t="s">
        <v>4908</v>
      </c>
      <c r="L637" s="25" t="s">
        <v>4909</v>
      </c>
      <c r="M637" s="25" t="s">
        <v>2706</v>
      </c>
      <c r="N637" s="25" t="s">
        <v>4910</v>
      </c>
    </row>
    <row r="638" ht="20" customHeight="1" spans="1:14" x14ac:dyDescent="0.25">
      <c r="A638" s="21" t="s">
        <v>4912</v>
      </c>
      <c r="B638" s="21" t="s">
        <v>1563</v>
      </c>
      <c r="C638" s="22" t="s">
        <v>2940</v>
      </c>
      <c r="D638" s="30">
        <v>39</v>
      </c>
      <c r="E638" s="31">
        <v>117</v>
      </c>
      <c r="F638" s="22" t="s">
        <v>2700</v>
      </c>
      <c r="G638" s="21" t="s">
        <v>4907</v>
      </c>
      <c r="H638" s="21" t="s">
        <v>4899</v>
      </c>
      <c r="I638" s="21" t="s">
        <v>1651</v>
      </c>
      <c r="J638" s="21">
        <f>SE(I638="","-",SE(DATA.VALOR(I638)&lt;HOJE(),"VENCIDO",SE(DATA.VALOR(I638)-HOJE()&lt;=30,"CRÍTICO (&lt;=30D)","REGULAR")))</f>
      </c>
      <c r="K638" s="22" t="s">
        <v>4908</v>
      </c>
      <c r="L638" s="22" t="s">
        <v>4909</v>
      </c>
      <c r="M638" s="22" t="s">
        <v>2706</v>
      </c>
      <c r="N638" s="22" t="s">
        <v>4910</v>
      </c>
    </row>
    <row r="639" ht="20" customHeight="1" spans="1:14" s="23" customFormat="1" x14ac:dyDescent="0.25">
      <c r="A639" s="24" t="s">
        <v>4913</v>
      </c>
      <c r="B639" s="24" t="s">
        <v>1563</v>
      </c>
      <c r="C639" s="25" t="s">
        <v>4338</v>
      </c>
      <c r="D639" s="32">
        <v>76</v>
      </c>
      <c r="E639" s="33">
        <v>342</v>
      </c>
      <c r="F639" s="25" t="s">
        <v>2700</v>
      </c>
      <c r="G639" s="24" t="s">
        <v>4907</v>
      </c>
      <c r="H639" s="24" t="s">
        <v>4899</v>
      </c>
      <c r="I639" s="24" t="s">
        <v>1696</v>
      </c>
      <c r="J639" s="24">
        <f>SE(I639="","-",SE(DATA.VALOR(I639)&lt;HOJE(),"VENCIDO",SE(DATA.VALOR(I639)-HOJE()&lt;=30,"CRÍTICO (&lt;=30D)","REGULAR")))</f>
      </c>
      <c r="K639" s="25" t="s">
        <v>4908</v>
      </c>
      <c r="L639" s="25" t="s">
        <v>4909</v>
      </c>
      <c r="M639" s="25" t="s">
        <v>2706</v>
      </c>
      <c r="N639" s="25" t="s">
        <v>4910</v>
      </c>
    </row>
    <row r="640" ht="20" customHeight="1" spans="1:14" x14ac:dyDescent="0.25">
      <c r="A640" s="21" t="s">
        <v>4914</v>
      </c>
      <c r="B640" s="21" t="s">
        <v>1387</v>
      </c>
      <c r="C640" s="22" t="s">
        <v>4915</v>
      </c>
      <c r="D640" s="30">
        <v>150</v>
      </c>
      <c r="E640" s="31">
        <v>1275</v>
      </c>
      <c r="F640" s="22" t="s">
        <v>2633</v>
      </c>
      <c r="G640" s="21" t="s">
        <v>4916</v>
      </c>
      <c r="H640" s="21" t="s">
        <v>4917</v>
      </c>
      <c r="I640" s="21" t="s">
        <v>4918</v>
      </c>
      <c r="J640" s="21">
        <f>SE(I640="","-",SE(DATA.VALOR(I640)&lt;HOJE(),"VENCIDO",SE(DATA.VALOR(I640)-HOJE()&lt;=30,"CRÍTICO (&lt;=30D)","REGULAR")))</f>
      </c>
      <c r="K640" s="22" t="s">
        <v>4919</v>
      </c>
      <c r="L640" s="22" t="s">
        <v>4920</v>
      </c>
      <c r="M640" s="22" t="s">
        <v>4921</v>
      </c>
      <c r="N640" s="22" t="s">
        <v>4922</v>
      </c>
    </row>
    <row r="641" ht="20" customHeight="1" spans="1:14" s="23" customFormat="1" x14ac:dyDescent="0.25">
      <c r="A641" s="24" t="s">
        <v>4923</v>
      </c>
      <c r="B641" s="24" t="s">
        <v>1387</v>
      </c>
      <c r="C641" s="25" t="s">
        <v>4924</v>
      </c>
      <c r="D641" s="32">
        <v>68</v>
      </c>
      <c r="E641" s="33">
        <v>680</v>
      </c>
      <c r="F641" s="25" t="s">
        <v>2633</v>
      </c>
      <c r="G641" s="24" t="s">
        <v>4916</v>
      </c>
      <c r="H641" s="24" t="s">
        <v>4925</v>
      </c>
      <c r="I641" s="24" t="s">
        <v>4926</v>
      </c>
      <c r="J641" s="24">
        <f>SE(I641="","-",SE(DATA.VALOR(I641)&lt;HOJE(),"VENCIDO",SE(DATA.VALOR(I641)-HOJE()&lt;=30,"CRÍTICO (&lt;=30D)","REGULAR")))</f>
      </c>
      <c r="K641" s="25" t="s">
        <v>4919</v>
      </c>
      <c r="L641" s="25" t="s">
        <v>4920</v>
      </c>
      <c r="M641" s="25" t="s">
        <v>4921</v>
      </c>
      <c r="N641" s="25" t="s">
        <v>4922</v>
      </c>
    </row>
    <row r="642" ht="20" customHeight="1" spans="1:14" x14ac:dyDescent="0.25">
      <c r="A642" s="21" t="s">
        <v>4927</v>
      </c>
      <c r="B642" s="21" t="s">
        <v>1387</v>
      </c>
      <c r="C642" s="22" t="s">
        <v>4928</v>
      </c>
      <c r="D642" s="30">
        <v>250</v>
      </c>
      <c r="E642" s="31">
        <v>755</v>
      </c>
      <c r="F642" s="22" t="s">
        <v>2633</v>
      </c>
      <c r="G642" s="21" t="s">
        <v>4916</v>
      </c>
      <c r="H642" s="21" t="s">
        <v>4929</v>
      </c>
      <c r="I642" s="21" t="s">
        <v>4930</v>
      </c>
      <c r="J642" s="21">
        <f>SE(I642="","-",SE(DATA.VALOR(I642)&lt;HOJE(),"VENCIDO",SE(DATA.VALOR(I642)-HOJE()&lt;=30,"CRÍTICO (&lt;=30D)","REGULAR")))</f>
      </c>
      <c r="K642" s="22" t="s">
        <v>4919</v>
      </c>
      <c r="L642" s="22" t="s">
        <v>4920</v>
      </c>
      <c r="M642" s="22" t="s">
        <v>4921</v>
      </c>
      <c r="N642" s="22" t="s">
        <v>4922</v>
      </c>
    </row>
    <row r="643" ht="20" customHeight="1" spans="1:14" s="23" customFormat="1" x14ac:dyDescent="0.25">
      <c r="A643" s="24" t="s">
        <v>4931</v>
      </c>
      <c r="B643" s="24" t="s">
        <v>1387</v>
      </c>
      <c r="C643" s="25" t="s">
        <v>4932</v>
      </c>
      <c r="D643" s="32">
        <v>900</v>
      </c>
      <c r="E643" s="33">
        <v>2061</v>
      </c>
      <c r="F643" s="25" t="s">
        <v>2633</v>
      </c>
      <c r="G643" s="24" t="s">
        <v>4916</v>
      </c>
      <c r="H643" s="24" t="s">
        <v>4933</v>
      </c>
      <c r="I643" s="24" t="s">
        <v>4934</v>
      </c>
      <c r="J643" s="24">
        <f>SE(I643="","-",SE(DATA.VALOR(I643)&lt;HOJE(),"VENCIDO",SE(DATA.VALOR(I643)-HOJE()&lt;=30,"CRÍTICO (&lt;=30D)","REGULAR")))</f>
      </c>
      <c r="K643" s="25" t="s">
        <v>4919</v>
      </c>
      <c r="L643" s="25" t="s">
        <v>4920</v>
      </c>
      <c r="M643" s="25" t="s">
        <v>4921</v>
      </c>
      <c r="N643" s="25" t="s">
        <v>4922</v>
      </c>
    </row>
    <row r="644" ht="20" customHeight="1" spans="1:14" x14ac:dyDescent="0.25">
      <c r="A644" s="21" t="s">
        <v>4935</v>
      </c>
      <c r="B644" s="21" t="s">
        <v>1387</v>
      </c>
      <c r="C644" s="22" t="s">
        <v>4936</v>
      </c>
      <c r="D644" s="30">
        <v>175</v>
      </c>
      <c r="E644" s="31">
        <v>581</v>
      </c>
      <c r="F644" s="22" t="s">
        <v>2633</v>
      </c>
      <c r="G644" s="21" t="s">
        <v>4916</v>
      </c>
      <c r="H644" s="21" t="s">
        <v>4937</v>
      </c>
      <c r="I644" s="21" t="s">
        <v>4938</v>
      </c>
      <c r="J644" s="21">
        <f>SE(I644="","-",SE(DATA.VALOR(I644)&lt;HOJE(),"VENCIDO",SE(DATA.VALOR(I644)-HOJE()&lt;=30,"CRÍTICO (&lt;=30D)","REGULAR")))</f>
      </c>
      <c r="K644" s="22" t="s">
        <v>4919</v>
      </c>
      <c r="L644" s="22" t="s">
        <v>4920</v>
      </c>
      <c r="M644" s="22" t="s">
        <v>4921</v>
      </c>
      <c r="N644" s="22" t="s">
        <v>4922</v>
      </c>
    </row>
    <row r="645" ht="20" customHeight="1" spans="1:14" s="23" customFormat="1" x14ac:dyDescent="0.25">
      <c r="A645" s="24" t="s">
        <v>4939</v>
      </c>
      <c r="B645" s="24" t="s">
        <v>1387</v>
      </c>
      <c r="C645" s="25" t="s">
        <v>4940</v>
      </c>
      <c r="D645" s="32">
        <v>75</v>
      </c>
      <c r="E645" s="33">
        <v>337.5</v>
      </c>
      <c r="F645" s="25" t="s">
        <v>2633</v>
      </c>
      <c r="G645" s="24" t="s">
        <v>4916</v>
      </c>
      <c r="H645" s="24" t="s">
        <v>4941</v>
      </c>
      <c r="I645" s="24" t="s">
        <v>4942</v>
      </c>
      <c r="J645" s="24">
        <f>SE(I645="","-",SE(DATA.VALOR(I645)&lt;HOJE(),"VENCIDO",SE(DATA.VALOR(I645)-HOJE()&lt;=30,"CRÍTICO (&lt;=30D)","REGULAR")))</f>
      </c>
      <c r="K645" s="25" t="s">
        <v>4919</v>
      </c>
      <c r="L645" s="25" t="s">
        <v>4920</v>
      </c>
      <c r="M645" s="25" t="s">
        <v>4921</v>
      </c>
      <c r="N645" s="25" t="s">
        <v>4922</v>
      </c>
    </row>
    <row r="646" ht="20" customHeight="1" spans="1:14" x14ac:dyDescent="0.25">
      <c r="A646" s="21" t="s">
        <v>4943</v>
      </c>
      <c r="B646" s="21" t="s">
        <v>1584</v>
      </c>
      <c r="C646" s="22" t="s">
        <v>2940</v>
      </c>
      <c r="D646" s="30">
        <v>69</v>
      </c>
      <c r="E646" s="31">
        <v>207</v>
      </c>
      <c r="F646" s="22" t="s">
        <v>4642</v>
      </c>
      <c r="G646" s="21" t="s">
        <v>4944</v>
      </c>
      <c r="H646" s="21" t="s">
        <v>4945</v>
      </c>
      <c r="I646" s="21" t="s">
        <v>1659</v>
      </c>
      <c r="J646" s="21">
        <f>SE(I646="","-",SE(DATA.VALOR(I646)&lt;HOJE(),"VENCIDO",SE(DATA.VALOR(I646)-HOJE()&lt;=30,"CRÍTICO (&lt;=30D)","REGULAR")))</f>
      </c>
      <c r="K646" s="22" t="s">
        <v>4946</v>
      </c>
      <c r="L646" s="22" t="s">
        <v>4947</v>
      </c>
      <c r="M646" s="22" t="s">
        <v>4948</v>
      </c>
      <c r="N646" s="22" t="s">
        <v>4949</v>
      </c>
    </row>
    <row r="647" ht="20" customHeight="1" spans="1:14" s="23" customFormat="1" x14ac:dyDescent="0.25">
      <c r="A647" s="24" t="s">
        <v>4950</v>
      </c>
      <c r="B647" s="24" t="s">
        <v>1584</v>
      </c>
      <c r="C647" s="25" t="s">
        <v>4266</v>
      </c>
      <c r="D647" s="32">
        <v>117</v>
      </c>
      <c r="E647" s="33">
        <v>374.4</v>
      </c>
      <c r="F647" s="25" t="s">
        <v>4642</v>
      </c>
      <c r="G647" s="24" t="s">
        <v>4944</v>
      </c>
      <c r="H647" s="24" t="s">
        <v>4945</v>
      </c>
      <c r="I647" s="24" t="s">
        <v>1659</v>
      </c>
      <c r="J647" s="24">
        <f>SE(I647="","-",SE(DATA.VALOR(I647)&lt;HOJE(),"VENCIDO",SE(DATA.VALOR(I647)-HOJE()&lt;=30,"CRÍTICO (&lt;=30D)","REGULAR")))</f>
      </c>
      <c r="K647" s="25" t="s">
        <v>4946</v>
      </c>
      <c r="L647" s="25" t="s">
        <v>4947</v>
      </c>
      <c r="M647" s="25" t="s">
        <v>4948</v>
      </c>
      <c r="N647" s="25" t="s">
        <v>4949</v>
      </c>
    </row>
    <row r="648" ht="20" customHeight="1" spans="1:14" x14ac:dyDescent="0.25">
      <c r="A648" s="21" t="s">
        <v>4951</v>
      </c>
      <c r="B648" s="21" t="s">
        <v>1563</v>
      </c>
      <c r="C648" s="22" t="s">
        <v>4545</v>
      </c>
      <c r="D648" s="30">
        <v>9</v>
      </c>
      <c r="E648" s="31">
        <v>56.79</v>
      </c>
      <c r="F648" s="22" t="s">
        <v>4527</v>
      </c>
      <c r="G648" s="21" t="s">
        <v>4952</v>
      </c>
      <c r="H648" s="21" t="s">
        <v>4953</v>
      </c>
      <c r="I648" s="21" t="s">
        <v>3819</v>
      </c>
      <c r="J648" s="21">
        <f>SE(I648="","-",SE(DATA.VALOR(I648)&lt;HOJE(),"VENCIDO",SE(DATA.VALOR(I648)-HOJE()&lt;=30,"CRÍTICO (&lt;=30D)","REGULAR")))</f>
      </c>
      <c r="K648" s="22" t="s">
        <v>4954</v>
      </c>
      <c r="L648" s="22" t="s">
        <v>4955</v>
      </c>
      <c r="M648" s="22" t="s">
        <v>4956</v>
      </c>
      <c r="N648" s="22" t="s">
        <v>4957</v>
      </c>
    </row>
    <row r="649" ht="20" customHeight="1" spans="1:14" s="23" customFormat="1" x14ac:dyDescent="0.25">
      <c r="A649" s="24" t="s">
        <v>4958</v>
      </c>
      <c r="B649" s="24" t="s">
        <v>1563</v>
      </c>
      <c r="C649" s="25" t="s">
        <v>4526</v>
      </c>
      <c r="D649" s="32">
        <v>100</v>
      </c>
      <c r="E649" s="33">
        <v>1589</v>
      </c>
      <c r="F649" s="25" t="s">
        <v>4527</v>
      </c>
      <c r="G649" s="24" t="s">
        <v>4952</v>
      </c>
      <c r="H649" s="24" t="s">
        <v>4959</v>
      </c>
      <c r="I649" s="24" t="s">
        <v>4960</v>
      </c>
      <c r="J649" s="24">
        <f>SE(I649="","-",SE(DATA.VALOR(I649)&lt;HOJE(),"VENCIDO",SE(DATA.VALOR(I649)-HOJE()&lt;=30,"CRÍTICO (&lt;=30D)","REGULAR")))</f>
      </c>
      <c r="K649" s="25" t="s">
        <v>4954</v>
      </c>
      <c r="L649" s="25" t="s">
        <v>4955</v>
      </c>
      <c r="M649" s="25" t="s">
        <v>4961</v>
      </c>
      <c r="N649" s="25" t="s">
        <v>4957</v>
      </c>
    </row>
    <row r="650" ht="20" customHeight="1" spans="1:14" x14ac:dyDescent="0.25">
      <c r="A650" s="21" t="s">
        <v>4962</v>
      </c>
      <c r="B650" s="21" t="s">
        <v>1563</v>
      </c>
      <c r="C650" s="22" t="s">
        <v>4536</v>
      </c>
      <c r="D650" s="30">
        <v>104</v>
      </c>
      <c r="E650" s="31">
        <v>1181.44</v>
      </c>
      <c r="F650" s="22" t="s">
        <v>4527</v>
      </c>
      <c r="G650" s="21" t="s">
        <v>4952</v>
      </c>
      <c r="H650" s="21" t="s">
        <v>4963</v>
      </c>
      <c r="I650" s="21" t="s">
        <v>4964</v>
      </c>
      <c r="J650" s="21">
        <f>SE(I650="","-",SE(DATA.VALOR(I650)&lt;HOJE(),"VENCIDO",SE(DATA.VALOR(I650)-HOJE()&lt;=30,"CRÍTICO (&lt;=30D)","REGULAR")))</f>
      </c>
      <c r="K650" s="22" t="s">
        <v>4954</v>
      </c>
      <c r="L650" s="22" t="s">
        <v>4955</v>
      </c>
      <c r="M650" s="22" t="s">
        <v>4965</v>
      </c>
      <c r="N650" s="22" t="s">
        <v>4957</v>
      </c>
    </row>
    <row r="651" ht="20" customHeight="1" spans="1:14" s="23" customFormat="1" x14ac:dyDescent="0.25">
      <c r="A651" s="24" t="s">
        <v>4966</v>
      </c>
      <c r="B651" s="24" t="s">
        <v>1563</v>
      </c>
      <c r="C651" s="25" t="s">
        <v>4539</v>
      </c>
      <c r="D651" s="32">
        <v>196</v>
      </c>
      <c r="E651" s="33">
        <v>719.32</v>
      </c>
      <c r="F651" s="25" t="s">
        <v>4527</v>
      </c>
      <c r="G651" s="24" t="s">
        <v>4952</v>
      </c>
      <c r="H651" s="24" t="s">
        <v>4953</v>
      </c>
      <c r="I651" s="24" t="s">
        <v>4967</v>
      </c>
      <c r="J651" s="24">
        <f>SE(I651="","-",SE(DATA.VALOR(I651)&lt;HOJE(),"VENCIDO",SE(DATA.VALOR(I651)-HOJE()&lt;=30,"CRÍTICO (&lt;=30D)","REGULAR")))</f>
      </c>
      <c r="K651" s="25" t="s">
        <v>4954</v>
      </c>
      <c r="L651" s="25" t="s">
        <v>4955</v>
      </c>
      <c r="M651" s="25" t="s">
        <v>4968</v>
      </c>
      <c r="N651" s="25" t="s">
        <v>4957</v>
      </c>
    </row>
    <row r="652" ht="20" customHeight="1" spans="1:14" x14ac:dyDescent="0.25">
      <c r="A652" s="21" t="s">
        <v>4969</v>
      </c>
      <c r="B652" s="21" t="s">
        <v>1563</v>
      </c>
      <c r="C652" s="22" t="s">
        <v>4543</v>
      </c>
      <c r="D652" s="30">
        <v>26</v>
      </c>
      <c r="E652" s="31">
        <v>86.06</v>
      </c>
      <c r="F652" s="22" t="s">
        <v>4527</v>
      </c>
      <c r="G652" s="21" t="s">
        <v>4952</v>
      </c>
      <c r="H652" s="21" t="s">
        <v>4970</v>
      </c>
      <c r="I652" s="21" t="s">
        <v>4967</v>
      </c>
      <c r="J652" s="21">
        <f>SE(I652="","-",SE(DATA.VALOR(I652)&lt;HOJE(),"VENCIDO",SE(DATA.VALOR(I652)-HOJE()&lt;=30,"CRÍTICO (&lt;=30D)","REGULAR")))</f>
      </c>
      <c r="K652" s="22" t="s">
        <v>4954</v>
      </c>
      <c r="L652" s="22" t="s">
        <v>4955</v>
      </c>
      <c r="M652" s="22" t="s">
        <v>4971</v>
      </c>
      <c r="N652" s="22" t="s">
        <v>4972</v>
      </c>
    </row>
    <row r="653" ht="20" customHeight="1" spans="1:14" s="23" customFormat="1" x14ac:dyDescent="0.25">
      <c r="A653" s="24" t="s">
        <v>4973</v>
      </c>
      <c r="B653" s="24" t="s">
        <v>2982</v>
      </c>
      <c r="C653" s="25" t="s">
        <v>4338</v>
      </c>
      <c r="D653" s="32">
        <v>175</v>
      </c>
      <c r="E653" s="33">
        <v>647.5</v>
      </c>
      <c r="F653" s="25" t="s">
        <v>3100</v>
      </c>
      <c r="G653" s="24" t="s">
        <v>4974</v>
      </c>
      <c r="H653" s="24" t="s">
        <v>2767</v>
      </c>
      <c r="I653" s="24" t="s">
        <v>2768</v>
      </c>
      <c r="J653" s="24">
        <f>SE(I653="","-",SE(DATA.VALOR(I653)&lt;HOJE(),"VENCIDO",SE(DATA.VALOR(I653)-HOJE()&lt;=30,"CRÍTICO (&lt;=30D)","REGULAR")))</f>
      </c>
      <c r="K653" s="25" t="s">
        <v>4975</v>
      </c>
      <c r="L653" s="25" t="s">
        <v>3650</v>
      </c>
      <c r="M653" s="25" t="s">
        <v>4976</v>
      </c>
      <c r="N653" s="25" t="s">
        <v>4977</v>
      </c>
    </row>
    <row r="654" ht="20" customHeight="1" spans="1:14" x14ac:dyDescent="0.25">
      <c r="A654" s="21" t="s">
        <v>4978</v>
      </c>
      <c r="B654" s="21" t="s">
        <v>2764</v>
      </c>
      <c r="C654" s="22" t="s">
        <v>63</v>
      </c>
      <c r="D654" s="30">
        <v>68.18</v>
      </c>
      <c r="E654" s="31">
        <v>214.76</v>
      </c>
      <c r="F654" s="22" t="s">
        <v>2880</v>
      </c>
      <c r="G654" s="21" t="s">
        <v>87</v>
      </c>
      <c r="H654" s="21" t="s">
        <v>2767</v>
      </c>
      <c r="I654" s="21" t="s">
        <v>2768</v>
      </c>
      <c r="J654" s="21">
        <f>SE(I654="","-",SE(DATA.VALOR(I654)&lt;HOJE(),"VENCIDO",SE(DATA.VALOR(I654)-HOJE()&lt;=30,"CRÍTICO (&lt;=30D)","REGULAR")))</f>
      </c>
      <c r="K654" s="22" t="s">
        <v>2881</v>
      </c>
      <c r="L654" s="22" t="s">
        <v>2882</v>
      </c>
      <c r="M654" s="22" t="s">
        <v>2883</v>
      </c>
      <c r="N654" s="22" t="s">
        <v>4979</v>
      </c>
    </row>
    <row r="655" ht="20" customHeight="1" spans="1:14" s="23" customFormat="1" x14ac:dyDescent="0.25">
      <c r="A655" s="24" t="s">
        <v>4980</v>
      </c>
      <c r="B655" s="24" t="s">
        <v>2683</v>
      </c>
      <c r="C655" s="25" t="s">
        <v>2940</v>
      </c>
      <c r="D655" s="32">
        <v>273</v>
      </c>
      <c r="E655" s="33">
        <v>1004.6400000000001</v>
      </c>
      <c r="F655" s="25" t="s">
        <v>2685</v>
      </c>
      <c r="G655" s="24" t="s">
        <v>2686</v>
      </c>
      <c r="H655" s="24" t="s">
        <v>2687</v>
      </c>
      <c r="I655" s="24" t="s">
        <v>2688</v>
      </c>
      <c r="J655" s="24">
        <f>SE(I655="","-",SE(DATA.VALOR(I655)&lt;HOJE(),"VENCIDO",SE(DATA.VALOR(I655)-HOJE()&lt;=30,"CRÍTICO (&lt;=30D)","REGULAR")))</f>
      </c>
      <c r="K655" s="25" t="s">
        <v>2689</v>
      </c>
      <c r="L655" s="25" t="s">
        <v>2690</v>
      </c>
      <c r="M655" s="25" t="s">
        <v>2691</v>
      </c>
      <c r="N655" s="25" t="s">
        <v>4981</v>
      </c>
    </row>
    <row r="656" ht="20" customHeight="1" spans="1:14" x14ac:dyDescent="0.25">
      <c r="A656" s="21" t="s">
        <v>4982</v>
      </c>
      <c r="B656" s="21" t="s">
        <v>2683</v>
      </c>
      <c r="C656" s="22" t="s">
        <v>4276</v>
      </c>
      <c r="D656" s="30">
        <v>68</v>
      </c>
      <c r="E656" s="31">
        <v>214.2</v>
      </c>
      <c r="F656" s="22" t="s">
        <v>2685</v>
      </c>
      <c r="G656" s="21" t="s">
        <v>2686</v>
      </c>
      <c r="H656" s="21" t="s">
        <v>2687</v>
      </c>
      <c r="I656" s="21" t="s">
        <v>2688</v>
      </c>
      <c r="J656" s="21">
        <f>SE(I656="","-",SE(DATA.VALOR(I656)&lt;HOJE(),"VENCIDO",SE(DATA.VALOR(I656)-HOJE()&lt;=30,"CRÍTICO (&lt;=30D)","REGULAR")))</f>
      </c>
      <c r="K656" s="22" t="s">
        <v>2689</v>
      </c>
      <c r="L656" s="22" t="s">
        <v>2690</v>
      </c>
      <c r="M656" s="22" t="s">
        <v>2691</v>
      </c>
      <c r="N656" s="22" t="s">
        <v>4981</v>
      </c>
    </row>
    <row r="657" ht="20" customHeight="1" spans="1:14" s="23" customFormat="1" x14ac:dyDescent="0.25">
      <c r="A657" s="24" t="s">
        <v>4983</v>
      </c>
      <c r="B657" s="24" t="s">
        <v>2683</v>
      </c>
      <c r="C657" s="25" t="s">
        <v>4266</v>
      </c>
      <c r="D657" s="32">
        <v>156</v>
      </c>
      <c r="E657" s="33">
        <v>616.2</v>
      </c>
      <c r="F657" s="25" t="s">
        <v>2685</v>
      </c>
      <c r="G657" s="24" t="s">
        <v>2686</v>
      </c>
      <c r="H657" s="24" t="s">
        <v>2846</v>
      </c>
      <c r="I657" s="24" t="s">
        <v>2688</v>
      </c>
      <c r="J657" s="24">
        <f>SE(I657="","-",SE(DATA.VALOR(I657)&lt;HOJE(),"VENCIDO",SE(DATA.VALOR(I657)-HOJE()&lt;=30,"CRÍTICO (&lt;=30D)","REGULAR")))</f>
      </c>
      <c r="K657" s="25" t="s">
        <v>2689</v>
      </c>
      <c r="L657" s="25" t="s">
        <v>2690</v>
      </c>
      <c r="M657" s="25" t="s">
        <v>2691</v>
      </c>
      <c r="N657" s="25" t="s">
        <v>4981</v>
      </c>
    </row>
    <row r="658" ht="20" customHeight="1" spans="1:14" x14ac:dyDescent="0.25">
      <c r="A658" s="21" t="s">
        <v>4984</v>
      </c>
      <c r="B658" s="21" t="s">
        <v>2683</v>
      </c>
      <c r="C658" s="22" t="s">
        <v>2940</v>
      </c>
      <c r="D658" s="30">
        <v>202</v>
      </c>
      <c r="E658" s="31">
        <v>727.2</v>
      </c>
      <c r="F658" s="22" t="s">
        <v>2685</v>
      </c>
      <c r="G658" s="21" t="s">
        <v>2686</v>
      </c>
      <c r="H658" s="21" t="s">
        <v>2687</v>
      </c>
      <c r="I658" s="21" t="s">
        <v>2688</v>
      </c>
      <c r="J658" s="21">
        <f>SE(I658="","-",SE(DATA.VALOR(I658)&lt;HOJE(),"VENCIDO",SE(DATA.VALOR(I658)-HOJE()&lt;=30,"CRÍTICO (&lt;=30D)","REGULAR")))</f>
      </c>
      <c r="K658" s="22" t="s">
        <v>2689</v>
      </c>
      <c r="L658" s="22" t="s">
        <v>2690</v>
      </c>
      <c r="M658" s="22" t="s">
        <v>2691</v>
      </c>
      <c r="N658" s="22" t="s">
        <v>4981</v>
      </c>
    </row>
    <row r="659" ht="20" customHeight="1" spans="1:14" s="23" customFormat="1" x14ac:dyDescent="0.25">
      <c r="A659" s="24" t="s">
        <v>4985</v>
      </c>
      <c r="B659" s="24" t="s">
        <v>2683</v>
      </c>
      <c r="C659" s="25" t="s">
        <v>4274</v>
      </c>
      <c r="D659" s="32">
        <v>186</v>
      </c>
      <c r="E659" s="33">
        <v>948.5999999999999</v>
      </c>
      <c r="F659" s="25" t="s">
        <v>2685</v>
      </c>
      <c r="G659" s="24" t="s">
        <v>2686</v>
      </c>
      <c r="H659" s="24" t="s">
        <v>2687</v>
      </c>
      <c r="I659" s="24" t="s">
        <v>2688</v>
      </c>
      <c r="J659" s="24">
        <f>SE(I659="","-",SE(DATA.VALOR(I659)&lt;HOJE(),"VENCIDO",SE(DATA.VALOR(I659)-HOJE()&lt;=30,"CRÍTICO (&lt;=30D)","REGULAR")))</f>
      </c>
      <c r="K659" s="25" t="s">
        <v>2689</v>
      </c>
      <c r="L659" s="25" t="s">
        <v>2690</v>
      </c>
      <c r="M659" s="25" t="s">
        <v>2691</v>
      </c>
      <c r="N659" s="25" t="s">
        <v>4981</v>
      </c>
    </row>
    <row r="660" ht="20" customHeight="1" spans="1:14" x14ac:dyDescent="0.25">
      <c r="A660" s="21" t="s">
        <v>4986</v>
      </c>
      <c r="B660" s="21" t="s">
        <v>2756</v>
      </c>
      <c r="C660" s="22" t="s">
        <v>4274</v>
      </c>
      <c r="D660" s="30">
        <v>68.18</v>
      </c>
      <c r="E660" s="31">
        <v>214.76700000000002</v>
      </c>
      <c r="F660" s="22" t="s">
        <v>2757</v>
      </c>
      <c r="G660" s="21" t="s">
        <v>2758</v>
      </c>
      <c r="H660" s="21" t="s">
        <v>2852</v>
      </c>
      <c r="I660" s="21" t="s">
        <v>1659</v>
      </c>
      <c r="J660" s="21">
        <f>SE(I660="","-",SE(DATA.VALOR(I660)&lt;HOJE(),"VENCIDO",SE(DATA.VALOR(I660)-HOJE()&lt;=30,"CRÍTICO (&lt;=30D)","REGULAR")))</f>
      </c>
      <c r="K660" s="22" t="s">
        <v>2759</v>
      </c>
      <c r="L660" s="22" t="s">
        <v>2760</v>
      </c>
      <c r="M660" s="22" t="s">
        <v>2761</v>
      </c>
      <c r="N660" s="22" t="s">
        <v>4987</v>
      </c>
    </row>
    <row r="661" ht="20" customHeight="1" spans="1:14" s="23" customFormat="1" x14ac:dyDescent="0.25">
      <c r="A661" s="24" t="s">
        <v>4988</v>
      </c>
      <c r="B661" s="24" t="s">
        <v>1584</v>
      </c>
      <c r="C661" s="25" t="s">
        <v>4322</v>
      </c>
      <c r="D661" s="32">
        <v>166</v>
      </c>
      <c r="E661" s="33">
        <v>647.4</v>
      </c>
      <c r="F661" s="25" t="s">
        <v>4298</v>
      </c>
      <c r="G661" s="24" t="s">
        <v>4989</v>
      </c>
      <c r="H661" s="24" t="s">
        <v>4990</v>
      </c>
      <c r="I661" s="24" t="s">
        <v>1651</v>
      </c>
      <c r="J661" s="24">
        <f>SE(I661="","-",SE(DATA.VALOR(I661)&lt;HOJE(),"VENCIDO",SE(DATA.VALOR(I661)-HOJE()&lt;=30,"CRÍTICO (&lt;=30D)","REGULAR")))</f>
      </c>
      <c r="K661" s="25" t="s">
        <v>4991</v>
      </c>
      <c r="L661" s="25" t="s">
        <v>4992</v>
      </c>
      <c r="M661" s="25" t="s">
        <v>4993</v>
      </c>
      <c r="N661" s="25" t="s">
        <v>4994</v>
      </c>
    </row>
    <row r="662" ht="20" customHeight="1" spans="1:14" x14ac:dyDescent="0.25">
      <c r="A662" s="21" t="s">
        <v>4995</v>
      </c>
      <c r="B662" s="21" t="s">
        <v>1584</v>
      </c>
      <c r="C662" s="22" t="s">
        <v>4276</v>
      </c>
      <c r="D662" s="30">
        <v>152</v>
      </c>
      <c r="E662" s="31">
        <v>608</v>
      </c>
      <c r="F662" s="22" t="s">
        <v>4298</v>
      </c>
      <c r="G662" s="21" t="s">
        <v>4989</v>
      </c>
      <c r="H662" s="21" t="s">
        <v>4990</v>
      </c>
      <c r="I662" s="21" t="s">
        <v>1651</v>
      </c>
      <c r="J662" s="21">
        <f>SE(I662="","-",SE(DATA.VALOR(I662)&lt;HOJE(),"VENCIDO",SE(DATA.VALOR(I662)-HOJE()&lt;=30,"CRÍTICO (&lt;=30D)","REGULAR")))</f>
      </c>
      <c r="K662" s="22" t="s">
        <v>4991</v>
      </c>
      <c r="L662" s="22" t="s">
        <v>4992</v>
      </c>
      <c r="M662" s="22" t="s">
        <v>4996</v>
      </c>
      <c r="N662" s="22" t="s">
        <v>4994</v>
      </c>
    </row>
    <row r="663" ht="20" customHeight="1" spans="1:14" s="23" customFormat="1" x14ac:dyDescent="0.25">
      <c r="A663" s="24" t="s">
        <v>4997</v>
      </c>
      <c r="B663" s="24" t="s">
        <v>1584</v>
      </c>
      <c r="C663" s="25" t="s">
        <v>2855</v>
      </c>
      <c r="D663" s="32">
        <v>21</v>
      </c>
      <c r="E663" s="33">
        <v>92.4</v>
      </c>
      <c r="F663" s="25" t="s">
        <v>4298</v>
      </c>
      <c r="G663" s="24" t="s">
        <v>4989</v>
      </c>
      <c r="H663" s="24" t="s">
        <v>4990</v>
      </c>
      <c r="I663" s="24" t="s">
        <v>1651</v>
      </c>
      <c r="J663" s="24">
        <f>SE(I663="","-",SE(DATA.VALOR(I663)&lt;HOJE(),"VENCIDO",SE(DATA.VALOR(I663)-HOJE()&lt;=30,"CRÍTICO (&lt;=30D)","REGULAR")))</f>
      </c>
      <c r="K663" s="25" t="s">
        <v>4991</v>
      </c>
      <c r="L663" s="25" t="s">
        <v>4992</v>
      </c>
      <c r="M663" s="25" t="s">
        <v>4996</v>
      </c>
      <c r="N663" s="25" t="s">
        <v>4994</v>
      </c>
    </row>
    <row r="664" ht="20" customHeight="1" spans="1:14" x14ac:dyDescent="0.25">
      <c r="A664" s="21" t="s">
        <v>4998</v>
      </c>
      <c r="B664" s="21" t="s">
        <v>1584</v>
      </c>
      <c r="C664" s="22" t="s">
        <v>3883</v>
      </c>
      <c r="D664" s="30">
        <v>90</v>
      </c>
      <c r="E664" s="31">
        <v>540</v>
      </c>
      <c r="F664" s="22" t="s">
        <v>4298</v>
      </c>
      <c r="G664" s="21" t="s">
        <v>4989</v>
      </c>
      <c r="H664" s="21" t="s">
        <v>4990</v>
      </c>
      <c r="I664" s="21" t="s">
        <v>1651</v>
      </c>
      <c r="J664" s="21">
        <f>SE(I664="","-",SE(DATA.VALOR(I664)&lt;HOJE(),"VENCIDO",SE(DATA.VALOR(I664)-HOJE()&lt;=30,"CRÍTICO (&lt;=30D)","REGULAR")))</f>
      </c>
      <c r="K664" s="22" t="s">
        <v>4991</v>
      </c>
      <c r="L664" s="22" t="s">
        <v>4992</v>
      </c>
      <c r="M664" s="22" t="s">
        <v>4996</v>
      </c>
      <c r="N664" s="22" t="s">
        <v>4994</v>
      </c>
    </row>
    <row r="665" ht="20" customHeight="1" spans="1:14" s="23" customFormat="1" x14ac:dyDescent="0.25">
      <c r="A665" s="24" t="s">
        <v>4999</v>
      </c>
      <c r="B665" s="24" t="s">
        <v>1584</v>
      </c>
      <c r="C665" s="25" t="s">
        <v>4327</v>
      </c>
      <c r="D665" s="32">
        <v>33</v>
      </c>
      <c r="E665" s="33">
        <v>180.18</v>
      </c>
      <c r="F665" s="25" t="s">
        <v>4298</v>
      </c>
      <c r="G665" s="24" t="s">
        <v>4989</v>
      </c>
      <c r="H665" s="24" t="s">
        <v>4990</v>
      </c>
      <c r="I665" s="24" t="s">
        <v>1651</v>
      </c>
      <c r="J665" s="24">
        <f>SE(I665="","-",SE(DATA.VALOR(I665)&lt;HOJE(),"VENCIDO",SE(DATA.VALOR(I665)-HOJE()&lt;=30,"CRÍTICO (&lt;=30D)","REGULAR")))</f>
      </c>
      <c r="K665" s="25" t="s">
        <v>4991</v>
      </c>
      <c r="L665" s="25" t="s">
        <v>4992</v>
      </c>
      <c r="M665" s="25" t="s">
        <v>4996</v>
      </c>
      <c r="N665" s="25" t="s">
        <v>4994</v>
      </c>
    </row>
    <row r="666" ht="20" customHeight="1" spans="1:14" x14ac:dyDescent="0.25">
      <c r="A666" s="21" t="s">
        <v>5000</v>
      </c>
      <c r="B666" s="21" t="s">
        <v>1584</v>
      </c>
      <c r="C666" s="22" t="s">
        <v>4362</v>
      </c>
      <c r="D666" s="30">
        <v>218</v>
      </c>
      <c r="E666" s="31">
        <v>1308</v>
      </c>
      <c r="F666" s="22" t="s">
        <v>4298</v>
      </c>
      <c r="G666" s="21" t="s">
        <v>4989</v>
      </c>
      <c r="H666" s="21" t="s">
        <v>4990</v>
      </c>
      <c r="I666" s="21" t="s">
        <v>1651</v>
      </c>
      <c r="J666" s="21">
        <f>SE(I666="","-",SE(DATA.VALOR(I666)&lt;HOJE(),"VENCIDO",SE(DATA.VALOR(I666)-HOJE()&lt;=30,"CRÍTICO (&lt;=30D)","REGULAR")))</f>
      </c>
      <c r="K666" s="22" t="s">
        <v>4991</v>
      </c>
      <c r="L666" s="22" t="s">
        <v>4992</v>
      </c>
      <c r="M666" s="22" t="s">
        <v>4996</v>
      </c>
      <c r="N666" s="22" t="s">
        <v>4994</v>
      </c>
    </row>
    <row r="667" ht="20" customHeight="1" spans="1:14" s="23" customFormat="1" x14ac:dyDescent="0.25">
      <c r="A667" s="24" t="s">
        <v>5001</v>
      </c>
      <c r="B667" s="24" t="s">
        <v>1584</v>
      </c>
      <c r="C667" s="25" t="s">
        <v>2940</v>
      </c>
      <c r="D667" s="32">
        <v>60</v>
      </c>
      <c r="E667" s="33">
        <v>180</v>
      </c>
      <c r="F667" s="25" t="s">
        <v>4298</v>
      </c>
      <c r="G667" s="24" t="s">
        <v>4989</v>
      </c>
      <c r="H667" s="24" t="s">
        <v>4990</v>
      </c>
      <c r="I667" s="24" t="s">
        <v>1651</v>
      </c>
      <c r="J667" s="24">
        <f>SE(I667="","-",SE(DATA.VALOR(I667)&lt;HOJE(),"VENCIDO",SE(DATA.VALOR(I667)-HOJE()&lt;=30,"CRÍTICO (&lt;=30D)","REGULAR")))</f>
      </c>
      <c r="K667" s="25" t="s">
        <v>4991</v>
      </c>
      <c r="L667" s="25" t="s">
        <v>4992</v>
      </c>
      <c r="M667" s="25" t="s">
        <v>4996</v>
      </c>
      <c r="N667" s="25" t="s">
        <v>4994</v>
      </c>
    </row>
    <row r="668" ht="20" customHeight="1" spans="1:14" x14ac:dyDescent="0.25">
      <c r="A668" s="21" t="s">
        <v>5002</v>
      </c>
      <c r="B668" s="21" t="s">
        <v>1584</v>
      </c>
      <c r="C668" s="22" t="s">
        <v>4274</v>
      </c>
      <c r="D668" s="30">
        <v>125</v>
      </c>
      <c r="E668" s="31">
        <v>525</v>
      </c>
      <c r="F668" s="22" t="s">
        <v>4298</v>
      </c>
      <c r="G668" s="21" t="s">
        <v>4989</v>
      </c>
      <c r="H668" s="21" t="s">
        <v>4990</v>
      </c>
      <c r="I668" s="21" t="s">
        <v>1651</v>
      </c>
      <c r="J668" s="21">
        <f>SE(I668="","-",SE(DATA.VALOR(I668)&lt;HOJE(),"VENCIDO",SE(DATA.VALOR(I668)-HOJE()&lt;=30,"CRÍTICO (&lt;=30D)","REGULAR")))</f>
      </c>
      <c r="K668" s="22" t="s">
        <v>4991</v>
      </c>
      <c r="L668" s="22" t="s">
        <v>4992</v>
      </c>
      <c r="M668" s="22" t="s">
        <v>4996</v>
      </c>
      <c r="N668" s="22" t="s">
        <v>4994</v>
      </c>
    </row>
    <row r="669" ht="20" customHeight="1" spans="1:14" s="23" customFormat="1" x14ac:dyDescent="0.25">
      <c r="A669" s="24" t="s">
        <v>5003</v>
      </c>
      <c r="B669" s="24" t="s">
        <v>1584</v>
      </c>
      <c r="C669" s="25" t="s">
        <v>4338</v>
      </c>
      <c r="D669" s="32">
        <v>75</v>
      </c>
      <c r="E669" s="33">
        <v>337.5</v>
      </c>
      <c r="F669" s="25" t="s">
        <v>4298</v>
      </c>
      <c r="G669" s="24" t="s">
        <v>4989</v>
      </c>
      <c r="H669" s="24" t="s">
        <v>4990</v>
      </c>
      <c r="I669" s="24" t="s">
        <v>1651</v>
      </c>
      <c r="J669" s="24">
        <f>SE(I669="","-",SE(DATA.VALOR(I669)&lt;HOJE(),"VENCIDO",SE(DATA.VALOR(I669)-HOJE()&lt;=30,"CRÍTICO (&lt;=30D)","REGULAR")))</f>
      </c>
      <c r="K669" s="25" t="s">
        <v>4991</v>
      </c>
      <c r="L669" s="25" t="s">
        <v>4992</v>
      </c>
      <c r="M669" s="25" t="s">
        <v>4996</v>
      </c>
      <c r="N669" s="25" t="s">
        <v>4994</v>
      </c>
    </row>
    <row r="670" ht="20" customHeight="1" spans="1:14" x14ac:dyDescent="0.25">
      <c r="A670" s="21" t="s">
        <v>5004</v>
      </c>
      <c r="B670" s="21" t="s">
        <v>1584</v>
      </c>
      <c r="C670" s="22" t="s">
        <v>4305</v>
      </c>
      <c r="D670" s="30">
        <v>93</v>
      </c>
      <c r="E670" s="31">
        <v>316.2</v>
      </c>
      <c r="F670" s="22" t="s">
        <v>4298</v>
      </c>
      <c r="G670" s="21" t="s">
        <v>4989</v>
      </c>
      <c r="H670" s="21" t="s">
        <v>4990</v>
      </c>
      <c r="I670" s="21" t="s">
        <v>1651</v>
      </c>
      <c r="J670" s="21">
        <f>SE(I670="","-",SE(DATA.VALOR(I670)&lt;HOJE(),"VENCIDO",SE(DATA.VALOR(I670)-HOJE()&lt;=30,"CRÍTICO (&lt;=30D)","REGULAR")))</f>
      </c>
      <c r="K670" s="22" t="s">
        <v>4991</v>
      </c>
      <c r="L670" s="22" t="s">
        <v>4992</v>
      </c>
      <c r="M670" s="22" t="s">
        <v>4996</v>
      </c>
      <c r="N670" s="22" t="s">
        <v>4994</v>
      </c>
    </row>
    <row r="671" ht="20" customHeight="1" spans="1:14" s="23" customFormat="1" x14ac:dyDescent="0.25">
      <c r="A671" s="24" t="s">
        <v>5005</v>
      </c>
      <c r="B671" s="24" t="s">
        <v>1584</v>
      </c>
      <c r="C671" s="25" t="s">
        <v>4369</v>
      </c>
      <c r="D671" s="32">
        <v>156</v>
      </c>
      <c r="E671" s="33">
        <v>483.6</v>
      </c>
      <c r="F671" s="25" t="s">
        <v>4298</v>
      </c>
      <c r="G671" s="24" t="s">
        <v>4989</v>
      </c>
      <c r="H671" s="24" t="s">
        <v>4990</v>
      </c>
      <c r="I671" s="24" t="s">
        <v>1651</v>
      </c>
      <c r="J671" s="24">
        <f>SE(I671="","-",SE(DATA.VALOR(I671)&lt;HOJE(),"VENCIDO",SE(DATA.VALOR(I671)-HOJE()&lt;=30,"CRÍTICO (&lt;=30D)","REGULAR")))</f>
      </c>
      <c r="K671" s="25" t="s">
        <v>4991</v>
      </c>
      <c r="L671" s="25" t="s">
        <v>4992</v>
      </c>
      <c r="M671" s="25" t="s">
        <v>4996</v>
      </c>
      <c r="N671" s="25" t="s">
        <v>4994</v>
      </c>
    </row>
    <row r="672" ht="20" customHeight="1" spans="1:14" x14ac:dyDescent="0.25">
      <c r="A672" s="21" t="s">
        <v>5006</v>
      </c>
      <c r="B672" s="21" t="s">
        <v>1584</v>
      </c>
      <c r="C672" s="22" t="s">
        <v>4318</v>
      </c>
      <c r="D672" s="30">
        <v>162</v>
      </c>
      <c r="E672" s="31">
        <v>680.4</v>
      </c>
      <c r="F672" s="22" t="s">
        <v>4298</v>
      </c>
      <c r="G672" s="21" t="s">
        <v>4989</v>
      </c>
      <c r="H672" s="21" t="s">
        <v>4990</v>
      </c>
      <c r="I672" s="21" t="s">
        <v>1651</v>
      </c>
      <c r="J672" s="21">
        <f>SE(I672="","-",SE(DATA.VALOR(I672)&lt;HOJE(),"VENCIDO",SE(DATA.VALOR(I672)-HOJE()&lt;=30,"CRÍTICO (&lt;=30D)","REGULAR")))</f>
      </c>
      <c r="K672" s="22" t="s">
        <v>4991</v>
      </c>
      <c r="L672" s="22" t="s">
        <v>4992</v>
      </c>
      <c r="M672" s="22" t="s">
        <v>4996</v>
      </c>
      <c r="N672" s="22" t="s">
        <v>4994</v>
      </c>
    </row>
    <row r="673" ht="20" customHeight="1" spans="1:14" s="23" customFormat="1" x14ac:dyDescent="0.25">
      <c r="A673" s="24" t="s">
        <v>5007</v>
      </c>
      <c r="B673" s="24" t="s">
        <v>1584</v>
      </c>
      <c r="C673" s="25" t="s">
        <v>4179</v>
      </c>
      <c r="D673" s="32">
        <v>177</v>
      </c>
      <c r="E673" s="33">
        <v>838.98</v>
      </c>
      <c r="F673" s="25" t="s">
        <v>4298</v>
      </c>
      <c r="G673" s="24" t="s">
        <v>4989</v>
      </c>
      <c r="H673" s="24" t="s">
        <v>4990</v>
      </c>
      <c r="I673" s="24" t="s">
        <v>1651</v>
      </c>
      <c r="J673" s="24">
        <f>SE(I673="","-",SE(DATA.VALOR(I673)&lt;HOJE(),"VENCIDO",SE(DATA.VALOR(I673)-HOJE()&lt;=30,"CRÍTICO (&lt;=30D)","REGULAR")))</f>
      </c>
      <c r="K673" s="25" t="s">
        <v>4991</v>
      </c>
      <c r="L673" s="25" t="s">
        <v>4992</v>
      </c>
      <c r="M673" s="25" t="s">
        <v>4996</v>
      </c>
      <c r="N673" s="25" t="s">
        <v>4994</v>
      </c>
    </row>
    <row r="674" ht="20" customHeight="1" spans="1:14" x14ac:dyDescent="0.25">
      <c r="A674" s="21" t="s">
        <v>5008</v>
      </c>
      <c r="B674" s="21" t="s">
        <v>1056</v>
      </c>
      <c r="C674" s="22" t="s">
        <v>4338</v>
      </c>
      <c r="D674" s="30">
        <v>175</v>
      </c>
      <c r="E674" s="31">
        <v>647.5</v>
      </c>
      <c r="F674" s="22" t="s">
        <v>3149</v>
      </c>
      <c r="G674" s="21" t="s">
        <v>3512</v>
      </c>
      <c r="H674" s="21" t="s">
        <v>5009</v>
      </c>
      <c r="I674" s="21" t="s">
        <v>1669</v>
      </c>
      <c r="J674" s="21">
        <f>SE(I674="","-",SE(DATA.VALOR(I674)&lt;HOJE(),"VENCIDO",SE(DATA.VALOR(I674)-HOJE()&lt;=30,"CRÍTICO (&lt;=30D)","REGULAR")))</f>
      </c>
      <c r="K674" s="22" t="s">
        <v>5010</v>
      </c>
      <c r="L674" s="22" t="s">
        <v>4620</v>
      </c>
      <c r="M674" s="22" t="s">
        <v>5011</v>
      </c>
      <c r="N674" s="22" t="s">
        <v>5012</v>
      </c>
    </row>
    <row r="675" ht="20" customHeight="1" spans="1:14" s="23" customFormat="1" x14ac:dyDescent="0.25">
      <c r="A675" s="24" t="s">
        <v>5013</v>
      </c>
      <c r="B675" s="24" t="s">
        <v>2896</v>
      </c>
      <c r="C675" s="25" t="s">
        <v>63</v>
      </c>
      <c r="D675" s="32">
        <v>100</v>
      </c>
      <c r="E675" s="33">
        <v>398</v>
      </c>
      <c r="F675" s="25" t="s">
        <v>2898</v>
      </c>
      <c r="G675" s="24" t="s">
        <v>2899</v>
      </c>
      <c r="H675" s="24" t="s">
        <v>5014</v>
      </c>
      <c r="I675" s="24" t="s">
        <v>2901</v>
      </c>
      <c r="J675" s="24">
        <f>SE(I675="","-",SE(DATA.VALOR(I675)&lt;HOJE(),"VENCIDO",SE(DATA.VALOR(I675)-HOJE()&lt;=30,"CRÍTICO (&lt;=30D)","REGULAR")))</f>
      </c>
      <c r="K675" s="25" t="s">
        <v>2902</v>
      </c>
      <c r="L675" s="25" t="s">
        <v>2903</v>
      </c>
      <c r="M675" s="25" t="s">
        <v>2909</v>
      </c>
      <c r="N675" s="25" t="s">
        <v>5015</v>
      </c>
    </row>
    <row r="676" ht="20" customHeight="1" spans="1:14" x14ac:dyDescent="0.25">
      <c r="A676" s="21" t="s">
        <v>5016</v>
      </c>
      <c r="B676" s="21" t="s">
        <v>3616</v>
      </c>
      <c r="C676" s="22" t="s">
        <v>2684</v>
      </c>
      <c r="D676" s="30">
        <v>250</v>
      </c>
      <c r="E676" s="31">
        <v>920</v>
      </c>
      <c r="F676" s="22" t="s">
        <v>2685</v>
      </c>
      <c r="G676" s="21" t="s">
        <v>5017</v>
      </c>
      <c r="H676" s="21" t="s">
        <v>2996</v>
      </c>
      <c r="I676" s="21" t="s">
        <v>63</v>
      </c>
      <c r="J676" s="21" t="s">
        <v>20</v>
      </c>
      <c r="K676" s="22" t="s">
        <v>5018</v>
      </c>
      <c r="L676" s="22" t="s">
        <v>3968</v>
      </c>
      <c r="M676" s="22" t="s">
        <v>5019</v>
      </c>
      <c r="N676" s="22" t="s">
        <v>5020</v>
      </c>
    </row>
    <row r="677" ht="20" customHeight="1" spans="1:14" s="23" customFormat="1" x14ac:dyDescent="0.25">
      <c r="A677" s="24" t="s">
        <v>5021</v>
      </c>
      <c r="B677" s="24" t="s">
        <v>3616</v>
      </c>
      <c r="C677" s="25" t="s">
        <v>2666</v>
      </c>
      <c r="D677" s="32">
        <v>45</v>
      </c>
      <c r="E677" s="33">
        <v>141.75</v>
      </c>
      <c r="F677" s="25" t="s">
        <v>2685</v>
      </c>
      <c r="G677" s="24" t="s">
        <v>5017</v>
      </c>
      <c r="H677" s="24" t="s">
        <v>2996</v>
      </c>
      <c r="I677" s="24" t="s">
        <v>63</v>
      </c>
      <c r="J677" s="24" t="s">
        <v>20</v>
      </c>
      <c r="K677" s="25" t="s">
        <v>5018</v>
      </c>
      <c r="L677" s="25" t="s">
        <v>3968</v>
      </c>
      <c r="M677" s="25" t="s">
        <v>5019</v>
      </c>
      <c r="N677" s="25" t="s">
        <v>5020</v>
      </c>
    </row>
    <row r="678" ht="20" customHeight="1" spans="1:14" x14ac:dyDescent="0.25">
      <c r="A678" s="21" t="s">
        <v>5022</v>
      </c>
      <c r="B678" s="21" t="s">
        <v>3616</v>
      </c>
      <c r="C678" s="22" t="s">
        <v>2675</v>
      </c>
      <c r="D678" s="30">
        <v>150</v>
      </c>
      <c r="E678" s="31">
        <v>592.5</v>
      </c>
      <c r="F678" s="22" t="s">
        <v>2685</v>
      </c>
      <c r="G678" s="21" t="s">
        <v>5017</v>
      </c>
      <c r="H678" s="21" t="s">
        <v>2996</v>
      </c>
      <c r="I678" s="21" t="s">
        <v>63</v>
      </c>
      <c r="J678" s="21" t="s">
        <v>20</v>
      </c>
      <c r="K678" s="22" t="s">
        <v>5018</v>
      </c>
      <c r="L678" s="22" t="s">
        <v>3968</v>
      </c>
      <c r="M678" s="22" t="s">
        <v>5019</v>
      </c>
      <c r="N678" s="22" t="s">
        <v>5020</v>
      </c>
    </row>
    <row r="679" ht="20" customHeight="1" spans="1:14" s="23" customFormat="1" x14ac:dyDescent="0.25">
      <c r="A679" s="24" t="s">
        <v>5023</v>
      </c>
      <c r="B679" s="24" t="s">
        <v>3616</v>
      </c>
      <c r="C679" s="25" t="s">
        <v>2716</v>
      </c>
      <c r="D679" s="32">
        <v>218</v>
      </c>
      <c r="E679" s="33">
        <v>1111.8</v>
      </c>
      <c r="F679" s="25" t="s">
        <v>2685</v>
      </c>
      <c r="G679" s="24" t="s">
        <v>5017</v>
      </c>
      <c r="H679" s="24" t="s">
        <v>2996</v>
      </c>
      <c r="I679" s="24" t="s">
        <v>63</v>
      </c>
      <c r="J679" s="24" t="s">
        <v>20</v>
      </c>
      <c r="K679" s="25" t="s">
        <v>5018</v>
      </c>
      <c r="L679" s="25" t="s">
        <v>3968</v>
      </c>
      <c r="M679" s="25" t="s">
        <v>5019</v>
      </c>
      <c r="N679" s="25" t="s">
        <v>5020</v>
      </c>
    </row>
    <row r="680" ht="20" customHeight="1" spans="1:14" x14ac:dyDescent="0.25">
      <c r="A680" s="21" t="s">
        <v>5024</v>
      </c>
      <c r="B680" s="21" t="s">
        <v>3616</v>
      </c>
      <c r="C680" s="22" t="s">
        <v>2696</v>
      </c>
      <c r="D680" s="30">
        <v>140</v>
      </c>
      <c r="E680" s="31">
        <v>504</v>
      </c>
      <c r="F680" s="22" t="s">
        <v>2685</v>
      </c>
      <c r="G680" s="21" t="s">
        <v>5017</v>
      </c>
      <c r="H680" s="21" t="s">
        <v>2996</v>
      </c>
      <c r="I680" s="21" t="s">
        <v>63</v>
      </c>
      <c r="J680" s="21" t="s">
        <v>20</v>
      </c>
      <c r="K680" s="22" t="s">
        <v>5018</v>
      </c>
      <c r="L680" s="22" t="s">
        <v>3968</v>
      </c>
      <c r="M680" s="22" t="s">
        <v>5019</v>
      </c>
      <c r="N680" s="22" t="s">
        <v>5020</v>
      </c>
    </row>
    <row r="681" ht="20" customHeight="1" spans="1:14" s="23" customFormat="1" x14ac:dyDescent="0.25">
      <c r="A681" s="24" t="s">
        <v>5025</v>
      </c>
      <c r="B681" s="24" t="s">
        <v>2923</v>
      </c>
      <c r="C681" s="25" t="s">
        <v>2924</v>
      </c>
      <c r="D681" s="32">
        <v>1201</v>
      </c>
      <c r="E681" s="33">
        <v>0</v>
      </c>
      <c r="F681" s="25" t="s">
        <v>2925</v>
      </c>
      <c r="G681" s="24" t="s">
        <v>2926</v>
      </c>
      <c r="H681" s="24" t="s">
        <v>2927</v>
      </c>
      <c r="I681" s="24" t="s">
        <v>2928</v>
      </c>
      <c r="J681" s="24">
        <f>SE(I681="","-",SE(DATA.VALOR(I681)&lt;HOJE(),"VENCIDO",SE(DATA.VALOR(I681)-HOJE()&lt;=30,"CRÍTICO (&lt;=30D)","REGULAR")))</f>
      </c>
      <c r="K681" s="25" t="s">
        <v>2929</v>
      </c>
      <c r="L681" s="25" t="s">
        <v>2930</v>
      </c>
      <c r="M681" s="25" t="s">
        <v>63</v>
      </c>
      <c r="N681" s="25" t="s">
        <v>5026</v>
      </c>
    </row>
    <row r="682" ht="20" customHeight="1" spans="1:14" x14ac:dyDescent="0.25">
      <c r="A682" s="21" t="s">
        <v>5027</v>
      </c>
      <c r="B682" s="21" t="s">
        <v>1599</v>
      </c>
      <c r="C682" s="22" t="s">
        <v>4338</v>
      </c>
      <c r="D682" s="30">
        <v>75</v>
      </c>
      <c r="E682" s="31">
        <v>337.5</v>
      </c>
      <c r="F682" s="22" t="s">
        <v>3149</v>
      </c>
      <c r="G682" s="21" t="s">
        <v>4442</v>
      </c>
      <c r="H682" s="21" t="s">
        <v>5009</v>
      </c>
      <c r="I682" s="21" t="s">
        <v>1669</v>
      </c>
      <c r="J682" s="21">
        <f>SE(I682="","-",SE(DATA.VALOR(I682)&lt;HOJE(),"VENCIDO",SE(DATA.VALOR(I682)-HOJE()&lt;=30,"CRÍTICO (&lt;=30D)","REGULAR")))</f>
      </c>
      <c r="K682" s="22" t="s">
        <v>5028</v>
      </c>
      <c r="L682" s="22" t="s">
        <v>5029</v>
      </c>
      <c r="M682" s="22" t="s">
        <v>63</v>
      </c>
      <c r="N682" s="22" t="s">
        <v>5030</v>
      </c>
    </row>
    <row r="683" ht="20" customHeight="1" spans="1:14" s="23" customFormat="1" x14ac:dyDescent="0.25">
      <c r="A683" s="24" t="s">
        <v>5031</v>
      </c>
      <c r="B683" s="24" t="s">
        <v>2937</v>
      </c>
      <c r="C683" s="25" t="s">
        <v>3789</v>
      </c>
      <c r="D683" s="32">
        <v>800</v>
      </c>
      <c r="E683" s="33">
        <v>3976</v>
      </c>
      <c r="F683" s="25" t="s">
        <v>2652</v>
      </c>
      <c r="G683" s="24" t="s">
        <v>4431</v>
      </c>
      <c r="H683" s="24" t="s">
        <v>2996</v>
      </c>
      <c r="I683" s="24" t="s">
        <v>2962</v>
      </c>
      <c r="J683" s="24">
        <f>SE(I683="","-",SE(DATA.VALOR(I683)&lt;HOJE(),"VENCIDO",SE(DATA.VALOR(I683)-HOJE()&lt;=30,"CRÍTICO (&lt;=30D)","REGULAR")))</f>
      </c>
      <c r="K683" s="25" t="s">
        <v>5032</v>
      </c>
      <c r="L683" s="25" t="s">
        <v>4046</v>
      </c>
      <c r="M683" s="25" t="s">
        <v>3790</v>
      </c>
      <c r="N683" s="25" t="s">
        <v>5033</v>
      </c>
    </row>
    <row r="684" ht="20" customHeight="1" spans="1:14" x14ac:dyDescent="0.25">
      <c r="A684" s="21" t="s">
        <v>5034</v>
      </c>
      <c r="B684" s="21" t="s">
        <v>1563</v>
      </c>
      <c r="C684" s="22" t="s">
        <v>4276</v>
      </c>
      <c r="D684" s="30">
        <v>158</v>
      </c>
      <c r="E684" s="31">
        <v>632</v>
      </c>
      <c r="F684" s="22" t="s">
        <v>4374</v>
      </c>
      <c r="G684" s="21" t="s">
        <v>5035</v>
      </c>
      <c r="H684" s="21" t="s">
        <v>5036</v>
      </c>
      <c r="I684" s="21" t="s">
        <v>1651</v>
      </c>
      <c r="J684" s="21">
        <f>SE(I684="","-",SE(DATA.VALOR(I684)&lt;HOJE(),"VENCIDO",SE(DATA.VALOR(I684)-HOJE()&lt;=30,"CRÍTICO (&lt;=30D)","REGULAR")))</f>
      </c>
      <c r="K684" s="22" t="s">
        <v>5037</v>
      </c>
      <c r="L684" s="22" t="s">
        <v>5038</v>
      </c>
      <c r="M684" s="22" t="s">
        <v>5039</v>
      </c>
      <c r="N684" s="22" t="s">
        <v>5040</v>
      </c>
    </row>
    <row r="685" ht="20" customHeight="1" spans="1:14" s="23" customFormat="1" x14ac:dyDescent="0.25">
      <c r="A685" s="24" t="s">
        <v>5041</v>
      </c>
      <c r="B685" s="24" t="s">
        <v>1563</v>
      </c>
      <c r="C685" s="25" t="s">
        <v>2940</v>
      </c>
      <c r="D685" s="32">
        <v>76</v>
      </c>
      <c r="E685" s="33">
        <v>228</v>
      </c>
      <c r="F685" s="25" t="s">
        <v>4374</v>
      </c>
      <c r="G685" s="24" t="s">
        <v>5035</v>
      </c>
      <c r="H685" s="24" t="s">
        <v>5036</v>
      </c>
      <c r="I685" s="24" t="s">
        <v>1651</v>
      </c>
      <c r="J685" s="24">
        <f>SE(I685="","-",SE(DATA.VALOR(I685)&lt;HOJE(),"VENCIDO",SE(DATA.VALOR(I685)-HOJE()&lt;=30,"CRÍTICO (&lt;=30D)","REGULAR")))</f>
      </c>
      <c r="K685" s="25" t="s">
        <v>5037</v>
      </c>
      <c r="L685" s="25" t="s">
        <v>5038</v>
      </c>
      <c r="M685" s="25" t="s">
        <v>5039</v>
      </c>
      <c r="N685" s="25" t="s">
        <v>5040</v>
      </c>
    </row>
    <row r="686" ht="20" customHeight="1" spans="1:14" x14ac:dyDescent="0.25">
      <c r="A686" s="21" t="s">
        <v>5042</v>
      </c>
      <c r="B686" s="21" t="s">
        <v>1563</v>
      </c>
      <c r="C686" s="22" t="s">
        <v>4274</v>
      </c>
      <c r="D686" s="30">
        <v>149</v>
      </c>
      <c r="E686" s="31">
        <v>625.8</v>
      </c>
      <c r="F686" s="22" t="s">
        <v>4374</v>
      </c>
      <c r="G686" s="21" t="s">
        <v>5035</v>
      </c>
      <c r="H686" s="21" t="s">
        <v>5036</v>
      </c>
      <c r="I686" s="21" t="s">
        <v>1651</v>
      </c>
      <c r="J686" s="21">
        <f>SE(I686="","-",SE(DATA.VALOR(I686)&lt;HOJE(),"VENCIDO",SE(DATA.VALOR(I686)-HOJE()&lt;=30,"CRÍTICO (&lt;=30D)","REGULAR")))</f>
      </c>
      <c r="K686" s="22" t="s">
        <v>5037</v>
      </c>
      <c r="L686" s="22" t="s">
        <v>5038</v>
      </c>
      <c r="M686" s="22" t="s">
        <v>5039</v>
      </c>
      <c r="N686" s="22" t="s">
        <v>5040</v>
      </c>
    </row>
    <row r="687" ht="20" customHeight="1" spans="1:14" s="23" customFormat="1" x14ac:dyDescent="0.25">
      <c r="A687" s="24" t="s">
        <v>5043</v>
      </c>
      <c r="B687" s="24" t="s">
        <v>1563</v>
      </c>
      <c r="C687" s="25" t="s">
        <v>4266</v>
      </c>
      <c r="D687" s="32">
        <v>92</v>
      </c>
      <c r="E687" s="33">
        <v>294.4</v>
      </c>
      <c r="F687" s="25" t="s">
        <v>4374</v>
      </c>
      <c r="G687" s="24" t="s">
        <v>5035</v>
      </c>
      <c r="H687" s="24" t="s">
        <v>5036</v>
      </c>
      <c r="I687" s="24" t="s">
        <v>1651</v>
      </c>
      <c r="J687" s="24">
        <f>SE(I687="","-",SE(DATA.VALOR(I687)&lt;HOJE(),"VENCIDO",SE(DATA.VALOR(I687)-HOJE()&lt;=30,"CRÍTICO (&lt;=30D)","REGULAR")))</f>
      </c>
      <c r="K687" s="25" t="s">
        <v>5037</v>
      </c>
      <c r="L687" s="25" t="s">
        <v>5038</v>
      </c>
      <c r="M687" s="25" t="s">
        <v>5039</v>
      </c>
      <c r="N687" s="25" t="s">
        <v>5040</v>
      </c>
    </row>
    <row r="688" ht="20" customHeight="1" spans="1:14" x14ac:dyDescent="0.25">
      <c r="A688" s="21" t="s">
        <v>5044</v>
      </c>
      <c r="B688" s="21" t="s">
        <v>1563</v>
      </c>
      <c r="C688" s="22" t="s">
        <v>4318</v>
      </c>
      <c r="D688" s="30">
        <v>160</v>
      </c>
      <c r="E688" s="31">
        <v>672</v>
      </c>
      <c r="F688" s="22" t="s">
        <v>4374</v>
      </c>
      <c r="G688" s="21" t="s">
        <v>5035</v>
      </c>
      <c r="H688" s="21" t="s">
        <v>5036</v>
      </c>
      <c r="I688" s="21" t="s">
        <v>1651</v>
      </c>
      <c r="J688" s="21">
        <f>SE(I688="","-",SE(DATA.VALOR(I688)&lt;HOJE(),"VENCIDO",SE(DATA.VALOR(I688)-HOJE()&lt;=30,"CRÍTICO (&lt;=30D)","REGULAR")))</f>
      </c>
      <c r="K688" s="22" t="s">
        <v>5037</v>
      </c>
      <c r="L688" s="22" t="s">
        <v>5038</v>
      </c>
      <c r="M688" s="22" t="s">
        <v>5039</v>
      </c>
      <c r="N688" s="22" t="s">
        <v>5040</v>
      </c>
    </row>
    <row r="689" ht="20" customHeight="1" spans="1:14" s="23" customFormat="1" x14ac:dyDescent="0.25">
      <c r="A689" s="24" t="s">
        <v>5045</v>
      </c>
      <c r="B689" s="24" t="s">
        <v>1563</v>
      </c>
      <c r="C689" s="25" t="s">
        <v>4179</v>
      </c>
      <c r="D689" s="32">
        <v>170</v>
      </c>
      <c r="E689" s="33">
        <v>805.8</v>
      </c>
      <c r="F689" s="25" t="s">
        <v>4374</v>
      </c>
      <c r="G689" s="24" t="s">
        <v>5035</v>
      </c>
      <c r="H689" s="24" t="s">
        <v>5036</v>
      </c>
      <c r="I689" s="24" t="s">
        <v>1651</v>
      </c>
      <c r="J689" s="24">
        <f>SE(I689="","-",SE(DATA.VALOR(I689)&lt;HOJE(),"VENCIDO",SE(DATA.VALOR(I689)-HOJE()&lt;=30,"CRÍTICO (&lt;=30D)","REGULAR")))</f>
      </c>
      <c r="K689" s="25" t="s">
        <v>5037</v>
      </c>
      <c r="L689" s="25" t="s">
        <v>5038</v>
      </c>
      <c r="M689" s="25" t="s">
        <v>5039</v>
      </c>
      <c r="N689" s="25" t="s">
        <v>5040</v>
      </c>
    </row>
    <row r="690" ht="20" customHeight="1" spans="1:14" x14ac:dyDescent="0.25">
      <c r="A690" s="21" t="s">
        <v>5046</v>
      </c>
      <c r="B690" s="21" t="s">
        <v>1563</v>
      </c>
      <c r="C690" s="22" t="s">
        <v>4276</v>
      </c>
      <c r="D690" s="30">
        <v>159</v>
      </c>
      <c r="E690" s="31">
        <v>636</v>
      </c>
      <c r="F690" s="22" t="s">
        <v>2734</v>
      </c>
      <c r="G690" s="21" t="s">
        <v>5047</v>
      </c>
      <c r="H690" s="21" t="s">
        <v>2852</v>
      </c>
      <c r="I690" s="21" t="s">
        <v>1651</v>
      </c>
      <c r="J690" s="21">
        <f>SE(I690="","-",SE(DATA.VALOR(I690)&lt;HOJE(),"VENCIDO",SE(DATA.VALOR(I690)-HOJE()&lt;=30,"CRÍTICO (&lt;=30D)","REGULAR")))</f>
      </c>
      <c r="K690" s="22" t="s">
        <v>5048</v>
      </c>
      <c r="L690" s="22" t="s">
        <v>5049</v>
      </c>
      <c r="M690" s="22" t="s">
        <v>4993</v>
      </c>
      <c r="N690" s="22" t="s">
        <v>5050</v>
      </c>
    </row>
    <row r="691" ht="20" customHeight="1" spans="1:14" s="23" customFormat="1" x14ac:dyDescent="0.25">
      <c r="A691" s="24" t="s">
        <v>5051</v>
      </c>
      <c r="B691" s="24" t="s">
        <v>1560</v>
      </c>
      <c r="C691" s="25" t="s">
        <v>3883</v>
      </c>
      <c r="D691" s="32">
        <v>44</v>
      </c>
      <c r="E691" s="33">
        <v>264</v>
      </c>
      <c r="F691" s="25" t="s">
        <v>5052</v>
      </c>
      <c r="G691" s="24" t="s">
        <v>2686</v>
      </c>
      <c r="H691" s="24" t="s">
        <v>5053</v>
      </c>
      <c r="I691" s="24" t="s">
        <v>1637</v>
      </c>
      <c r="J691" s="24">
        <f>SE(I691="","-",SE(DATA.VALOR(I691)&lt;HOJE(),"VENCIDO",SE(DATA.VALOR(I691)-HOJE()&lt;=30,"CRÍTICO (&lt;=30D)","REGULAR")))</f>
      </c>
      <c r="K691" s="25" t="s">
        <v>5054</v>
      </c>
      <c r="L691" s="25" t="s">
        <v>5055</v>
      </c>
      <c r="M691" s="25" t="s">
        <v>5056</v>
      </c>
      <c r="N691" s="25" t="s">
        <v>5057</v>
      </c>
    </row>
    <row r="692" ht="20" customHeight="1" spans="1:14" x14ac:dyDescent="0.25">
      <c r="A692" s="21" t="s">
        <v>5058</v>
      </c>
      <c r="B692" s="21" t="s">
        <v>1560</v>
      </c>
      <c r="C692" s="22" t="s">
        <v>4327</v>
      </c>
      <c r="D692" s="30">
        <v>30</v>
      </c>
      <c r="E692" s="31">
        <v>163.8</v>
      </c>
      <c r="F692" s="22" t="s">
        <v>5052</v>
      </c>
      <c r="G692" s="21" t="s">
        <v>2686</v>
      </c>
      <c r="H692" s="21" t="s">
        <v>5053</v>
      </c>
      <c r="I692" s="21" t="s">
        <v>1637</v>
      </c>
      <c r="J692" s="21">
        <f>SE(I692="","-",SE(DATA.VALOR(I692)&lt;HOJE(),"VENCIDO",SE(DATA.VALOR(I692)-HOJE()&lt;=30,"CRÍTICO (&lt;=30D)","REGULAR")))</f>
      </c>
      <c r="K692" s="22" t="s">
        <v>5054</v>
      </c>
      <c r="L692" s="22" t="s">
        <v>5055</v>
      </c>
      <c r="M692" s="22" t="s">
        <v>5056</v>
      </c>
      <c r="N692" s="22" t="s">
        <v>5057</v>
      </c>
    </row>
    <row r="693" ht="20" customHeight="1" spans="1:14" s="23" customFormat="1" x14ac:dyDescent="0.25">
      <c r="A693" s="24" t="s">
        <v>5059</v>
      </c>
      <c r="B693" s="24" t="s">
        <v>1560</v>
      </c>
      <c r="C693" s="25" t="s">
        <v>4362</v>
      </c>
      <c r="D693" s="32">
        <v>193</v>
      </c>
      <c r="E693" s="33">
        <v>1158</v>
      </c>
      <c r="F693" s="25" t="s">
        <v>5052</v>
      </c>
      <c r="G693" s="24" t="s">
        <v>2686</v>
      </c>
      <c r="H693" s="24" t="s">
        <v>5053</v>
      </c>
      <c r="I693" s="24" t="s">
        <v>1637</v>
      </c>
      <c r="J693" s="24">
        <f>SE(I693="","-",SE(DATA.VALOR(I693)&lt;HOJE(),"VENCIDO",SE(DATA.VALOR(I693)-HOJE()&lt;=30,"CRÍTICO (&lt;=30D)","REGULAR")))</f>
      </c>
      <c r="K693" s="25" t="s">
        <v>5054</v>
      </c>
      <c r="L693" s="25" t="s">
        <v>5055</v>
      </c>
      <c r="M693" s="25" t="s">
        <v>5056</v>
      </c>
      <c r="N693" s="25" t="s">
        <v>5057</v>
      </c>
    </row>
    <row r="694" ht="20" customHeight="1" spans="1:14" x14ac:dyDescent="0.25">
      <c r="A694" s="21" t="s">
        <v>5060</v>
      </c>
      <c r="B694" s="21" t="s">
        <v>1560</v>
      </c>
      <c r="C694" s="22" t="s">
        <v>2940</v>
      </c>
      <c r="D694" s="30">
        <v>60</v>
      </c>
      <c r="E694" s="31">
        <v>180</v>
      </c>
      <c r="F694" s="22" t="s">
        <v>5052</v>
      </c>
      <c r="G694" s="21" t="s">
        <v>2686</v>
      </c>
      <c r="H694" s="21" t="s">
        <v>5053</v>
      </c>
      <c r="I694" s="21" t="s">
        <v>1637</v>
      </c>
      <c r="J694" s="21">
        <f>SE(I694="","-",SE(DATA.VALOR(I694)&lt;HOJE(),"VENCIDO",SE(DATA.VALOR(I694)-HOJE()&lt;=30,"CRÍTICO (&lt;=30D)","REGULAR")))</f>
      </c>
      <c r="K694" s="22" t="s">
        <v>5054</v>
      </c>
      <c r="L694" s="22" t="s">
        <v>5055</v>
      </c>
      <c r="M694" s="22" t="s">
        <v>5056</v>
      </c>
      <c r="N694" s="22" t="s">
        <v>5057</v>
      </c>
    </row>
    <row r="695" ht="20" customHeight="1" spans="1:14" s="23" customFormat="1" x14ac:dyDescent="0.25">
      <c r="A695" s="24" t="s">
        <v>5061</v>
      </c>
      <c r="B695" s="24" t="s">
        <v>1560</v>
      </c>
      <c r="C695" s="25" t="s">
        <v>4274</v>
      </c>
      <c r="D695" s="32">
        <v>74</v>
      </c>
      <c r="E695" s="33">
        <v>310.8</v>
      </c>
      <c r="F695" s="25" t="s">
        <v>5052</v>
      </c>
      <c r="G695" s="24" t="s">
        <v>2686</v>
      </c>
      <c r="H695" s="24" t="s">
        <v>5053</v>
      </c>
      <c r="I695" s="24" t="s">
        <v>1637</v>
      </c>
      <c r="J695" s="24">
        <f>SE(I695="","-",SE(DATA.VALOR(I695)&lt;HOJE(),"VENCIDO",SE(DATA.VALOR(I695)-HOJE()&lt;=30,"CRÍTICO (&lt;=30D)","REGULAR")))</f>
      </c>
      <c r="K695" s="25" t="s">
        <v>5054</v>
      </c>
      <c r="L695" s="25" t="s">
        <v>5055</v>
      </c>
      <c r="M695" s="25" t="s">
        <v>5056</v>
      </c>
      <c r="N695" s="25" t="s">
        <v>5057</v>
      </c>
    </row>
    <row r="696" ht="20" customHeight="1" spans="1:14" x14ac:dyDescent="0.25">
      <c r="A696" s="21" t="s">
        <v>5062</v>
      </c>
      <c r="B696" s="21" t="s">
        <v>1560</v>
      </c>
      <c r="C696" s="22" t="s">
        <v>5063</v>
      </c>
      <c r="D696" s="30">
        <v>201</v>
      </c>
      <c r="E696" s="31">
        <v>1025.1</v>
      </c>
      <c r="F696" s="22" t="s">
        <v>5052</v>
      </c>
      <c r="G696" s="21" t="s">
        <v>2686</v>
      </c>
      <c r="H696" s="21" t="s">
        <v>5053</v>
      </c>
      <c r="I696" s="21" t="s">
        <v>1637</v>
      </c>
      <c r="J696" s="21">
        <f>SE(I696="","-",SE(DATA.VALOR(I696)&lt;HOJE(),"VENCIDO",SE(DATA.VALOR(I696)-HOJE()&lt;=30,"CRÍTICO (&lt;=30D)","REGULAR")))</f>
      </c>
      <c r="K696" s="22" t="s">
        <v>5054</v>
      </c>
      <c r="L696" s="22" t="s">
        <v>5055</v>
      </c>
      <c r="M696" s="22" t="s">
        <v>5056</v>
      </c>
      <c r="N696" s="22" t="s">
        <v>5057</v>
      </c>
    </row>
    <row r="697" ht="20" customHeight="1" spans="1:14" s="23" customFormat="1" x14ac:dyDescent="0.25">
      <c r="A697" s="24" t="s">
        <v>5064</v>
      </c>
      <c r="B697" s="24" t="s">
        <v>1560</v>
      </c>
      <c r="C697" s="25" t="s">
        <v>2940</v>
      </c>
      <c r="D697" s="32">
        <v>60</v>
      </c>
      <c r="E697" s="33">
        <v>180</v>
      </c>
      <c r="F697" s="25" t="s">
        <v>2717</v>
      </c>
      <c r="G697" s="24" t="s">
        <v>5065</v>
      </c>
      <c r="H697" s="24" t="s">
        <v>5053</v>
      </c>
      <c r="I697" s="24" t="s">
        <v>1637</v>
      </c>
      <c r="J697" s="24">
        <f>SE(I697="","-",SE(DATA.VALOR(I697)&lt;HOJE(),"VENCIDO",SE(DATA.VALOR(I697)-HOJE()&lt;=30,"CRÍTICO (&lt;=30D)","REGULAR")))</f>
      </c>
      <c r="K697" s="25" t="s">
        <v>5066</v>
      </c>
      <c r="L697" s="25" t="s">
        <v>5067</v>
      </c>
      <c r="M697" s="25" t="s">
        <v>5068</v>
      </c>
      <c r="N697" s="25" t="s">
        <v>5069</v>
      </c>
    </row>
    <row r="698" ht="20" customHeight="1" spans="1:14" x14ac:dyDescent="0.25">
      <c r="A698" s="21" t="s">
        <v>5070</v>
      </c>
      <c r="B698" s="21" t="s">
        <v>1560</v>
      </c>
      <c r="C698" s="22" t="s">
        <v>4362</v>
      </c>
      <c r="D698" s="30">
        <v>218</v>
      </c>
      <c r="E698" s="31">
        <v>1308</v>
      </c>
      <c r="F698" s="22" t="s">
        <v>2717</v>
      </c>
      <c r="G698" s="21" t="s">
        <v>5065</v>
      </c>
      <c r="H698" s="21" t="s">
        <v>5053</v>
      </c>
      <c r="I698" s="21" t="s">
        <v>1637</v>
      </c>
      <c r="J698" s="21">
        <f>SE(I698="","-",SE(DATA.VALOR(I698)&lt;HOJE(),"VENCIDO",SE(DATA.VALOR(I698)-HOJE()&lt;=30,"CRÍTICO (&lt;=30D)","REGULAR")))</f>
      </c>
      <c r="K698" s="22" t="s">
        <v>5066</v>
      </c>
      <c r="L698" s="22" t="s">
        <v>5067</v>
      </c>
      <c r="M698" s="22" t="s">
        <v>5068</v>
      </c>
      <c r="N698" s="22" t="s">
        <v>5069</v>
      </c>
    </row>
    <row r="699" ht="20" customHeight="1" spans="1:14" s="23" customFormat="1" x14ac:dyDescent="0.25">
      <c r="A699" s="24" t="s">
        <v>5071</v>
      </c>
      <c r="B699" s="24" t="s">
        <v>1560</v>
      </c>
      <c r="C699" s="25" t="s">
        <v>5063</v>
      </c>
      <c r="D699" s="32">
        <v>196</v>
      </c>
      <c r="E699" s="33">
        <v>999.6</v>
      </c>
      <c r="F699" s="25" t="s">
        <v>2717</v>
      </c>
      <c r="G699" s="24" t="s">
        <v>5065</v>
      </c>
      <c r="H699" s="24" t="s">
        <v>5053</v>
      </c>
      <c r="I699" s="24" t="s">
        <v>1637</v>
      </c>
      <c r="J699" s="24">
        <f>SE(I699="","-",SE(DATA.VALOR(I699)&lt;HOJE(),"VENCIDO",SE(DATA.VALOR(I699)-HOJE()&lt;=30,"CRÍTICO (&lt;=30D)","REGULAR")))</f>
      </c>
      <c r="K699" s="25" t="s">
        <v>5066</v>
      </c>
      <c r="L699" s="25" t="s">
        <v>5067</v>
      </c>
      <c r="M699" s="25" t="s">
        <v>5068</v>
      </c>
      <c r="N699" s="25" t="s">
        <v>5069</v>
      </c>
    </row>
    <row r="700" ht="20" customHeight="1" spans="1:14" x14ac:dyDescent="0.25">
      <c r="A700" s="21" t="s">
        <v>5072</v>
      </c>
      <c r="B700" s="21" t="s">
        <v>1560</v>
      </c>
      <c r="C700" s="22" t="s">
        <v>3883</v>
      </c>
      <c r="D700" s="30">
        <v>48</v>
      </c>
      <c r="E700" s="31">
        <v>288</v>
      </c>
      <c r="F700" s="22" t="s">
        <v>2717</v>
      </c>
      <c r="G700" s="21" t="s">
        <v>5065</v>
      </c>
      <c r="H700" s="21" t="s">
        <v>5053</v>
      </c>
      <c r="I700" s="21" t="s">
        <v>1637</v>
      </c>
      <c r="J700" s="21">
        <f>SE(I700="","-",SE(DATA.VALOR(I700)&lt;HOJE(),"VENCIDO",SE(DATA.VALOR(I700)-HOJE()&lt;=30,"CRÍTICO (&lt;=30D)","REGULAR")))</f>
      </c>
      <c r="K700" s="22" t="s">
        <v>5066</v>
      </c>
      <c r="L700" s="22" t="s">
        <v>5067</v>
      </c>
      <c r="M700" s="22" t="s">
        <v>5068</v>
      </c>
      <c r="N700" s="22" t="s">
        <v>5069</v>
      </c>
    </row>
    <row r="701" ht="20" customHeight="1" spans="1:14" s="23" customFormat="1" x14ac:dyDescent="0.25">
      <c r="A701" s="24" t="s">
        <v>5073</v>
      </c>
      <c r="B701" s="24" t="s">
        <v>1560</v>
      </c>
      <c r="C701" s="25" t="s">
        <v>4327</v>
      </c>
      <c r="D701" s="32">
        <v>30</v>
      </c>
      <c r="E701" s="33">
        <v>163.8</v>
      </c>
      <c r="F701" s="25" t="s">
        <v>2717</v>
      </c>
      <c r="G701" s="24" t="s">
        <v>5065</v>
      </c>
      <c r="H701" s="24" t="s">
        <v>5053</v>
      </c>
      <c r="I701" s="24" t="s">
        <v>1637</v>
      </c>
      <c r="J701" s="24">
        <f>SE(I701="","-",SE(DATA.VALOR(I701)&lt;HOJE(),"VENCIDO",SE(DATA.VALOR(I701)-HOJE()&lt;=30,"CRÍTICO (&lt;=30D)","REGULAR")))</f>
      </c>
      <c r="K701" s="25" t="s">
        <v>5066</v>
      </c>
      <c r="L701" s="25" t="s">
        <v>5067</v>
      </c>
      <c r="M701" s="25" t="s">
        <v>5068</v>
      </c>
      <c r="N701" s="25" t="s">
        <v>5069</v>
      </c>
    </row>
    <row r="702" ht="20" customHeight="1" spans="1:14" x14ac:dyDescent="0.25">
      <c r="A702" s="21" t="s">
        <v>5074</v>
      </c>
      <c r="B702" s="21" t="s">
        <v>1637</v>
      </c>
      <c r="C702" s="22" t="s">
        <v>5075</v>
      </c>
      <c r="D702" s="30">
        <v>5000</v>
      </c>
      <c r="E702" s="31">
        <v>24650</v>
      </c>
      <c r="F702" s="22" t="s">
        <v>2601</v>
      </c>
      <c r="G702" s="21" t="s">
        <v>5076</v>
      </c>
      <c r="H702" s="21" t="s">
        <v>5077</v>
      </c>
      <c r="I702" s="21" t="s">
        <v>5078</v>
      </c>
      <c r="J702" s="21">
        <f>SE(I702="","-",SE(DATA.VALOR(I702)&lt;HOJE(),"VENCIDO",SE(DATA.VALOR(I702)-HOJE()&lt;=30,"CRÍTICO (&lt;=30D)","REGULAR")))</f>
      </c>
      <c r="K702" s="22" t="s">
        <v>5079</v>
      </c>
      <c r="L702" s="22" t="s">
        <v>5080</v>
      </c>
      <c r="M702" s="22" t="s">
        <v>5081</v>
      </c>
      <c r="N702" s="22" t="s">
        <v>5082</v>
      </c>
    </row>
    <row r="703" ht="20" customHeight="1" spans="1:14" s="23" customFormat="1" x14ac:dyDescent="0.25">
      <c r="A703" s="24" t="s">
        <v>5083</v>
      </c>
      <c r="B703" s="24" t="s">
        <v>1524</v>
      </c>
      <c r="C703" s="25" t="s">
        <v>2940</v>
      </c>
      <c r="D703" s="32">
        <v>60</v>
      </c>
      <c r="E703" s="33">
        <v>180</v>
      </c>
      <c r="F703" s="25" t="s">
        <v>2717</v>
      </c>
      <c r="G703" s="24" t="s">
        <v>4278</v>
      </c>
      <c r="H703" s="24" t="s">
        <v>2996</v>
      </c>
      <c r="I703" s="24" t="s">
        <v>63</v>
      </c>
      <c r="J703" s="24" t="s">
        <v>20</v>
      </c>
      <c r="K703" s="25" t="s">
        <v>5084</v>
      </c>
      <c r="L703" s="25" t="s">
        <v>5066</v>
      </c>
      <c r="M703" s="25" t="s">
        <v>5068</v>
      </c>
      <c r="N703" s="25" t="s">
        <v>5085</v>
      </c>
    </row>
    <row r="704" ht="20" customHeight="1" spans="1:14" x14ac:dyDescent="0.25">
      <c r="A704" s="21" t="s">
        <v>5086</v>
      </c>
      <c r="B704" s="21" t="s">
        <v>1524</v>
      </c>
      <c r="C704" s="22" t="s">
        <v>4362</v>
      </c>
      <c r="D704" s="30">
        <v>218</v>
      </c>
      <c r="E704" s="31">
        <v>1308</v>
      </c>
      <c r="F704" s="22" t="s">
        <v>2717</v>
      </c>
      <c r="G704" s="21" t="s">
        <v>4278</v>
      </c>
      <c r="H704" s="21" t="s">
        <v>2996</v>
      </c>
      <c r="I704" s="21" t="s">
        <v>63</v>
      </c>
      <c r="J704" s="21" t="s">
        <v>20</v>
      </c>
      <c r="K704" s="22" t="s">
        <v>5084</v>
      </c>
      <c r="L704" s="22" t="s">
        <v>5066</v>
      </c>
      <c r="M704" s="22" t="s">
        <v>5068</v>
      </c>
      <c r="N704" s="22" t="s">
        <v>5087</v>
      </c>
    </row>
    <row r="705" ht="20" customHeight="1" spans="1:14" s="23" customFormat="1" x14ac:dyDescent="0.25">
      <c r="A705" s="24" t="s">
        <v>5088</v>
      </c>
      <c r="B705" s="24" t="s">
        <v>1524</v>
      </c>
      <c r="C705" s="25" t="s">
        <v>5063</v>
      </c>
      <c r="D705" s="32">
        <v>196</v>
      </c>
      <c r="E705" s="33">
        <v>999.6</v>
      </c>
      <c r="F705" s="25" t="s">
        <v>2717</v>
      </c>
      <c r="G705" s="24" t="s">
        <v>4278</v>
      </c>
      <c r="H705" s="24" t="s">
        <v>2996</v>
      </c>
      <c r="I705" s="24" t="s">
        <v>63</v>
      </c>
      <c r="J705" s="24" t="s">
        <v>20</v>
      </c>
      <c r="K705" s="25" t="s">
        <v>5084</v>
      </c>
      <c r="L705" s="25" t="s">
        <v>5066</v>
      </c>
      <c r="M705" s="25" t="s">
        <v>5068</v>
      </c>
      <c r="N705" s="25" t="s">
        <v>5089</v>
      </c>
    </row>
    <row r="706" ht="20" customHeight="1" spans="1:14" x14ac:dyDescent="0.25">
      <c r="A706" s="21" t="s">
        <v>5090</v>
      </c>
      <c r="B706" s="21" t="s">
        <v>1524</v>
      </c>
      <c r="C706" s="22" t="s">
        <v>3883</v>
      </c>
      <c r="D706" s="30">
        <v>48</v>
      </c>
      <c r="E706" s="31">
        <v>288</v>
      </c>
      <c r="F706" s="22" t="s">
        <v>2717</v>
      </c>
      <c r="G706" s="21" t="s">
        <v>4278</v>
      </c>
      <c r="H706" s="21" t="s">
        <v>2996</v>
      </c>
      <c r="I706" s="21" t="s">
        <v>63</v>
      </c>
      <c r="J706" s="21" t="s">
        <v>20</v>
      </c>
      <c r="K706" s="22" t="s">
        <v>5084</v>
      </c>
      <c r="L706" s="22" t="s">
        <v>5066</v>
      </c>
      <c r="M706" s="22" t="s">
        <v>5068</v>
      </c>
      <c r="N706" s="22" t="s">
        <v>5091</v>
      </c>
    </row>
    <row r="707" ht="20" customHeight="1" spans="1:14" s="23" customFormat="1" x14ac:dyDescent="0.25">
      <c r="A707" s="24" t="s">
        <v>5092</v>
      </c>
      <c r="B707" s="24" t="s">
        <v>1524</v>
      </c>
      <c r="C707" s="25" t="s">
        <v>4327</v>
      </c>
      <c r="D707" s="32">
        <v>30</v>
      </c>
      <c r="E707" s="33">
        <v>163.8</v>
      </c>
      <c r="F707" s="25" t="s">
        <v>2717</v>
      </c>
      <c r="G707" s="24" t="s">
        <v>4278</v>
      </c>
      <c r="H707" s="24" t="s">
        <v>2996</v>
      </c>
      <c r="I707" s="24" t="s">
        <v>63</v>
      </c>
      <c r="J707" s="24" t="s">
        <v>20</v>
      </c>
      <c r="K707" s="25" t="s">
        <v>5084</v>
      </c>
      <c r="L707" s="25" t="s">
        <v>5066</v>
      </c>
      <c r="M707" s="25" t="s">
        <v>5068</v>
      </c>
      <c r="N707" s="25" t="s">
        <v>5093</v>
      </c>
    </row>
    <row r="708" ht="20" customHeight="1" spans="1:14" x14ac:dyDescent="0.25">
      <c r="A708" s="21" t="s">
        <v>5094</v>
      </c>
      <c r="B708" s="21" t="s">
        <v>1524</v>
      </c>
      <c r="C708" s="22" t="s">
        <v>3883</v>
      </c>
      <c r="D708" s="30">
        <v>44</v>
      </c>
      <c r="E708" s="31">
        <v>264</v>
      </c>
      <c r="F708" s="22" t="s">
        <v>5052</v>
      </c>
      <c r="G708" s="21" t="s">
        <v>5095</v>
      </c>
      <c r="H708" s="21" t="s">
        <v>2996</v>
      </c>
      <c r="I708" s="21" t="s">
        <v>63</v>
      </c>
      <c r="J708" s="21" t="s">
        <v>20</v>
      </c>
      <c r="K708" s="22" t="s">
        <v>5096</v>
      </c>
      <c r="L708" s="22" t="s">
        <v>5055</v>
      </c>
      <c r="M708" s="22" t="s">
        <v>5056</v>
      </c>
      <c r="N708" s="22" t="s">
        <v>5097</v>
      </c>
    </row>
    <row r="709" ht="20" customHeight="1" spans="1:14" s="23" customFormat="1" x14ac:dyDescent="0.25">
      <c r="A709" s="24" t="s">
        <v>5098</v>
      </c>
      <c r="B709" s="24" t="s">
        <v>1524</v>
      </c>
      <c r="C709" s="25" t="s">
        <v>4362</v>
      </c>
      <c r="D709" s="32">
        <v>193</v>
      </c>
      <c r="E709" s="33">
        <v>1158</v>
      </c>
      <c r="F709" s="25" t="s">
        <v>5052</v>
      </c>
      <c r="G709" s="24" t="s">
        <v>5095</v>
      </c>
      <c r="H709" s="24" t="s">
        <v>2996</v>
      </c>
      <c r="I709" s="24" t="s">
        <v>63</v>
      </c>
      <c r="J709" s="24" t="s">
        <v>20</v>
      </c>
      <c r="K709" s="25" t="s">
        <v>5096</v>
      </c>
      <c r="L709" s="25" t="s">
        <v>5055</v>
      </c>
      <c r="M709" s="25" t="s">
        <v>5056</v>
      </c>
      <c r="N709" s="25" t="s">
        <v>5099</v>
      </c>
    </row>
    <row r="710" ht="20" customHeight="1" spans="1:14" x14ac:dyDescent="0.25">
      <c r="A710" s="21" t="s">
        <v>5100</v>
      </c>
      <c r="B710" s="21" t="s">
        <v>1524</v>
      </c>
      <c r="C710" s="22" t="s">
        <v>2940</v>
      </c>
      <c r="D710" s="30">
        <v>60</v>
      </c>
      <c r="E710" s="31">
        <v>180</v>
      </c>
      <c r="F710" s="22" t="s">
        <v>5052</v>
      </c>
      <c r="G710" s="21" t="s">
        <v>5095</v>
      </c>
      <c r="H710" s="21" t="s">
        <v>2996</v>
      </c>
      <c r="I710" s="21" t="s">
        <v>63</v>
      </c>
      <c r="J710" s="21" t="s">
        <v>20</v>
      </c>
      <c r="K710" s="22" t="s">
        <v>5096</v>
      </c>
      <c r="L710" s="22" t="s">
        <v>5055</v>
      </c>
      <c r="M710" s="22" t="s">
        <v>5056</v>
      </c>
      <c r="N710" s="22" t="s">
        <v>5101</v>
      </c>
    </row>
    <row r="711" ht="20" customHeight="1" spans="1:14" s="23" customFormat="1" x14ac:dyDescent="0.25">
      <c r="A711" s="24" t="s">
        <v>5102</v>
      </c>
      <c r="B711" s="24" t="s">
        <v>1524</v>
      </c>
      <c r="C711" s="25" t="s">
        <v>4274</v>
      </c>
      <c r="D711" s="32">
        <v>74</v>
      </c>
      <c r="E711" s="33">
        <v>310.8</v>
      </c>
      <c r="F711" s="25" t="s">
        <v>5052</v>
      </c>
      <c r="G711" s="24" t="s">
        <v>5095</v>
      </c>
      <c r="H711" s="24" t="s">
        <v>2996</v>
      </c>
      <c r="I711" s="24" t="s">
        <v>63</v>
      </c>
      <c r="J711" s="24" t="s">
        <v>20</v>
      </c>
      <c r="K711" s="25" t="s">
        <v>5096</v>
      </c>
      <c r="L711" s="25" t="s">
        <v>5055</v>
      </c>
      <c r="M711" s="25" t="s">
        <v>5056</v>
      </c>
      <c r="N711" s="25" t="s">
        <v>5103</v>
      </c>
    </row>
    <row r="712" ht="20" customHeight="1" spans="1:14" x14ac:dyDescent="0.25">
      <c r="A712" s="21" t="s">
        <v>5104</v>
      </c>
      <c r="B712" s="21" t="s">
        <v>1524</v>
      </c>
      <c r="C712" s="22" t="s">
        <v>5063</v>
      </c>
      <c r="D712" s="30">
        <v>201</v>
      </c>
      <c r="E712" s="31">
        <v>1025.1</v>
      </c>
      <c r="F712" s="22" t="s">
        <v>5052</v>
      </c>
      <c r="G712" s="21" t="s">
        <v>5095</v>
      </c>
      <c r="H712" s="21" t="s">
        <v>2996</v>
      </c>
      <c r="I712" s="21" t="s">
        <v>63</v>
      </c>
      <c r="J712" s="21" t="s">
        <v>20</v>
      </c>
      <c r="K712" s="22" t="s">
        <v>5096</v>
      </c>
      <c r="L712" s="22" t="s">
        <v>5055</v>
      </c>
      <c r="M712" s="22" t="s">
        <v>5056</v>
      </c>
      <c r="N712" s="22" t="s">
        <v>5105</v>
      </c>
    </row>
    <row r="713" ht="20" customHeight="1" spans="1:14" s="23" customFormat="1" x14ac:dyDescent="0.25">
      <c r="A713" s="24" t="s">
        <v>5106</v>
      </c>
      <c r="B713" s="24" t="s">
        <v>1524</v>
      </c>
      <c r="C713" s="25" t="s">
        <v>4327</v>
      </c>
      <c r="D713" s="32">
        <v>30</v>
      </c>
      <c r="E713" s="33">
        <v>163.8</v>
      </c>
      <c r="F713" s="25" t="s">
        <v>5052</v>
      </c>
      <c r="G713" s="24" t="s">
        <v>5095</v>
      </c>
      <c r="H713" s="24" t="s">
        <v>2996</v>
      </c>
      <c r="I713" s="24" t="s">
        <v>63</v>
      </c>
      <c r="J713" s="24" t="s">
        <v>20</v>
      </c>
      <c r="K713" s="25" t="s">
        <v>5096</v>
      </c>
      <c r="L713" s="25" t="s">
        <v>5055</v>
      </c>
      <c r="M713" s="25" t="s">
        <v>5056</v>
      </c>
      <c r="N713" s="25" t="s">
        <v>5107</v>
      </c>
    </row>
    <row r="714" ht="20" customHeight="1" spans="1:14" x14ac:dyDescent="0.25">
      <c r="A714" s="21" t="s">
        <v>5108</v>
      </c>
      <c r="B714" s="21" t="s">
        <v>1651</v>
      </c>
      <c r="C714" s="22" t="s">
        <v>2935</v>
      </c>
      <c r="D714" s="30">
        <v>40</v>
      </c>
      <c r="E714" s="31">
        <v>232</v>
      </c>
      <c r="F714" s="22" t="s">
        <v>2787</v>
      </c>
      <c r="G714" s="21" t="s">
        <v>5109</v>
      </c>
      <c r="H714" s="21" t="s">
        <v>3842</v>
      </c>
      <c r="I714" s="21" t="s">
        <v>1817</v>
      </c>
      <c r="J714" s="21">
        <f>SE(I714="","-",SE(DATA.VALOR(I714)&lt;HOJE(),"VENCIDO",SE(DATA.VALOR(I714)-HOJE()&lt;=30,"CRÍTICO (&lt;=30D)","REGULAR")))</f>
      </c>
      <c r="K714" s="22" t="s">
        <v>5110</v>
      </c>
      <c r="L714" s="22" t="s">
        <v>5111</v>
      </c>
      <c r="M714" s="22" t="s">
        <v>5112</v>
      </c>
      <c r="N714" s="22" t="s">
        <v>5113</v>
      </c>
    </row>
    <row r="715" ht="20" customHeight="1" spans="1:14" s="23" customFormat="1" x14ac:dyDescent="0.25">
      <c r="A715" s="24" t="s">
        <v>5114</v>
      </c>
      <c r="B715" s="24" t="s">
        <v>1651</v>
      </c>
      <c r="C715" s="25" t="s">
        <v>4284</v>
      </c>
      <c r="D715" s="32">
        <v>312.5</v>
      </c>
      <c r="E715" s="33">
        <v>937.5</v>
      </c>
      <c r="F715" s="25" t="s">
        <v>2787</v>
      </c>
      <c r="G715" s="24" t="s">
        <v>5109</v>
      </c>
      <c r="H715" s="24" t="s">
        <v>5115</v>
      </c>
      <c r="I715" s="24" t="s">
        <v>1799</v>
      </c>
      <c r="J715" s="24">
        <f>SE(I715="","-",SE(DATA.VALOR(I715)&lt;HOJE(),"VENCIDO",SE(DATA.VALOR(I715)-HOJE()&lt;=30,"CRÍTICO (&lt;=30D)","REGULAR")))</f>
      </c>
      <c r="K715" s="25" t="s">
        <v>5110</v>
      </c>
      <c r="L715" s="25" t="s">
        <v>5111</v>
      </c>
      <c r="M715" s="25" t="s">
        <v>5112</v>
      </c>
      <c r="N715" s="25" t="s">
        <v>5116</v>
      </c>
    </row>
    <row r="716" ht="20" customHeight="1" spans="1:14" x14ac:dyDescent="0.25">
      <c r="A716" s="21" t="s">
        <v>5117</v>
      </c>
      <c r="B716" s="21" t="s">
        <v>1659</v>
      </c>
      <c r="C716" s="22" t="s">
        <v>5118</v>
      </c>
      <c r="D716" s="30">
        <v>1476</v>
      </c>
      <c r="E716" s="31">
        <v>14612.4</v>
      </c>
      <c r="F716" s="22" t="s">
        <v>4416</v>
      </c>
      <c r="G716" s="21" t="s">
        <v>5119</v>
      </c>
      <c r="H716" s="21" t="s">
        <v>5120</v>
      </c>
      <c r="I716" s="21" t="s">
        <v>5121</v>
      </c>
      <c r="J716" s="21">
        <f>SE(I716="","-",SE(DATA.VALOR(I716)&lt;HOJE(),"VENCIDO",SE(DATA.VALOR(I716)-HOJE()&lt;=30,"CRÍTICO (&lt;=30D)","REGULAR")))</f>
      </c>
      <c r="K716" s="22" t="s">
        <v>5122</v>
      </c>
      <c r="L716" s="22" t="s">
        <v>5123</v>
      </c>
      <c r="M716" s="22" t="s">
        <v>5124</v>
      </c>
      <c r="N716" s="22" t="s">
        <v>5125</v>
      </c>
    </row>
    <row r="717" ht="20" customHeight="1" spans="1:14" s="23" customFormat="1" x14ac:dyDescent="0.25">
      <c r="A717" s="24" t="s">
        <v>5126</v>
      </c>
      <c r="B717" s="24" t="s">
        <v>1651</v>
      </c>
      <c r="C717" s="25" t="s">
        <v>4669</v>
      </c>
      <c r="D717" s="32">
        <v>1500</v>
      </c>
      <c r="E717" s="33">
        <v>7350</v>
      </c>
      <c r="F717" s="25" t="s">
        <v>4660</v>
      </c>
      <c r="G717" s="24" t="s">
        <v>5127</v>
      </c>
      <c r="H717" s="24" t="s">
        <v>5128</v>
      </c>
      <c r="I717" s="24" t="s">
        <v>5129</v>
      </c>
      <c r="J717" s="24">
        <f>SE(I717="","-",SE(DATA.VALOR(I717)&lt;HOJE(),"VENCIDO",SE(DATA.VALOR(I717)-HOJE()&lt;=30,"CRÍTICO (&lt;=30D)","REGULAR")))</f>
      </c>
      <c r="K717" s="25" t="s">
        <v>5130</v>
      </c>
      <c r="L717" s="25" t="s">
        <v>4665</v>
      </c>
      <c r="M717" s="25" t="s">
        <v>5131</v>
      </c>
      <c r="N717" s="25" t="s">
        <v>5132</v>
      </c>
    </row>
    <row r="718" ht="20" customHeight="1" spans="1:14" x14ac:dyDescent="0.25">
      <c r="A718" s="21" t="s">
        <v>5133</v>
      </c>
      <c r="B718" s="21" t="s">
        <v>1651</v>
      </c>
      <c r="C718" s="22" t="s">
        <v>4659</v>
      </c>
      <c r="D718" s="30">
        <v>1000</v>
      </c>
      <c r="E718" s="31">
        <v>5030</v>
      </c>
      <c r="F718" s="22" t="s">
        <v>4660</v>
      </c>
      <c r="G718" s="21" t="s">
        <v>5127</v>
      </c>
      <c r="H718" s="21" t="s">
        <v>5134</v>
      </c>
      <c r="I718" s="21" t="s">
        <v>5135</v>
      </c>
      <c r="J718" s="21">
        <f>SE(I718="","-",SE(DATA.VALOR(I718)&lt;HOJE(),"VENCIDO",SE(DATA.VALOR(I718)-HOJE()&lt;=30,"CRÍTICO (&lt;=30D)","REGULAR")))</f>
      </c>
      <c r="K718" s="22" t="s">
        <v>5130</v>
      </c>
      <c r="L718" s="22" t="s">
        <v>4665</v>
      </c>
      <c r="M718" s="22" t="s">
        <v>5131</v>
      </c>
      <c r="N718" s="22" t="s">
        <v>5136</v>
      </c>
    </row>
    <row r="719" ht="20" customHeight="1" spans="1:14" s="23" customFormat="1" x14ac:dyDescent="0.25">
      <c r="A719" s="24" t="s">
        <v>5137</v>
      </c>
      <c r="B719" s="24" t="s">
        <v>1651</v>
      </c>
      <c r="C719" s="25" t="s">
        <v>4674</v>
      </c>
      <c r="D719" s="32">
        <v>1500</v>
      </c>
      <c r="E719" s="33">
        <v>17970</v>
      </c>
      <c r="F719" s="25" t="s">
        <v>4660</v>
      </c>
      <c r="G719" s="24" t="s">
        <v>5127</v>
      </c>
      <c r="H719" s="24" t="s">
        <v>5138</v>
      </c>
      <c r="I719" s="24" t="s">
        <v>5139</v>
      </c>
      <c r="J719" s="24">
        <f>SE(I719="","-",SE(DATA.VALOR(I719)&lt;HOJE(),"VENCIDO",SE(DATA.VALOR(I719)-HOJE()&lt;=30,"CRÍTICO (&lt;=30D)","REGULAR")))</f>
      </c>
      <c r="K719" s="25" t="s">
        <v>5130</v>
      </c>
      <c r="L719" s="25" t="s">
        <v>4665</v>
      </c>
      <c r="M719" s="25" t="s">
        <v>5131</v>
      </c>
      <c r="N719" s="25" t="s">
        <v>5140</v>
      </c>
    </row>
    <row r="720" ht="20" customHeight="1" spans="1:14" x14ac:dyDescent="0.25">
      <c r="A720" s="21" t="s">
        <v>5141</v>
      </c>
      <c r="B720" s="21" t="s">
        <v>1669</v>
      </c>
      <c r="C720" s="22" t="s">
        <v>2988</v>
      </c>
      <c r="D720" s="30">
        <v>5000</v>
      </c>
      <c r="E720" s="31">
        <v>0</v>
      </c>
      <c r="F720" s="22" t="s">
        <v>5142</v>
      </c>
      <c r="G720" s="21" t="s">
        <v>3929</v>
      </c>
      <c r="H720" s="21" t="s">
        <v>3708</v>
      </c>
      <c r="I720" s="21" t="s">
        <v>3843</v>
      </c>
      <c r="J720" s="21">
        <f>SE(I720="","-",SE(DATA.VALOR(I720)&lt;HOJE(),"VENCIDO",SE(DATA.VALOR(I720)-HOJE()&lt;=30,"CRÍTICO (&lt;=30D)","REGULAR")))</f>
      </c>
      <c r="K720" s="22" t="s">
        <v>63</v>
      </c>
      <c r="L720" s="22" t="s">
        <v>63</v>
      </c>
      <c r="M720" s="22" t="s">
        <v>5143</v>
      </c>
      <c r="N720" s="22" t="s">
        <v>5144</v>
      </c>
    </row>
    <row r="721" ht="20" customHeight="1" spans="1:14" s="23" customFormat="1" x14ac:dyDescent="0.25">
      <c r="A721" s="24" t="s">
        <v>5145</v>
      </c>
      <c r="B721" s="24" t="s">
        <v>1637</v>
      </c>
      <c r="C721" s="25" t="s">
        <v>5146</v>
      </c>
      <c r="D721" s="32">
        <v>10</v>
      </c>
      <c r="E721" s="33">
        <v>2900</v>
      </c>
      <c r="F721" s="25" t="s">
        <v>5147</v>
      </c>
      <c r="G721" s="24" t="s">
        <v>5148</v>
      </c>
      <c r="H721" s="24" t="s">
        <v>5149</v>
      </c>
      <c r="I721" s="24" t="s">
        <v>5150</v>
      </c>
      <c r="J721" s="24">
        <f>SE(I721="","-",SE(DATA.VALOR(I721)&lt;HOJE(),"VENCIDO",SE(DATA.VALOR(I721)-HOJE()&lt;=30,"CRÍTICO (&lt;=30D)","REGULAR")))</f>
      </c>
      <c r="K721" s="25" t="s">
        <v>5151</v>
      </c>
      <c r="L721" s="25" t="s">
        <v>5152</v>
      </c>
      <c r="M721" s="25" t="s">
        <v>5153</v>
      </c>
      <c r="N721" s="25" t="s">
        <v>5154</v>
      </c>
    </row>
    <row r="722" ht="20" customHeight="1" spans="1:14" x14ac:dyDescent="0.25">
      <c r="A722" s="21" t="s">
        <v>5155</v>
      </c>
      <c r="B722" s="21" t="s">
        <v>1637</v>
      </c>
      <c r="C722" s="22" t="s">
        <v>5156</v>
      </c>
      <c r="D722" s="30">
        <v>10</v>
      </c>
      <c r="E722" s="31">
        <v>3190</v>
      </c>
      <c r="F722" s="22" t="s">
        <v>5147</v>
      </c>
      <c r="G722" s="21" t="s">
        <v>5148</v>
      </c>
      <c r="H722" s="21" t="s">
        <v>5157</v>
      </c>
      <c r="I722" s="21" t="s">
        <v>5158</v>
      </c>
      <c r="J722" s="21">
        <f>SE(I722="","-",SE(DATA.VALOR(I722)&lt;HOJE(),"VENCIDO",SE(DATA.VALOR(I722)-HOJE()&lt;=30,"CRÍTICO (&lt;=30D)","REGULAR")))</f>
      </c>
      <c r="K722" s="22" t="s">
        <v>5151</v>
      </c>
      <c r="L722" s="22" t="s">
        <v>5152</v>
      </c>
      <c r="M722" s="22" t="s">
        <v>5153</v>
      </c>
      <c r="N722" s="22" t="s">
        <v>5159</v>
      </c>
    </row>
    <row r="723" ht="20" customHeight="1" spans="1:14" s="23" customFormat="1" x14ac:dyDescent="0.25">
      <c r="A723" s="24" t="s">
        <v>5160</v>
      </c>
      <c r="B723" s="24" t="s">
        <v>1651</v>
      </c>
      <c r="C723" s="25" t="s">
        <v>5161</v>
      </c>
      <c r="D723" s="32">
        <v>300</v>
      </c>
      <c r="E723" s="33">
        <v>19059</v>
      </c>
      <c r="F723" s="25" t="s">
        <v>4660</v>
      </c>
      <c r="G723" s="24" t="s">
        <v>5127</v>
      </c>
      <c r="H723" s="24" t="s">
        <v>5162</v>
      </c>
      <c r="I723" s="24" t="s">
        <v>1961</v>
      </c>
      <c r="J723" s="24">
        <f>SE(I723="","-",SE(DATA.VALOR(I723)&lt;HOJE(),"VENCIDO",SE(DATA.VALOR(I723)-HOJE()&lt;=30,"CRÍTICO (&lt;=30D)","REGULAR")))</f>
      </c>
      <c r="K723" s="25" t="s">
        <v>5130</v>
      </c>
      <c r="L723" s="25" t="s">
        <v>4665</v>
      </c>
      <c r="M723" s="25" t="s">
        <v>5131</v>
      </c>
      <c r="N723" s="25" t="s">
        <v>5163</v>
      </c>
    </row>
    <row r="724" ht="20" customHeight="1" spans="1:14" x14ac:dyDescent="0.25">
      <c r="A724" s="21" t="s">
        <v>5164</v>
      </c>
      <c r="B724" s="21" t="s">
        <v>1669</v>
      </c>
      <c r="C724" s="22" t="s">
        <v>4708</v>
      </c>
      <c r="D724" s="30">
        <v>100</v>
      </c>
      <c r="E724" s="31">
        <v>3290</v>
      </c>
      <c r="F724" s="22" t="s">
        <v>4709</v>
      </c>
      <c r="G724" s="21" t="s">
        <v>5165</v>
      </c>
      <c r="H724" s="21" t="s">
        <v>5166</v>
      </c>
      <c r="I724" s="21" t="s">
        <v>5167</v>
      </c>
      <c r="J724" s="21">
        <f>SE(I724="","-",SE(DATA.VALOR(I724)&lt;HOJE(),"VENCIDO",SE(DATA.VALOR(I724)-HOJE()&lt;=30,"CRÍTICO (&lt;=30D)","REGULAR")))</f>
      </c>
      <c r="K724" s="22" t="s">
        <v>5168</v>
      </c>
      <c r="L724" s="22" t="s">
        <v>4713</v>
      </c>
      <c r="M724" s="22" t="s">
        <v>5169</v>
      </c>
      <c r="N724" s="22" t="s">
        <v>5170</v>
      </c>
    </row>
    <row r="725" ht="20" customHeight="1" spans="1:14" s="23" customFormat="1" x14ac:dyDescent="0.25">
      <c r="A725" s="24" t="s">
        <v>5171</v>
      </c>
      <c r="B725" s="24" t="s">
        <v>1669</v>
      </c>
      <c r="C725" s="25" t="s">
        <v>4717</v>
      </c>
      <c r="D725" s="32">
        <v>1512</v>
      </c>
      <c r="E725" s="33">
        <v>7847.28</v>
      </c>
      <c r="F725" s="25" t="s">
        <v>4709</v>
      </c>
      <c r="G725" s="24" t="s">
        <v>5165</v>
      </c>
      <c r="H725" s="24" t="s">
        <v>5172</v>
      </c>
      <c r="I725" s="24" t="s">
        <v>5173</v>
      </c>
      <c r="J725" s="24">
        <f>SE(I725="","-",SE(DATA.VALOR(I725)&lt;HOJE(),"VENCIDO",SE(DATA.VALOR(I725)-HOJE()&lt;=30,"CRÍTICO (&lt;=30D)","REGULAR")))</f>
      </c>
      <c r="K725" s="25" t="s">
        <v>5168</v>
      </c>
      <c r="L725" s="25" t="s">
        <v>4713</v>
      </c>
      <c r="M725" s="25" t="s">
        <v>5169</v>
      </c>
      <c r="N725" s="25" t="s">
        <v>5174</v>
      </c>
    </row>
    <row r="726" ht="20" customHeight="1" spans="1:14" x14ac:dyDescent="0.25">
      <c r="A726" s="21" t="s">
        <v>5175</v>
      </c>
      <c r="B726" s="21" t="s">
        <v>1700</v>
      </c>
      <c r="C726" s="22" t="s">
        <v>4338</v>
      </c>
      <c r="D726" s="30">
        <v>75</v>
      </c>
      <c r="E726" s="31">
        <v>337.5</v>
      </c>
      <c r="F726" s="22" t="s">
        <v>3100</v>
      </c>
      <c r="G726" s="21" t="s">
        <v>5176</v>
      </c>
      <c r="H726" s="21" t="s">
        <v>2996</v>
      </c>
      <c r="I726" s="21" t="s">
        <v>63</v>
      </c>
      <c r="J726" s="21" t="s">
        <v>20</v>
      </c>
      <c r="K726" s="22" t="s">
        <v>5177</v>
      </c>
      <c r="L726" s="22" t="s">
        <v>5178</v>
      </c>
      <c r="M726" s="22" t="s">
        <v>5179</v>
      </c>
      <c r="N726" s="22" t="s">
        <v>5180</v>
      </c>
    </row>
    <row r="727" ht="20" customHeight="1" spans="1:14" s="23" customFormat="1" x14ac:dyDescent="0.25">
      <c r="A727" s="24" t="s">
        <v>5181</v>
      </c>
      <c r="B727" s="24" t="s">
        <v>1700</v>
      </c>
      <c r="C727" s="25" t="s">
        <v>4338</v>
      </c>
      <c r="D727" s="32">
        <v>75</v>
      </c>
      <c r="E727" s="33">
        <v>337.5</v>
      </c>
      <c r="F727" s="25" t="s">
        <v>2994</v>
      </c>
      <c r="G727" s="24" t="s">
        <v>3272</v>
      </c>
      <c r="H727" s="24" t="s">
        <v>2996</v>
      </c>
      <c r="I727" s="24" t="s">
        <v>63</v>
      </c>
      <c r="J727" s="24" t="s">
        <v>20</v>
      </c>
      <c r="K727" s="25" t="s">
        <v>5182</v>
      </c>
      <c r="L727" s="25" t="s">
        <v>5183</v>
      </c>
      <c r="M727" s="25" t="s">
        <v>5184</v>
      </c>
      <c r="N727" s="25" t="s">
        <v>5185</v>
      </c>
    </row>
    <row r="728" ht="20" customHeight="1" spans="1:14" x14ac:dyDescent="0.25">
      <c r="A728" s="21" t="s">
        <v>5186</v>
      </c>
      <c r="B728" s="21" t="s">
        <v>1700</v>
      </c>
      <c r="C728" s="22" t="s">
        <v>4338</v>
      </c>
      <c r="D728" s="30">
        <v>75</v>
      </c>
      <c r="E728" s="31">
        <v>337.5</v>
      </c>
      <c r="F728" s="22" t="s">
        <v>2765</v>
      </c>
      <c r="G728" s="21" t="s">
        <v>5187</v>
      </c>
      <c r="H728" s="21" t="s">
        <v>5188</v>
      </c>
      <c r="I728" s="21" t="s">
        <v>1789</v>
      </c>
      <c r="J728" s="21">
        <f>SE(I728="","-",SE(DATA.VALOR(I728)&lt;HOJE(),"VENCIDO",SE(DATA.VALOR(I728)-HOJE()&lt;=30,"CRÍTICO (&lt;=30D)","REGULAR")))</f>
      </c>
      <c r="K728" s="22" t="s">
        <v>5189</v>
      </c>
      <c r="L728" s="22" t="s">
        <v>5190</v>
      </c>
      <c r="M728" s="22" t="s">
        <v>5191</v>
      </c>
      <c r="N728" s="22" t="s">
        <v>5192</v>
      </c>
    </row>
    <row r="729" ht="20" customHeight="1" spans="1:14" s="23" customFormat="1" x14ac:dyDescent="0.25">
      <c r="A729" s="24" t="s">
        <v>5193</v>
      </c>
      <c r="B729" s="24" t="s">
        <v>1651</v>
      </c>
      <c r="C729" s="25" t="s">
        <v>4632</v>
      </c>
      <c r="D729" s="32">
        <v>500</v>
      </c>
      <c r="E729" s="33">
        <v>5740</v>
      </c>
      <c r="F729" s="25" t="s">
        <v>4633</v>
      </c>
      <c r="G729" s="24" t="s">
        <v>5194</v>
      </c>
      <c r="H729" s="24" t="s">
        <v>5195</v>
      </c>
      <c r="I729" s="24" t="s">
        <v>5196</v>
      </c>
      <c r="J729" s="24">
        <f>SE(I729="","-",SE(DATA.VALOR(I729)&lt;HOJE(),"VENCIDO",SE(DATA.VALOR(I729)-HOJE()&lt;=30,"CRÍTICO (&lt;=30D)","REGULAR")))</f>
      </c>
      <c r="K729" s="25" t="s">
        <v>5197</v>
      </c>
      <c r="L729" s="25" t="s">
        <v>5198</v>
      </c>
      <c r="M729" s="25" t="s">
        <v>5199</v>
      </c>
      <c r="N729" s="25" t="s">
        <v>5200</v>
      </c>
    </row>
    <row r="730" ht="20" customHeight="1" spans="1:14" x14ac:dyDescent="0.25">
      <c r="A730" s="21" t="s">
        <v>5201</v>
      </c>
      <c r="B730" s="21" t="s">
        <v>1651</v>
      </c>
      <c r="C730" s="22" t="s">
        <v>4623</v>
      </c>
      <c r="D730" s="30">
        <v>300</v>
      </c>
      <c r="E730" s="31">
        <v>3288</v>
      </c>
      <c r="F730" s="22" t="s">
        <v>4624</v>
      </c>
      <c r="G730" s="21" t="s">
        <v>5202</v>
      </c>
      <c r="H730" s="21" t="s">
        <v>5120</v>
      </c>
      <c r="I730" s="21" t="s">
        <v>5203</v>
      </c>
      <c r="J730" s="21">
        <f>SE(I730="","-",SE(DATA.VALOR(I730)&lt;HOJE(),"VENCIDO",SE(DATA.VALOR(I730)-HOJE()&lt;=30,"CRÍTICO (&lt;=30D)","REGULAR")))</f>
      </c>
      <c r="K730" s="22" t="s">
        <v>5204</v>
      </c>
      <c r="L730" s="22" t="s">
        <v>5205</v>
      </c>
      <c r="M730" s="22" t="s">
        <v>5206</v>
      </c>
      <c r="N730" s="22" t="s">
        <v>5207</v>
      </c>
    </row>
    <row r="731" ht="20" customHeight="1" spans="1:14" s="23" customFormat="1" x14ac:dyDescent="0.25">
      <c r="A731" s="24" t="s">
        <v>5208</v>
      </c>
      <c r="B731" s="24" t="s">
        <v>1651</v>
      </c>
      <c r="C731" s="25" t="s">
        <v>4585</v>
      </c>
      <c r="D731" s="32">
        <v>300</v>
      </c>
      <c r="E731" s="33">
        <v>3000</v>
      </c>
      <c r="F731" s="25" t="s">
        <v>4586</v>
      </c>
      <c r="G731" s="24" t="s">
        <v>5209</v>
      </c>
      <c r="H731" s="24" t="s">
        <v>5210</v>
      </c>
      <c r="I731" s="24" t="s">
        <v>5129</v>
      </c>
      <c r="J731" s="24">
        <f>SE(I731="","-",SE(DATA.VALOR(I731)&lt;HOJE(),"VENCIDO",SE(DATA.VALOR(I731)-HOJE()&lt;=30,"CRÍTICO (&lt;=30D)","REGULAR")))</f>
      </c>
      <c r="K731" s="25" t="s">
        <v>5211</v>
      </c>
      <c r="L731" s="25" t="s">
        <v>5212</v>
      </c>
      <c r="M731" s="25" t="s">
        <v>5213</v>
      </c>
      <c r="N731" s="25" t="s">
        <v>5214</v>
      </c>
    </row>
    <row r="732" ht="20" customHeight="1" spans="1:14" x14ac:dyDescent="0.25">
      <c r="A732" s="21" t="s">
        <v>5215</v>
      </c>
      <c r="B732" s="21" t="s">
        <v>2896</v>
      </c>
      <c r="C732" s="22" t="s">
        <v>3789</v>
      </c>
      <c r="D732" s="30">
        <v>905</v>
      </c>
      <c r="E732" s="31">
        <v>4497.85</v>
      </c>
      <c r="F732" s="22" t="s">
        <v>2579</v>
      </c>
      <c r="G732" s="21" t="s">
        <v>4431</v>
      </c>
      <c r="H732" s="21" t="s">
        <v>2996</v>
      </c>
      <c r="I732" s="21" t="s">
        <v>63</v>
      </c>
      <c r="J732" s="21" t="s">
        <v>20</v>
      </c>
      <c r="K732" s="22" t="s">
        <v>63</v>
      </c>
      <c r="L732" s="22" t="s">
        <v>63</v>
      </c>
      <c r="M732" s="22" t="s">
        <v>3851</v>
      </c>
      <c r="N732" s="22" t="s">
        <v>5216</v>
      </c>
    </row>
    <row r="733" ht="20" customHeight="1" spans="1:14" s="23" customFormat="1" x14ac:dyDescent="0.25">
      <c r="A733" s="24" t="s">
        <v>5217</v>
      </c>
      <c r="B733" s="24" t="s">
        <v>1696</v>
      </c>
      <c r="C733" s="25" t="s">
        <v>4524</v>
      </c>
      <c r="D733" s="32">
        <v>150</v>
      </c>
      <c r="E733" s="33">
        <v>996</v>
      </c>
      <c r="F733" s="25" t="s">
        <v>2561</v>
      </c>
      <c r="G733" s="24" t="s">
        <v>5218</v>
      </c>
      <c r="H733" s="24" t="s">
        <v>5219</v>
      </c>
      <c r="I733" s="24" t="s">
        <v>1813</v>
      </c>
      <c r="J733" s="24">
        <f>SE(I733="","-",SE(DATA.VALOR(I733)&lt;HOJE(),"VENCIDO",SE(DATA.VALOR(I733)-HOJE()&lt;=30,"CRÍTICO (&lt;=30D)","REGULAR")))</f>
      </c>
      <c r="K733" s="25" t="s">
        <v>5220</v>
      </c>
      <c r="L733" s="25" t="s">
        <v>4520</v>
      </c>
      <c r="M733" s="25" t="s">
        <v>5221</v>
      </c>
      <c r="N733" s="25" t="s">
        <v>5222</v>
      </c>
    </row>
    <row r="734" ht="20" customHeight="1" spans="1:14" x14ac:dyDescent="0.25">
      <c r="A734" s="21" t="s">
        <v>5223</v>
      </c>
      <c r="B734" s="21" t="s">
        <v>1696</v>
      </c>
      <c r="C734" s="22" t="s">
        <v>4516</v>
      </c>
      <c r="D734" s="30">
        <v>280</v>
      </c>
      <c r="E734" s="31">
        <v>1568</v>
      </c>
      <c r="F734" s="22" t="s">
        <v>2561</v>
      </c>
      <c r="G734" s="21" t="s">
        <v>5218</v>
      </c>
      <c r="H734" s="21" t="s">
        <v>5219</v>
      </c>
      <c r="I734" s="21" t="s">
        <v>1813</v>
      </c>
      <c r="J734" s="21">
        <f>SE(I734="","-",SE(DATA.VALOR(I734)&lt;HOJE(),"VENCIDO",SE(DATA.VALOR(I734)-HOJE()&lt;=30,"CRÍTICO (&lt;=30D)","REGULAR")))</f>
      </c>
      <c r="K734" s="22" t="s">
        <v>5220</v>
      </c>
      <c r="L734" s="22" t="s">
        <v>4520</v>
      </c>
      <c r="M734" s="22" t="s">
        <v>5221</v>
      </c>
      <c r="N734" s="22" t="s">
        <v>5224</v>
      </c>
    </row>
    <row r="735" ht="20" customHeight="1" spans="1:14" s="23" customFormat="1" x14ac:dyDescent="0.25">
      <c r="A735" s="24" t="s">
        <v>5225</v>
      </c>
      <c r="B735" s="24" t="s">
        <v>1771</v>
      </c>
      <c r="C735" s="25" t="s">
        <v>2940</v>
      </c>
      <c r="D735" s="32">
        <v>60</v>
      </c>
      <c r="E735" s="33">
        <v>180</v>
      </c>
      <c r="F735" s="25" t="s">
        <v>2757</v>
      </c>
      <c r="G735" s="24" t="s">
        <v>5226</v>
      </c>
      <c r="H735" s="24" t="s">
        <v>5227</v>
      </c>
      <c r="I735" s="24" t="s">
        <v>1789</v>
      </c>
      <c r="J735" s="24">
        <f>SE(I735="","-",SE(DATA.VALOR(I735)&lt;HOJE(),"VENCIDO",SE(DATA.VALOR(I735)-HOJE()&lt;=30,"CRÍTICO (&lt;=30D)","REGULAR")))</f>
      </c>
      <c r="K735" s="25" t="s">
        <v>5228</v>
      </c>
      <c r="L735" s="25" t="s">
        <v>5229</v>
      </c>
      <c r="M735" s="25" t="s">
        <v>5230</v>
      </c>
      <c r="N735" s="25" t="s">
        <v>5231</v>
      </c>
    </row>
    <row r="736" ht="20" customHeight="1" spans="1:14" x14ac:dyDescent="0.25">
      <c r="A736" s="21" t="s">
        <v>5232</v>
      </c>
      <c r="B736" s="21" t="s">
        <v>1771</v>
      </c>
      <c r="C736" s="22" t="s">
        <v>4274</v>
      </c>
      <c r="D736" s="30">
        <v>176</v>
      </c>
      <c r="E736" s="31">
        <v>739.2</v>
      </c>
      <c r="F736" s="22" t="s">
        <v>2757</v>
      </c>
      <c r="G736" s="21" t="s">
        <v>5226</v>
      </c>
      <c r="H736" s="21" t="s">
        <v>5227</v>
      </c>
      <c r="I736" s="21" t="s">
        <v>1789</v>
      </c>
      <c r="J736" s="21">
        <f>SE(I736="","-",SE(DATA.VALOR(I736)&lt;HOJE(),"VENCIDO",SE(DATA.VALOR(I736)-HOJE()&lt;=30,"CRÍTICO (&lt;=30D)","REGULAR")))</f>
      </c>
      <c r="K736" s="22" t="s">
        <v>5228</v>
      </c>
      <c r="L736" s="22" t="s">
        <v>5229</v>
      </c>
      <c r="M736" s="22" t="s">
        <v>5230</v>
      </c>
      <c r="N736" s="22" t="s">
        <v>5231</v>
      </c>
    </row>
    <row r="737" ht="20" customHeight="1" spans="1:14" s="23" customFormat="1" x14ac:dyDescent="0.25">
      <c r="A737" s="24" t="s">
        <v>5233</v>
      </c>
      <c r="B737" s="24" t="s">
        <v>1771</v>
      </c>
      <c r="C737" s="25" t="s">
        <v>4266</v>
      </c>
      <c r="D737" s="32">
        <v>142</v>
      </c>
      <c r="E737" s="33">
        <v>454.4</v>
      </c>
      <c r="F737" s="25" t="s">
        <v>2757</v>
      </c>
      <c r="G737" s="24" t="s">
        <v>5226</v>
      </c>
      <c r="H737" s="24" t="s">
        <v>5227</v>
      </c>
      <c r="I737" s="24" t="s">
        <v>1809</v>
      </c>
      <c r="J737" s="24">
        <f>SE(I737="","-",SE(DATA.VALOR(I737)&lt;HOJE(),"VENCIDO",SE(DATA.VALOR(I737)-HOJE()&lt;=30,"CRÍTICO (&lt;=30D)","REGULAR")))</f>
      </c>
      <c r="K737" s="25" t="s">
        <v>5228</v>
      </c>
      <c r="L737" s="25" t="s">
        <v>5229</v>
      </c>
      <c r="M737" s="25" t="s">
        <v>5230</v>
      </c>
      <c r="N737" s="25" t="s">
        <v>5231</v>
      </c>
    </row>
    <row r="738" ht="20" customHeight="1" spans="1:14" x14ac:dyDescent="0.25">
      <c r="A738" s="21" t="s">
        <v>5234</v>
      </c>
      <c r="B738" s="21" t="s">
        <v>2542</v>
      </c>
      <c r="C738" s="22" t="s">
        <v>5235</v>
      </c>
      <c r="D738" s="30">
        <v>234</v>
      </c>
      <c r="E738" s="31">
        <v>1687.14</v>
      </c>
      <c r="F738" s="22" t="s">
        <v>5236</v>
      </c>
      <c r="G738" s="21" t="s">
        <v>5237</v>
      </c>
      <c r="H738" s="21" t="s">
        <v>5238</v>
      </c>
      <c r="I738" s="21" t="s">
        <v>1789</v>
      </c>
      <c r="J738" s="21">
        <f>SE(I738="","-",SE(DATA.VALOR(I738)&lt;HOJE(),"VENCIDO",SE(DATA.VALOR(I738)-HOJE()&lt;=30,"CRÍTICO (&lt;=30D)","REGULAR")))</f>
      </c>
      <c r="K738" s="22" t="s">
        <v>5239</v>
      </c>
      <c r="L738" s="22" t="s">
        <v>5240</v>
      </c>
      <c r="M738" s="22" t="s">
        <v>5241</v>
      </c>
      <c r="N738" s="22" t="s">
        <v>5242</v>
      </c>
    </row>
    <row r="739" ht="20" customHeight="1" spans="1:14" s="23" customFormat="1" x14ac:dyDescent="0.25">
      <c r="A739" s="24" t="s">
        <v>5243</v>
      </c>
      <c r="B739" s="24" t="s">
        <v>1700</v>
      </c>
      <c r="C739" s="25" t="s">
        <v>4266</v>
      </c>
      <c r="D739" s="32">
        <v>115.5</v>
      </c>
      <c r="E739" s="33">
        <v>369.6</v>
      </c>
      <c r="F739" s="25" t="s">
        <v>4698</v>
      </c>
      <c r="G739" s="24" t="s">
        <v>5244</v>
      </c>
      <c r="H739" s="24" t="s">
        <v>5188</v>
      </c>
      <c r="I739" s="24" t="s">
        <v>1809</v>
      </c>
      <c r="J739" s="24">
        <f>SE(I739="","-",SE(DATA.VALOR(I739)&lt;HOJE(),"VENCIDO",SE(DATA.VALOR(I739)-HOJE()&lt;=30,"CRÍTICO (&lt;=30D)","REGULAR")))</f>
      </c>
      <c r="K739" s="25" t="s">
        <v>5245</v>
      </c>
      <c r="L739" s="25" t="s">
        <v>5246</v>
      </c>
      <c r="M739" s="25" t="s">
        <v>5247</v>
      </c>
      <c r="N739" s="25" t="s">
        <v>5248</v>
      </c>
    </row>
    <row r="740" ht="20" customHeight="1" spans="1:14" x14ac:dyDescent="0.25">
      <c r="A740" s="21" t="s">
        <v>5249</v>
      </c>
      <c r="B740" s="21" t="s">
        <v>1700</v>
      </c>
      <c r="C740" s="22" t="s">
        <v>2855</v>
      </c>
      <c r="D740" s="30">
        <v>23</v>
      </c>
      <c r="E740" s="31">
        <v>101.2</v>
      </c>
      <c r="F740" s="22" t="s">
        <v>4698</v>
      </c>
      <c r="G740" s="21" t="s">
        <v>5244</v>
      </c>
      <c r="H740" s="21" t="s">
        <v>5188</v>
      </c>
      <c r="I740" s="21" t="s">
        <v>1791</v>
      </c>
      <c r="J740" s="21">
        <f>SE(I740="","-",SE(DATA.VALOR(I740)&lt;HOJE(),"VENCIDO",SE(DATA.VALOR(I740)-HOJE()&lt;=30,"CRÍTICO (&lt;=30D)","REGULAR")))</f>
      </c>
      <c r="K740" s="22" t="s">
        <v>5245</v>
      </c>
      <c r="L740" s="22" t="s">
        <v>5246</v>
      </c>
      <c r="M740" s="22" t="s">
        <v>5247</v>
      </c>
      <c r="N740" s="22" t="s">
        <v>5248</v>
      </c>
    </row>
    <row r="741" ht="20" customHeight="1" spans="1:14" s="23" customFormat="1" x14ac:dyDescent="0.25">
      <c r="A741" s="24" t="s">
        <v>5250</v>
      </c>
      <c r="B741" s="24" t="s">
        <v>1700</v>
      </c>
      <c r="C741" s="25" t="s">
        <v>2940</v>
      </c>
      <c r="D741" s="32">
        <v>77.5</v>
      </c>
      <c r="E741" s="33">
        <v>232.5</v>
      </c>
      <c r="F741" s="25" t="s">
        <v>4698</v>
      </c>
      <c r="G741" s="24" t="s">
        <v>5244</v>
      </c>
      <c r="H741" s="24" t="s">
        <v>5188</v>
      </c>
      <c r="I741" s="24" t="s">
        <v>1809</v>
      </c>
      <c r="J741" s="24">
        <f>SE(I741="","-",SE(DATA.VALOR(I741)&lt;HOJE(),"VENCIDO",SE(DATA.VALOR(I741)-HOJE()&lt;=30,"CRÍTICO (&lt;=30D)","REGULAR")))</f>
      </c>
      <c r="K741" s="25" t="s">
        <v>5245</v>
      </c>
      <c r="L741" s="25" t="s">
        <v>5246</v>
      </c>
      <c r="M741" s="25" t="s">
        <v>5247</v>
      </c>
      <c r="N741" s="25" t="s">
        <v>5248</v>
      </c>
    </row>
    <row r="742" ht="20" customHeight="1" spans="1:14" x14ac:dyDescent="0.25">
      <c r="A742" s="21" t="s">
        <v>5251</v>
      </c>
      <c r="B742" s="21" t="s">
        <v>1669</v>
      </c>
      <c r="C742" s="22" t="s">
        <v>2855</v>
      </c>
      <c r="D742" s="30">
        <v>47</v>
      </c>
      <c r="E742" s="31">
        <v>206.8</v>
      </c>
      <c r="F742" s="22" t="s">
        <v>5252</v>
      </c>
      <c r="G742" s="21" t="s">
        <v>1726</v>
      </c>
      <c r="H742" s="21" t="s">
        <v>63</v>
      </c>
      <c r="I742" s="21" t="s">
        <v>63</v>
      </c>
      <c r="J742" s="21" t="s">
        <v>20</v>
      </c>
      <c r="K742" s="22" t="s">
        <v>5253</v>
      </c>
      <c r="L742" s="22" t="s">
        <v>5254</v>
      </c>
      <c r="M742" s="22" t="s">
        <v>5255</v>
      </c>
      <c r="N742" s="22" t="s">
        <v>5256</v>
      </c>
    </row>
    <row r="743" ht="20" customHeight="1" spans="1:14" s="23" customFormat="1" x14ac:dyDescent="0.25">
      <c r="A743" s="24" t="s">
        <v>5257</v>
      </c>
      <c r="B743" s="24" t="s">
        <v>1669</v>
      </c>
      <c r="C743" s="25" t="s">
        <v>2940</v>
      </c>
      <c r="D743" s="32">
        <v>128</v>
      </c>
      <c r="E743" s="33">
        <v>384</v>
      </c>
      <c r="F743" s="25" t="s">
        <v>5252</v>
      </c>
      <c r="G743" s="24" t="s">
        <v>1726</v>
      </c>
      <c r="H743" s="24" t="s">
        <v>2996</v>
      </c>
      <c r="I743" s="24" t="s">
        <v>63</v>
      </c>
      <c r="J743" s="24" t="s">
        <v>20</v>
      </c>
      <c r="K743" s="25" t="s">
        <v>5253</v>
      </c>
      <c r="L743" s="25" t="s">
        <v>5254</v>
      </c>
      <c r="M743" s="25" t="s">
        <v>5255</v>
      </c>
      <c r="N743" s="25" t="s">
        <v>5256</v>
      </c>
    </row>
    <row r="744" ht="20" customHeight="1" spans="1:14" x14ac:dyDescent="0.25">
      <c r="A744" s="21" t="s">
        <v>5258</v>
      </c>
      <c r="B744" s="21" t="s">
        <v>1669</v>
      </c>
      <c r="C744" s="22" t="s">
        <v>4274</v>
      </c>
      <c r="D744" s="30">
        <v>244</v>
      </c>
      <c r="E744" s="31">
        <v>1024.8</v>
      </c>
      <c r="F744" s="22" t="s">
        <v>5252</v>
      </c>
      <c r="G744" s="21" t="s">
        <v>1726</v>
      </c>
      <c r="H744" s="21" t="s">
        <v>2996</v>
      </c>
      <c r="I744" s="21" t="s">
        <v>63</v>
      </c>
      <c r="J744" s="21" t="s">
        <v>20</v>
      </c>
      <c r="K744" s="22" t="s">
        <v>5253</v>
      </c>
      <c r="L744" s="22" t="s">
        <v>5254</v>
      </c>
      <c r="M744" s="22" t="s">
        <v>5255</v>
      </c>
      <c r="N744" s="22" t="s">
        <v>5256</v>
      </c>
    </row>
    <row r="745" ht="20" customHeight="1" spans="1:14" s="23" customFormat="1" x14ac:dyDescent="0.25">
      <c r="A745" s="24" t="s">
        <v>5259</v>
      </c>
      <c r="B745" s="24" t="s">
        <v>1669</v>
      </c>
      <c r="C745" s="25" t="s">
        <v>4266</v>
      </c>
      <c r="D745" s="32">
        <v>195</v>
      </c>
      <c r="E745" s="33">
        <v>624</v>
      </c>
      <c r="F745" s="25" t="s">
        <v>5252</v>
      </c>
      <c r="G745" s="24" t="s">
        <v>1726</v>
      </c>
      <c r="H745" s="24" t="s">
        <v>2996</v>
      </c>
      <c r="I745" s="24" t="s">
        <v>63</v>
      </c>
      <c r="J745" s="24" t="s">
        <v>20</v>
      </c>
      <c r="K745" s="25" t="s">
        <v>5253</v>
      </c>
      <c r="L745" s="25" t="s">
        <v>5254</v>
      </c>
      <c r="M745" s="25" t="s">
        <v>5255</v>
      </c>
      <c r="N745" s="25" t="s">
        <v>5256</v>
      </c>
    </row>
    <row r="746" ht="20" customHeight="1" spans="1:14" x14ac:dyDescent="0.25">
      <c r="A746" s="21" t="s">
        <v>5260</v>
      </c>
      <c r="B746" s="21" t="s">
        <v>1669</v>
      </c>
      <c r="C746" s="22" t="s">
        <v>4305</v>
      </c>
      <c r="D746" s="30">
        <v>194</v>
      </c>
      <c r="E746" s="31">
        <v>659.6</v>
      </c>
      <c r="F746" s="22" t="s">
        <v>5252</v>
      </c>
      <c r="G746" s="21" t="s">
        <v>1726</v>
      </c>
      <c r="H746" s="21" t="s">
        <v>2996</v>
      </c>
      <c r="I746" s="21" t="s">
        <v>63</v>
      </c>
      <c r="J746" s="21" t="s">
        <v>20</v>
      </c>
      <c r="K746" s="22" t="s">
        <v>5253</v>
      </c>
      <c r="L746" s="22" t="s">
        <v>5254</v>
      </c>
      <c r="M746" s="22" t="s">
        <v>5255</v>
      </c>
      <c r="N746" s="22" t="s">
        <v>5256</v>
      </c>
    </row>
    <row r="747" ht="20" customHeight="1" spans="1:14" s="23" customFormat="1" x14ac:dyDescent="0.25">
      <c r="A747" s="24" t="s">
        <v>5261</v>
      </c>
      <c r="B747" s="24" t="s">
        <v>1669</v>
      </c>
      <c r="C747" s="25" t="s">
        <v>4327</v>
      </c>
      <c r="D747" s="32">
        <v>77</v>
      </c>
      <c r="E747" s="33">
        <v>420.42</v>
      </c>
      <c r="F747" s="25" t="s">
        <v>5252</v>
      </c>
      <c r="G747" s="24" t="s">
        <v>1726</v>
      </c>
      <c r="H747" s="24" t="s">
        <v>2996</v>
      </c>
      <c r="I747" s="24" t="s">
        <v>63</v>
      </c>
      <c r="J747" s="24" t="s">
        <v>20</v>
      </c>
      <c r="K747" s="25" t="s">
        <v>5253</v>
      </c>
      <c r="L747" s="25" t="s">
        <v>5254</v>
      </c>
      <c r="M747" s="25" t="s">
        <v>5255</v>
      </c>
      <c r="N747" s="25" t="s">
        <v>5256</v>
      </c>
    </row>
    <row r="748" ht="20" customHeight="1" spans="1:14" x14ac:dyDescent="0.25">
      <c r="A748" s="21" t="s">
        <v>5262</v>
      </c>
      <c r="B748" s="21" t="s">
        <v>1669</v>
      </c>
      <c r="C748" s="22" t="s">
        <v>2855</v>
      </c>
      <c r="D748" s="30">
        <v>23</v>
      </c>
      <c r="E748" s="31">
        <v>101.2</v>
      </c>
      <c r="F748" s="22" t="s">
        <v>4386</v>
      </c>
      <c r="G748" s="21" t="s">
        <v>5263</v>
      </c>
      <c r="H748" s="21" t="s">
        <v>2996</v>
      </c>
      <c r="I748" s="21" t="s">
        <v>63</v>
      </c>
      <c r="J748" s="21" t="s">
        <v>20</v>
      </c>
      <c r="K748" s="22" t="s">
        <v>5264</v>
      </c>
      <c r="L748" s="22" t="s">
        <v>5265</v>
      </c>
      <c r="M748" s="22" t="s">
        <v>5266</v>
      </c>
      <c r="N748" s="22" t="s">
        <v>5267</v>
      </c>
    </row>
    <row r="749" ht="20" customHeight="1" spans="1:14" s="23" customFormat="1" x14ac:dyDescent="0.25">
      <c r="A749" s="24" t="s">
        <v>5268</v>
      </c>
      <c r="B749" s="24" t="s">
        <v>1669</v>
      </c>
      <c r="C749" s="25" t="s">
        <v>4266</v>
      </c>
      <c r="D749" s="32">
        <v>115.5</v>
      </c>
      <c r="E749" s="33">
        <v>369.6</v>
      </c>
      <c r="F749" s="25" t="s">
        <v>4386</v>
      </c>
      <c r="G749" s="24" t="s">
        <v>5263</v>
      </c>
      <c r="H749" s="24" t="s">
        <v>2996</v>
      </c>
      <c r="I749" s="24" t="s">
        <v>63</v>
      </c>
      <c r="J749" s="24" t="s">
        <v>20</v>
      </c>
      <c r="K749" s="25" t="s">
        <v>5264</v>
      </c>
      <c r="L749" s="25" t="s">
        <v>5265</v>
      </c>
      <c r="M749" s="25" t="s">
        <v>5266</v>
      </c>
      <c r="N749" s="25" t="s">
        <v>5267</v>
      </c>
    </row>
    <row r="750" ht="20" customHeight="1" spans="1:14" x14ac:dyDescent="0.25">
      <c r="A750" s="21" t="s">
        <v>5269</v>
      </c>
      <c r="B750" s="21" t="s">
        <v>1669</v>
      </c>
      <c r="C750" s="22" t="s">
        <v>2940</v>
      </c>
      <c r="D750" s="30">
        <v>77.5</v>
      </c>
      <c r="E750" s="31">
        <v>232.5</v>
      </c>
      <c r="F750" s="22" t="s">
        <v>4386</v>
      </c>
      <c r="G750" s="21" t="s">
        <v>5263</v>
      </c>
      <c r="H750" s="21" t="s">
        <v>2996</v>
      </c>
      <c r="I750" s="21" t="s">
        <v>63</v>
      </c>
      <c r="J750" s="21" t="s">
        <v>20</v>
      </c>
      <c r="K750" s="22" t="s">
        <v>5264</v>
      </c>
      <c r="L750" s="22" t="s">
        <v>5265</v>
      </c>
      <c r="M750" s="22" t="s">
        <v>5266</v>
      </c>
      <c r="N750" s="22" t="s">
        <v>5267</v>
      </c>
    </row>
    <row r="751" ht="20" customHeight="1" spans="1:14" s="23" customFormat="1" x14ac:dyDescent="0.25">
      <c r="A751" s="24" t="s">
        <v>5270</v>
      </c>
      <c r="B751" s="24" t="s">
        <v>1669</v>
      </c>
      <c r="C751" s="25" t="s">
        <v>3890</v>
      </c>
      <c r="D751" s="32">
        <v>225</v>
      </c>
      <c r="E751" s="33">
        <v>1125</v>
      </c>
      <c r="F751" s="25" t="s">
        <v>2643</v>
      </c>
      <c r="G751" s="24" t="s">
        <v>5271</v>
      </c>
      <c r="H751" s="24" t="s">
        <v>2996</v>
      </c>
      <c r="I751" s="24" t="s">
        <v>63</v>
      </c>
      <c r="J751" s="24" t="s">
        <v>20</v>
      </c>
      <c r="K751" s="25" t="s">
        <v>5272</v>
      </c>
      <c r="L751" s="25" t="s">
        <v>5273</v>
      </c>
      <c r="M751" s="25" t="s">
        <v>5274</v>
      </c>
      <c r="N751" s="25" t="s">
        <v>5275</v>
      </c>
    </row>
    <row r="752" ht="20" customHeight="1" spans="1:14" x14ac:dyDescent="0.25">
      <c r="A752" s="21" t="s">
        <v>5276</v>
      </c>
      <c r="B752" s="21" t="s">
        <v>1669</v>
      </c>
      <c r="C752" s="22" t="s">
        <v>3883</v>
      </c>
      <c r="D752" s="30">
        <v>90</v>
      </c>
      <c r="E752" s="31">
        <v>540</v>
      </c>
      <c r="F752" s="22" t="s">
        <v>2643</v>
      </c>
      <c r="G752" s="21" t="s">
        <v>5271</v>
      </c>
      <c r="H752" s="21" t="s">
        <v>2996</v>
      </c>
      <c r="I752" s="21" t="s">
        <v>63</v>
      </c>
      <c r="J752" s="21" t="s">
        <v>20</v>
      </c>
      <c r="K752" s="22" t="s">
        <v>5272</v>
      </c>
      <c r="L752" s="22" t="s">
        <v>5273</v>
      </c>
      <c r="M752" s="22" t="s">
        <v>5274</v>
      </c>
      <c r="N752" s="22" t="s">
        <v>5275</v>
      </c>
    </row>
    <row r="753" ht="20" customHeight="1" spans="1:14" s="23" customFormat="1" x14ac:dyDescent="0.25">
      <c r="A753" s="24" t="s">
        <v>5277</v>
      </c>
      <c r="B753" s="24" t="s">
        <v>1746</v>
      </c>
      <c r="C753" s="25" t="s">
        <v>3784</v>
      </c>
      <c r="D753" s="32">
        <v>7300</v>
      </c>
      <c r="E753" s="33">
        <v>39420</v>
      </c>
      <c r="F753" s="25" t="s">
        <v>2652</v>
      </c>
      <c r="G753" s="24" t="s">
        <v>5278</v>
      </c>
      <c r="H753" s="24" t="s">
        <v>2996</v>
      </c>
      <c r="I753" s="24" t="s">
        <v>63</v>
      </c>
      <c r="J753" s="24" t="s">
        <v>20</v>
      </c>
      <c r="K753" s="25" t="s">
        <v>5279</v>
      </c>
      <c r="L753" s="25" t="s">
        <v>5280</v>
      </c>
      <c r="M753" s="25" t="s">
        <v>5281</v>
      </c>
      <c r="N753" s="25" t="s">
        <v>5282</v>
      </c>
    </row>
    <row r="754" ht="20" customHeight="1" spans="1:14" x14ac:dyDescent="0.25">
      <c r="A754" s="21" t="s">
        <v>5283</v>
      </c>
      <c r="B754" s="21" t="s">
        <v>1651</v>
      </c>
      <c r="C754" s="22" t="s">
        <v>4276</v>
      </c>
      <c r="D754" s="30">
        <v>152</v>
      </c>
      <c r="E754" s="31">
        <v>608</v>
      </c>
      <c r="F754" s="22" t="s">
        <v>2685</v>
      </c>
      <c r="G754" s="21" t="s">
        <v>5284</v>
      </c>
      <c r="H754" s="21" t="s">
        <v>2996</v>
      </c>
      <c r="I754" s="21" t="s">
        <v>63</v>
      </c>
      <c r="J754" s="21" t="s">
        <v>20</v>
      </c>
      <c r="K754" s="22" t="s">
        <v>5285</v>
      </c>
      <c r="L754" s="22" t="s">
        <v>5286</v>
      </c>
      <c r="M754" s="22" t="s">
        <v>5287</v>
      </c>
      <c r="N754" s="22" t="s">
        <v>5288</v>
      </c>
    </row>
    <row r="755" ht="20" customHeight="1" spans="1:14" s="23" customFormat="1" x14ac:dyDescent="0.25">
      <c r="A755" s="24" t="s">
        <v>5289</v>
      </c>
      <c r="B755" s="24" t="s">
        <v>1651</v>
      </c>
      <c r="C755" s="25" t="s">
        <v>2940</v>
      </c>
      <c r="D755" s="32">
        <v>60</v>
      </c>
      <c r="E755" s="33">
        <v>180</v>
      </c>
      <c r="F755" s="25" t="s">
        <v>2685</v>
      </c>
      <c r="G755" s="24" t="s">
        <v>5284</v>
      </c>
      <c r="H755" s="24" t="s">
        <v>2996</v>
      </c>
      <c r="I755" s="24" t="s">
        <v>63</v>
      </c>
      <c r="J755" s="24" t="s">
        <v>20</v>
      </c>
      <c r="K755" s="25" t="s">
        <v>5285</v>
      </c>
      <c r="L755" s="25" t="s">
        <v>5286</v>
      </c>
      <c r="M755" s="25" t="s">
        <v>5287</v>
      </c>
      <c r="N755" s="25" t="s">
        <v>5288</v>
      </c>
    </row>
    <row r="756" ht="20" customHeight="1" spans="1:14" x14ac:dyDescent="0.25">
      <c r="A756" s="21" t="s">
        <v>5290</v>
      </c>
      <c r="B756" s="21" t="s">
        <v>1651</v>
      </c>
      <c r="C756" s="22" t="s">
        <v>4266</v>
      </c>
      <c r="D756" s="30">
        <v>97</v>
      </c>
      <c r="E756" s="31">
        <v>310.4</v>
      </c>
      <c r="F756" s="22" t="s">
        <v>2685</v>
      </c>
      <c r="G756" s="21" t="s">
        <v>5284</v>
      </c>
      <c r="H756" s="21" t="s">
        <v>2996</v>
      </c>
      <c r="I756" s="21" t="s">
        <v>63</v>
      </c>
      <c r="J756" s="21" t="s">
        <v>20</v>
      </c>
      <c r="K756" s="22" t="s">
        <v>5285</v>
      </c>
      <c r="L756" s="22" t="s">
        <v>5286</v>
      </c>
      <c r="M756" s="22" t="s">
        <v>5287</v>
      </c>
      <c r="N756" s="22" t="s">
        <v>5288</v>
      </c>
    </row>
    <row r="757" ht="20" customHeight="1" spans="1:14" s="23" customFormat="1" x14ac:dyDescent="0.25">
      <c r="A757" s="24" t="s">
        <v>5291</v>
      </c>
      <c r="B757" s="24" t="s">
        <v>1651</v>
      </c>
      <c r="C757" s="25" t="s">
        <v>4274</v>
      </c>
      <c r="D757" s="32">
        <v>125</v>
      </c>
      <c r="E757" s="33">
        <v>525</v>
      </c>
      <c r="F757" s="25" t="s">
        <v>2685</v>
      </c>
      <c r="G757" s="24" t="s">
        <v>5284</v>
      </c>
      <c r="H757" s="24" t="s">
        <v>2996</v>
      </c>
      <c r="I757" s="24" t="s">
        <v>63</v>
      </c>
      <c r="J757" s="24" t="s">
        <v>20</v>
      </c>
      <c r="K757" s="25" t="s">
        <v>5285</v>
      </c>
      <c r="L757" s="25" t="s">
        <v>5286</v>
      </c>
      <c r="M757" s="25" t="s">
        <v>5287</v>
      </c>
      <c r="N757" s="25" t="s">
        <v>5288</v>
      </c>
    </row>
    <row r="758" ht="20" customHeight="1" spans="1:14" x14ac:dyDescent="0.25">
      <c r="A758" s="21" t="s">
        <v>5292</v>
      </c>
      <c r="B758" s="21" t="s">
        <v>2542</v>
      </c>
      <c r="C758" s="22" t="s">
        <v>5293</v>
      </c>
      <c r="D758" s="30">
        <v>20</v>
      </c>
      <c r="E758" s="31">
        <v>339</v>
      </c>
      <c r="F758" s="22" t="s">
        <v>5236</v>
      </c>
      <c r="G758" s="21" t="s">
        <v>5237</v>
      </c>
      <c r="H758" s="21" t="s">
        <v>5294</v>
      </c>
      <c r="I758" s="21" t="s">
        <v>1799</v>
      </c>
      <c r="J758" s="21">
        <f>SE(I758="","-",SE(DATA.VALOR(I758)&lt;HOJE(),"VENCIDO",SE(DATA.VALOR(I758)-HOJE()&lt;=30,"CRÍTICO (&lt;=30D)","REGULAR")))</f>
      </c>
      <c r="K758" s="22" t="s">
        <v>5239</v>
      </c>
      <c r="L758" s="22" t="s">
        <v>5240</v>
      </c>
      <c r="M758" s="22" t="s">
        <v>5241</v>
      </c>
      <c r="N758" s="22" t="s">
        <v>5295</v>
      </c>
    </row>
    <row r="759" ht="20" customHeight="1" spans="1:14" s="23" customFormat="1" x14ac:dyDescent="0.25">
      <c r="A759" s="24" t="s">
        <v>5296</v>
      </c>
      <c r="B759" s="24" t="s">
        <v>1762</v>
      </c>
      <c r="C759" s="25" t="s">
        <v>4338</v>
      </c>
      <c r="D759" s="32">
        <v>75</v>
      </c>
      <c r="E759" s="33">
        <v>337.5</v>
      </c>
      <c r="F759" s="25" t="s">
        <v>4766</v>
      </c>
      <c r="G759" s="24" t="s">
        <v>5297</v>
      </c>
      <c r="H759" s="24" t="s">
        <v>2996</v>
      </c>
      <c r="I759" s="24" t="s">
        <v>63</v>
      </c>
      <c r="J759" s="24" t="s">
        <v>20</v>
      </c>
      <c r="K759" s="25" t="s">
        <v>5298</v>
      </c>
      <c r="L759" s="25" t="s">
        <v>5299</v>
      </c>
      <c r="M759" s="25" t="s">
        <v>5300</v>
      </c>
      <c r="N759" s="25" t="s">
        <v>5301</v>
      </c>
    </row>
    <row r="760" ht="20" customHeight="1" spans="1:14" x14ac:dyDescent="0.25">
      <c r="A760" s="21" t="s">
        <v>5302</v>
      </c>
      <c r="B760" s="21" t="s">
        <v>1762</v>
      </c>
      <c r="C760" s="22" t="s">
        <v>4338</v>
      </c>
      <c r="D760" s="30">
        <v>75</v>
      </c>
      <c r="E760" s="31">
        <v>337.5</v>
      </c>
      <c r="F760" s="22" t="s">
        <v>4758</v>
      </c>
      <c r="G760" s="21" t="s">
        <v>5065</v>
      </c>
      <c r="H760" s="21" t="s">
        <v>2996</v>
      </c>
      <c r="I760" s="21" t="s">
        <v>63</v>
      </c>
      <c r="J760" s="21" t="s">
        <v>20</v>
      </c>
      <c r="K760" s="22" t="s">
        <v>5303</v>
      </c>
      <c r="L760" s="22" t="s">
        <v>5304</v>
      </c>
      <c r="M760" s="22" t="s">
        <v>5305</v>
      </c>
      <c r="N760" s="22" t="s">
        <v>5306</v>
      </c>
    </row>
    <row r="761" ht="20" customHeight="1" spans="1:14" s="23" customFormat="1" x14ac:dyDescent="0.25">
      <c r="A761" s="24" t="s">
        <v>5307</v>
      </c>
      <c r="B761" s="24" t="s">
        <v>1762</v>
      </c>
      <c r="C761" s="25" t="s">
        <v>4338</v>
      </c>
      <c r="D761" s="32">
        <v>75</v>
      </c>
      <c r="E761" s="33">
        <v>337.5</v>
      </c>
      <c r="F761" s="25" t="s">
        <v>4774</v>
      </c>
      <c r="G761" s="24" t="s">
        <v>5308</v>
      </c>
      <c r="H761" s="24" t="s">
        <v>3842</v>
      </c>
      <c r="I761" s="24" t="s">
        <v>1708</v>
      </c>
      <c r="J761" s="24">
        <f>SE(I761="","-",SE(DATA.VALOR(I761)&lt;HOJE(),"VENCIDO",SE(DATA.VALOR(I761)-HOJE()&lt;=30,"CRÍTICO (&lt;=30D)","REGULAR")))</f>
      </c>
      <c r="K761" s="25" t="s">
        <v>5309</v>
      </c>
      <c r="L761" s="25" t="s">
        <v>5310</v>
      </c>
      <c r="M761" s="25" t="s">
        <v>5311</v>
      </c>
      <c r="N761" s="25" t="s">
        <v>5312</v>
      </c>
    </row>
    <row r="762" ht="20" customHeight="1" spans="1:14" x14ac:dyDescent="0.25">
      <c r="A762" s="21" t="s">
        <v>5313</v>
      </c>
      <c r="B762" s="21" t="s">
        <v>1762</v>
      </c>
      <c r="C762" s="22" t="s">
        <v>4338</v>
      </c>
      <c r="D762" s="30">
        <v>75</v>
      </c>
      <c r="E762" s="31">
        <v>337.5</v>
      </c>
      <c r="F762" s="22" t="s">
        <v>4781</v>
      </c>
      <c r="G762" s="21" t="s">
        <v>4894</v>
      </c>
      <c r="H762" s="21" t="s">
        <v>2996</v>
      </c>
      <c r="I762" s="21" t="s">
        <v>63</v>
      </c>
      <c r="J762" s="21" t="s">
        <v>20</v>
      </c>
      <c r="K762" s="22" t="s">
        <v>5314</v>
      </c>
      <c r="L762" s="22" t="s">
        <v>5315</v>
      </c>
      <c r="M762" s="22" t="s">
        <v>5316</v>
      </c>
      <c r="N762" s="22" t="s">
        <v>5317</v>
      </c>
    </row>
    <row r="763" ht="20" customHeight="1" spans="1:14" s="23" customFormat="1" x14ac:dyDescent="0.25">
      <c r="A763" s="24" t="s">
        <v>5318</v>
      </c>
      <c r="B763" s="24" t="s">
        <v>1180</v>
      </c>
      <c r="C763" s="25" t="s">
        <v>5319</v>
      </c>
      <c r="D763" s="32">
        <v>0</v>
      </c>
      <c r="E763" s="33">
        <v>0</v>
      </c>
      <c r="F763" s="25" t="s">
        <v>2796</v>
      </c>
      <c r="G763" s="24" t="s">
        <v>5320</v>
      </c>
      <c r="H763" s="24" t="s">
        <v>2996</v>
      </c>
      <c r="I763" s="24" t="s">
        <v>63</v>
      </c>
      <c r="J763" s="24" t="s">
        <v>20</v>
      </c>
      <c r="K763" s="25" t="s">
        <v>63</v>
      </c>
      <c r="L763" s="25" t="s">
        <v>63</v>
      </c>
      <c r="M763" s="25" t="s">
        <v>63</v>
      </c>
      <c r="N763" s="25" t="s">
        <v>5321</v>
      </c>
    </row>
    <row r="764" ht="20" customHeight="1" spans="1:14" x14ac:dyDescent="0.25">
      <c r="A764" s="21" t="s">
        <v>5322</v>
      </c>
      <c r="B764" s="21" t="s">
        <v>1563</v>
      </c>
      <c r="C764" s="22" t="s">
        <v>4338</v>
      </c>
      <c r="D764" s="30">
        <v>40</v>
      </c>
      <c r="E764" s="31">
        <v>0</v>
      </c>
      <c r="F764" s="22" t="s">
        <v>2856</v>
      </c>
      <c r="G764" s="21" t="s">
        <v>4898</v>
      </c>
      <c r="H764" s="21" t="s">
        <v>2996</v>
      </c>
      <c r="I764" s="21" t="s">
        <v>63</v>
      </c>
      <c r="J764" s="21" t="s">
        <v>20</v>
      </c>
      <c r="K764" s="22" t="s">
        <v>63</v>
      </c>
      <c r="L764" s="22" t="s">
        <v>63</v>
      </c>
      <c r="M764" s="22" t="s">
        <v>63</v>
      </c>
      <c r="N764" s="22" t="s">
        <v>5323</v>
      </c>
    </row>
    <row r="765" ht="20" customHeight="1" spans="1:14" s="23" customFormat="1" x14ac:dyDescent="0.25">
      <c r="A765" s="24" t="s">
        <v>5324</v>
      </c>
      <c r="B765" s="24" t="s">
        <v>1771</v>
      </c>
      <c r="C765" s="25" t="s">
        <v>5325</v>
      </c>
      <c r="D765" s="32">
        <v>125</v>
      </c>
      <c r="E765" s="33">
        <v>722.5</v>
      </c>
      <c r="F765" s="25" t="s">
        <v>5326</v>
      </c>
      <c r="G765" s="24" t="s">
        <v>5327</v>
      </c>
      <c r="H765" s="24" t="s">
        <v>5328</v>
      </c>
      <c r="I765" s="24" t="s">
        <v>5329</v>
      </c>
      <c r="J765" s="24">
        <f>SE(I765="","-",SE(DATA.VALOR(I765)&lt;HOJE(),"VENCIDO",SE(DATA.VALOR(I765)-HOJE()&lt;=30,"CRÍTICO (&lt;=30D)","REGULAR")))</f>
      </c>
      <c r="K765" s="25" t="s">
        <v>5330</v>
      </c>
      <c r="L765" s="25" t="s">
        <v>5331</v>
      </c>
      <c r="M765" s="25" t="s">
        <v>5332</v>
      </c>
      <c r="N765" s="25" t="s">
        <v>5333</v>
      </c>
    </row>
    <row r="766" ht="20" customHeight="1" spans="1:14" x14ac:dyDescent="0.25">
      <c r="A766" s="21" t="s">
        <v>5334</v>
      </c>
      <c r="B766" s="21" t="s">
        <v>1771</v>
      </c>
      <c r="C766" s="22" t="s">
        <v>5335</v>
      </c>
      <c r="D766" s="30">
        <v>300</v>
      </c>
      <c r="E766" s="31">
        <v>1266</v>
      </c>
      <c r="F766" s="22" t="s">
        <v>5326</v>
      </c>
      <c r="G766" s="21" t="s">
        <v>5327</v>
      </c>
      <c r="H766" s="21" t="s">
        <v>5336</v>
      </c>
      <c r="I766" s="21" t="s">
        <v>5337</v>
      </c>
      <c r="J766" s="21">
        <f>SE(I766="","-",SE(DATA.VALOR(I766)&lt;HOJE(),"VENCIDO",SE(DATA.VALOR(I766)-HOJE()&lt;=30,"CRÍTICO (&lt;=30D)","REGULAR")))</f>
      </c>
      <c r="K766" s="22" t="s">
        <v>5330</v>
      </c>
      <c r="L766" s="22" t="s">
        <v>5331</v>
      </c>
      <c r="M766" s="22" t="s">
        <v>5332</v>
      </c>
      <c r="N766" s="22" t="s">
        <v>5338</v>
      </c>
    </row>
    <row r="767" ht="20" customHeight="1" spans="1:14" s="23" customFormat="1" x14ac:dyDescent="0.25">
      <c r="A767" s="24" t="s">
        <v>5339</v>
      </c>
      <c r="B767" s="24" t="s">
        <v>1771</v>
      </c>
      <c r="C767" s="25" t="s">
        <v>5340</v>
      </c>
      <c r="D767" s="32">
        <v>250</v>
      </c>
      <c r="E767" s="33">
        <v>1055</v>
      </c>
      <c r="F767" s="25" t="s">
        <v>5326</v>
      </c>
      <c r="G767" s="24" t="s">
        <v>5327</v>
      </c>
      <c r="H767" s="24" t="s">
        <v>5341</v>
      </c>
      <c r="I767" s="24" t="s">
        <v>5342</v>
      </c>
      <c r="J767" s="24">
        <f>SE(I767="","-",SE(DATA.VALOR(I767)&lt;HOJE(),"VENCIDO",SE(DATA.VALOR(I767)-HOJE()&lt;=30,"CRÍTICO (&lt;=30D)","REGULAR")))</f>
      </c>
      <c r="K767" s="25" t="s">
        <v>5330</v>
      </c>
      <c r="L767" s="25" t="s">
        <v>5331</v>
      </c>
      <c r="M767" s="25" t="s">
        <v>5332</v>
      </c>
      <c r="N767" s="25" t="s">
        <v>5343</v>
      </c>
    </row>
    <row r="768" ht="20" customHeight="1" spans="1:14" x14ac:dyDescent="0.25">
      <c r="A768" s="21" t="s">
        <v>5344</v>
      </c>
      <c r="B768" s="21" t="s">
        <v>1708</v>
      </c>
      <c r="C768" s="22" t="s">
        <v>4415</v>
      </c>
      <c r="D768" s="30">
        <v>1207</v>
      </c>
      <c r="E768" s="31">
        <v>11949.3</v>
      </c>
      <c r="F768" s="22" t="s">
        <v>4416</v>
      </c>
      <c r="G768" s="21" t="s">
        <v>5345</v>
      </c>
      <c r="H768" s="21" t="s">
        <v>3842</v>
      </c>
      <c r="I768" s="21" t="s">
        <v>5346</v>
      </c>
      <c r="J768" s="21">
        <f>SE(I768="","-",SE(DATA.VALOR(I768)&lt;HOJE(),"VENCIDO",SE(DATA.VALOR(I768)-HOJE()&lt;=30,"CRÍTICO (&lt;=30D)","REGULAR")))</f>
      </c>
      <c r="K768" s="22" t="s">
        <v>5347</v>
      </c>
      <c r="L768" s="22" t="s">
        <v>4420</v>
      </c>
      <c r="M768" s="22" t="s">
        <v>5348</v>
      </c>
      <c r="N768" s="22" t="s">
        <v>5349</v>
      </c>
    </row>
    <row r="769" ht="20" customHeight="1" spans="1:14" s="23" customFormat="1" x14ac:dyDescent="0.25">
      <c r="A769" s="24" t="s">
        <v>5350</v>
      </c>
      <c r="B769" s="24" t="s">
        <v>1771</v>
      </c>
      <c r="C769" s="25" t="s">
        <v>5351</v>
      </c>
      <c r="D769" s="32">
        <v>250</v>
      </c>
      <c r="E769" s="33">
        <v>1195</v>
      </c>
      <c r="F769" s="25" t="s">
        <v>5326</v>
      </c>
      <c r="G769" s="24" t="s">
        <v>5327</v>
      </c>
      <c r="H769" s="24" t="s">
        <v>5352</v>
      </c>
      <c r="I769" s="24" t="s">
        <v>5353</v>
      </c>
      <c r="J769" s="24">
        <f>SE(I769="","-",SE(DATA.VALOR(I769)&lt;HOJE(),"VENCIDO",SE(DATA.VALOR(I769)-HOJE()&lt;=30,"CRÍTICO (&lt;=30D)","REGULAR")))</f>
      </c>
      <c r="K769" s="25" t="s">
        <v>5330</v>
      </c>
      <c r="L769" s="25" t="s">
        <v>5331</v>
      </c>
      <c r="M769" s="25" t="s">
        <v>5332</v>
      </c>
      <c r="N769" s="25" t="s">
        <v>5354</v>
      </c>
    </row>
    <row r="770" ht="20" customHeight="1" spans="1:14" x14ac:dyDescent="0.25">
      <c r="A770" s="21" t="s">
        <v>5355</v>
      </c>
      <c r="B770" s="21" t="s">
        <v>1708</v>
      </c>
      <c r="C770" s="22" t="s">
        <v>2855</v>
      </c>
      <c r="D770" s="30">
        <v>25</v>
      </c>
      <c r="E770" s="31">
        <v>110</v>
      </c>
      <c r="F770" s="22" t="s">
        <v>2856</v>
      </c>
      <c r="G770" s="21" t="s">
        <v>5356</v>
      </c>
      <c r="H770" s="21" t="s">
        <v>5357</v>
      </c>
      <c r="I770" s="21" t="s">
        <v>5358</v>
      </c>
      <c r="J770" s="21">
        <f>SE(I770="","-",SE(DATA.VALOR(I770)&lt;HOJE(),"VENCIDO",SE(DATA.VALOR(I770)-HOJE()&lt;=30,"CRÍTICO (&lt;=30D)","REGULAR")))</f>
      </c>
      <c r="K770" s="22" t="s">
        <v>5359</v>
      </c>
      <c r="L770" s="22" t="s">
        <v>5360</v>
      </c>
      <c r="M770" s="22" t="s">
        <v>5361</v>
      </c>
      <c r="N770" s="22" t="s">
        <v>5362</v>
      </c>
    </row>
    <row r="771" ht="20" customHeight="1" spans="1:14" s="23" customFormat="1" x14ac:dyDescent="0.25">
      <c r="A771" s="24" t="s">
        <v>5363</v>
      </c>
      <c r="B771" s="24" t="s">
        <v>1708</v>
      </c>
      <c r="C771" s="25" t="s">
        <v>2935</v>
      </c>
      <c r="D771" s="32">
        <v>49</v>
      </c>
      <c r="E771" s="33">
        <v>284.2</v>
      </c>
      <c r="F771" s="25" t="s">
        <v>2856</v>
      </c>
      <c r="G771" s="24" t="s">
        <v>5356</v>
      </c>
      <c r="H771" s="24" t="s">
        <v>5357</v>
      </c>
      <c r="I771" s="24" t="s">
        <v>5358</v>
      </c>
      <c r="J771" s="24">
        <f>SE(I771="","-",SE(DATA.VALOR(I771)&lt;HOJE(),"VENCIDO",SE(DATA.VALOR(I771)-HOJE()&lt;=30,"CRÍTICO (&lt;=30D)","REGULAR")))</f>
      </c>
      <c r="K771" s="25" t="s">
        <v>5359</v>
      </c>
      <c r="L771" s="25" t="s">
        <v>5360</v>
      </c>
      <c r="M771" s="25" t="s">
        <v>5361</v>
      </c>
      <c r="N771" s="25" t="s">
        <v>5362</v>
      </c>
    </row>
    <row r="772" ht="20" customHeight="1" spans="1:14" x14ac:dyDescent="0.25">
      <c r="A772" s="21" t="s">
        <v>5364</v>
      </c>
      <c r="B772" s="21" t="s">
        <v>1708</v>
      </c>
      <c r="C772" s="22" t="s">
        <v>4338</v>
      </c>
      <c r="D772" s="30">
        <v>100</v>
      </c>
      <c r="E772" s="31">
        <v>450</v>
      </c>
      <c r="F772" s="22" t="s">
        <v>2856</v>
      </c>
      <c r="G772" s="21" t="s">
        <v>5356</v>
      </c>
      <c r="H772" s="21" t="s">
        <v>5357</v>
      </c>
      <c r="I772" s="21" t="s">
        <v>5358</v>
      </c>
      <c r="J772" s="21">
        <f>SE(I772="","-",SE(DATA.VALOR(I772)&lt;HOJE(),"VENCIDO",SE(DATA.VALOR(I772)-HOJE()&lt;=30,"CRÍTICO (&lt;=30D)","REGULAR")))</f>
      </c>
      <c r="K772" s="22" t="s">
        <v>5359</v>
      </c>
      <c r="L772" s="22" t="s">
        <v>5360</v>
      </c>
      <c r="M772" s="22" t="s">
        <v>63</v>
      </c>
      <c r="N772" s="22" t="s">
        <v>5362</v>
      </c>
    </row>
    <row r="773" ht="20" customHeight="1" spans="1:14" s="23" customFormat="1" x14ac:dyDescent="0.25">
      <c r="A773" s="24" t="s">
        <v>5365</v>
      </c>
      <c r="B773" s="24" t="s">
        <v>1708</v>
      </c>
      <c r="C773" s="25" t="s">
        <v>2940</v>
      </c>
      <c r="D773" s="32">
        <v>105</v>
      </c>
      <c r="E773" s="33">
        <v>315</v>
      </c>
      <c r="F773" s="25" t="s">
        <v>2856</v>
      </c>
      <c r="G773" s="24" t="s">
        <v>5356</v>
      </c>
      <c r="H773" s="24" t="s">
        <v>5366</v>
      </c>
      <c r="I773" s="24" t="s">
        <v>5358</v>
      </c>
      <c r="J773" s="24">
        <f>SE(I773="","-",SE(DATA.VALOR(I773)&lt;HOJE(),"VENCIDO",SE(DATA.VALOR(I773)-HOJE()&lt;=30,"CRÍTICO (&lt;=30D)","REGULAR")))</f>
      </c>
      <c r="K773" s="25" t="s">
        <v>5359</v>
      </c>
      <c r="L773" s="25" t="s">
        <v>5360</v>
      </c>
      <c r="M773" s="25" t="s">
        <v>5361</v>
      </c>
      <c r="N773" s="25" t="s">
        <v>5362</v>
      </c>
    </row>
    <row r="774" ht="20" customHeight="1" spans="1:14" x14ac:dyDescent="0.25">
      <c r="A774" s="21" t="s">
        <v>5367</v>
      </c>
      <c r="B774" s="21" t="s">
        <v>1708</v>
      </c>
      <c r="C774" s="22" t="s">
        <v>2855</v>
      </c>
      <c r="D774" s="30">
        <v>25</v>
      </c>
      <c r="E774" s="31">
        <v>110</v>
      </c>
      <c r="F774" s="22" t="s">
        <v>2700</v>
      </c>
      <c r="G774" s="21" t="s">
        <v>5368</v>
      </c>
      <c r="H774" s="21" t="s">
        <v>5357</v>
      </c>
      <c r="I774" s="21" t="s">
        <v>5358</v>
      </c>
      <c r="J774" s="21">
        <f>SE(I774="","-",SE(DATA.VALOR(I774)&lt;HOJE(),"VENCIDO",SE(DATA.VALOR(I774)-HOJE()&lt;=30,"CRÍTICO (&lt;=30D)","REGULAR")))</f>
      </c>
      <c r="K774" s="22" t="s">
        <v>5369</v>
      </c>
      <c r="L774" s="22" t="s">
        <v>5370</v>
      </c>
      <c r="M774" s="22" t="s">
        <v>5371</v>
      </c>
      <c r="N774" s="22" t="s">
        <v>5372</v>
      </c>
    </row>
    <row r="775" ht="20" customHeight="1" spans="1:14" s="23" customFormat="1" x14ac:dyDescent="0.25">
      <c r="A775" s="24" t="s">
        <v>5373</v>
      </c>
      <c r="B775" s="24" t="s">
        <v>1708</v>
      </c>
      <c r="C775" s="25" t="s">
        <v>2935</v>
      </c>
      <c r="D775" s="32">
        <v>49</v>
      </c>
      <c r="E775" s="33">
        <v>284.2</v>
      </c>
      <c r="F775" s="25" t="s">
        <v>2700</v>
      </c>
      <c r="G775" s="24" t="s">
        <v>5368</v>
      </c>
      <c r="H775" s="24" t="s">
        <v>5357</v>
      </c>
      <c r="I775" s="24" t="s">
        <v>5358</v>
      </c>
      <c r="J775" s="24">
        <f>SE(I775="","-",SE(DATA.VALOR(I775)&lt;HOJE(),"VENCIDO",SE(DATA.VALOR(I775)-HOJE()&lt;=30,"CRÍTICO (&lt;=30D)","REGULAR")))</f>
      </c>
      <c r="K775" s="25" t="s">
        <v>5369</v>
      </c>
      <c r="L775" s="25" t="s">
        <v>5370</v>
      </c>
      <c r="M775" s="25" t="s">
        <v>5371</v>
      </c>
      <c r="N775" s="25" t="s">
        <v>5372</v>
      </c>
    </row>
    <row r="776" ht="20" customHeight="1" spans="1:14" x14ac:dyDescent="0.25">
      <c r="A776" s="21" t="s">
        <v>5374</v>
      </c>
      <c r="B776" s="21" t="s">
        <v>1708</v>
      </c>
      <c r="C776" s="22" t="s">
        <v>4338</v>
      </c>
      <c r="D776" s="30">
        <v>100</v>
      </c>
      <c r="E776" s="31">
        <v>450</v>
      </c>
      <c r="F776" s="22" t="s">
        <v>2700</v>
      </c>
      <c r="G776" s="21" t="s">
        <v>5368</v>
      </c>
      <c r="H776" s="21" t="s">
        <v>5357</v>
      </c>
      <c r="I776" s="21" t="s">
        <v>5358</v>
      </c>
      <c r="J776" s="21">
        <f>SE(I776="","-",SE(DATA.VALOR(I776)&lt;HOJE(),"VENCIDO",SE(DATA.VALOR(I776)-HOJE()&lt;=30,"CRÍTICO (&lt;=30D)","REGULAR")))</f>
      </c>
      <c r="K776" s="22" t="s">
        <v>5369</v>
      </c>
      <c r="L776" s="22" t="s">
        <v>5370</v>
      </c>
      <c r="M776" s="22" t="s">
        <v>5371</v>
      </c>
      <c r="N776" s="22" t="s">
        <v>5372</v>
      </c>
    </row>
    <row r="777" ht="20" customHeight="1" spans="1:14" s="23" customFormat="1" x14ac:dyDescent="0.25">
      <c r="A777" s="24" t="s">
        <v>5375</v>
      </c>
      <c r="B777" s="24" t="s">
        <v>1708</v>
      </c>
      <c r="C777" s="25" t="s">
        <v>2940</v>
      </c>
      <c r="D777" s="32">
        <v>105</v>
      </c>
      <c r="E777" s="33">
        <v>315</v>
      </c>
      <c r="F777" s="25" t="s">
        <v>2700</v>
      </c>
      <c r="G777" s="24" t="s">
        <v>5368</v>
      </c>
      <c r="H777" s="24" t="s">
        <v>5357</v>
      </c>
      <c r="I777" s="24" t="s">
        <v>5358</v>
      </c>
      <c r="J777" s="24">
        <f>SE(I777="","-",SE(DATA.VALOR(I777)&lt;HOJE(),"VENCIDO",SE(DATA.VALOR(I777)-HOJE()&lt;=30,"CRÍTICO (&lt;=30D)","REGULAR")))</f>
      </c>
      <c r="K777" s="25" t="s">
        <v>5369</v>
      </c>
      <c r="L777" s="25" t="s">
        <v>5370</v>
      </c>
      <c r="M777" s="25" t="s">
        <v>5371</v>
      </c>
      <c r="N777" s="25" t="s">
        <v>5372</v>
      </c>
    </row>
    <row r="778" ht="20" customHeight="1" spans="1:14" x14ac:dyDescent="0.25">
      <c r="A778" s="21" t="s">
        <v>5376</v>
      </c>
      <c r="B778" s="21" t="s">
        <v>1784</v>
      </c>
      <c r="C778" s="22" t="s">
        <v>4276</v>
      </c>
      <c r="D778" s="30">
        <v>152</v>
      </c>
      <c r="E778" s="31">
        <v>608</v>
      </c>
      <c r="F778" s="22" t="s">
        <v>4730</v>
      </c>
      <c r="G778" s="21" t="s">
        <v>2554</v>
      </c>
      <c r="H778" s="21" t="s">
        <v>5357</v>
      </c>
      <c r="I778" s="21" t="s">
        <v>1996</v>
      </c>
      <c r="J778" s="21">
        <f>SE(I778="","-",SE(DATA.VALOR(I778)&lt;HOJE(),"VENCIDO",SE(DATA.VALOR(I778)-HOJE()&lt;=30,"CRÍTICO (&lt;=30D)","REGULAR")))</f>
      </c>
      <c r="K778" s="22" t="s">
        <v>5377</v>
      </c>
      <c r="L778" s="22" t="s">
        <v>5378</v>
      </c>
      <c r="M778" s="22" t="s">
        <v>5379</v>
      </c>
      <c r="N778" s="22" t="s">
        <v>5380</v>
      </c>
    </row>
    <row r="779" ht="20" customHeight="1" spans="1:14" s="23" customFormat="1" x14ac:dyDescent="0.25">
      <c r="A779" s="24" t="s">
        <v>5381</v>
      </c>
      <c r="B779" s="24" t="s">
        <v>1784</v>
      </c>
      <c r="C779" s="25" t="s">
        <v>4322</v>
      </c>
      <c r="D779" s="32">
        <v>166</v>
      </c>
      <c r="E779" s="33">
        <v>647.4</v>
      </c>
      <c r="F779" s="25" t="s">
        <v>4730</v>
      </c>
      <c r="G779" s="24" t="s">
        <v>2554</v>
      </c>
      <c r="H779" s="24" t="s">
        <v>5357</v>
      </c>
      <c r="I779" s="24" t="s">
        <v>5358</v>
      </c>
      <c r="J779" s="24">
        <f>SE(I779="","-",SE(DATA.VALOR(I779)&lt;HOJE(),"VENCIDO",SE(DATA.VALOR(I779)-HOJE()&lt;=30,"CRÍTICO (&lt;=30D)","REGULAR")))</f>
      </c>
      <c r="K779" s="25" t="s">
        <v>5377</v>
      </c>
      <c r="L779" s="25" t="s">
        <v>5378</v>
      </c>
      <c r="M779" s="25" t="s">
        <v>5379</v>
      </c>
      <c r="N779" s="25" t="s">
        <v>5380</v>
      </c>
    </row>
    <row r="780" ht="20" customHeight="1" spans="1:14" x14ac:dyDescent="0.25">
      <c r="A780" s="21" t="s">
        <v>5382</v>
      </c>
      <c r="B780" s="21" t="s">
        <v>1784</v>
      </c>
      <c r="C780" s="22" t="s">
        <v>2855</v>
      </c>
      <c r="D780" s="30">
        <v>21</v>
      </c>
      <c r="E780" s="31">
        <v>92.4</v>
      </c>
      <c r="F780" s="22" t="s">
        <v>4730</v>
      </c>
      <c r="G780" s="21" t="s">
        <v>2554</v>
      </c>
      <c r="H780" s="21" t="s">
        <v>5357</v>
      </c>
      <c r="I780" s="21" t="s">
        <v>5358</v>
      </c>
      <c r="J780" s="21">
        <f>SE(I780="","-",SE(DATA.VALOR(I780)&lt;HOJE(),"VENCIDO",SE(DATA.VALOR(I780)-HOJE()&lt;=30,"CRÍTICO (&lt;=30D)","REGULAR")))</f>
      </c>
      <c r="K780" s="22" t="s">
        <v>5377</v>
      </c>
      <c r="L780" s="22" t="s">
        <v>5378</v>
      </c>
      <c r="M780" s="22" t="s">
        <v>5379</v>
      </c>
      <c r="N780" s="22" t="s">
        <v>5380</v>
      </c>
    </row>
    <row r="781" ht="20" customHeight="1" spans="1:14" s="23" customFormat="1" x14ac:dyDescent="0.25">
      <c r="A781" s="24" t="s">
        <v>5383</v>
      </c>
      <c r="B781" s="24" t="s">
        <v>1784</v>
      </c>
      <c r="C781" s="25" t="s">
        <v>3883</v>
      </c>
      <c r="D781" s="32">
        <v>90</v>
      </c>
      <c r="E781" s="33">
        <v>540</v>
      </c>
      <c r="F781" s="25" t="s">
        <v>4730</v>
      </c>
      <c r="G781" s="24" t="s">
        <v>2554</v>
      </c>
      <c r="H781" s="24" t="s">
        <v>5357</v>
      </c>
      <c r="I781" s="24" t="s">
        <v>5358</v>
      </c>
      <c r="J781" s="24">
        <f>SE(I781="","-",SE(DATA.VALOR(I781)&lt;HOJE(),"VENCIDO",SE(DATA.VALOR(I781)-HOJE()&lt;=30,"CRÍTICO (&lt;=30D)","REGULAR")))</f>
      </c>
      <c r="K781" s="25" t="s">
        <v>5377</v>
      </c>
      <c r="L781" s="25" t="s">
        <v>5378</v>
      </c>
      <c r="M781" s="25" t="s">
        <v>5379</v>
      </c>
      <c r="N781" s="25" t="s">
        <v>5380</v>
      </c>
    </row>
    <row r="782" ht="20" customHeight="1" spans="1:14" x14ac:dyDescent="0.25">
      <c r="A782" s="21" t="s">
        <v>5384</v>
      </c>
      <c r="B782" s="21" t="s">
        <v>1784</v>
      </c>
      <c r="C782" s="22" t="s">
        <v>4327</v>
      </c>
      <c r="D782" s="30">
        <v>33</v>
      </c>
      <c r="E782" s="31">
        <v>180.18</v>
      </c>
      <c r="F782" s="22" t="s">
        <v>4730</v>
      </c>
      <c r="G782" s="21" t="s">
        <v>2554</v>
      </c>
      <c r="H782" s="21" t="s">
        <v>5357</v>
      </c>
      <c r="I782" s="21" t="s">
        <v>1996</v>
      </c>
      <c r="J782" s="21">
        <f>SE(I782="","-",SE(DATA.VALOR(I782)&lt;HOJE(),"VENCIDO",SE(DATA.VALOR(I782)-HOJE()&lt;=30,"CRÍTICO (&lt;=30D)","REGULAR")))</f>
      </c>
      <c r="K782" s="22" t="s">
        <v>5377</v>
      </c>
      <c r="L782" s="22" t="s">
        <v>5378</v>
      </c>
      <c r="M782" s="22" t="s">
        <v>5379</v>
      </c>
      <c r="N782" s="22" t="s">
        <v>5380</v>
      </c>
    </row>
    <row r="783" ht="20" customHeight="1" spans="1:14" s="23" customFormat="1" x14ac:dyDescent="0.25">
      <c r="A783" s="24" t="s">
        <v>5385</v>
      </c>
      <c r="B783" s="24" t="s">
        <v>1784</v>
      </c>
      <c r="C783" s="25" t="s">
        <v>4362</v>
      </c>
      <c r="D783" s="32">
        <v>218</v>
      </c>
      <c r="E783" s="33">
        <v>1308</v>
      </c>
      <c r="F783" s="25" t="s">
        <v>4730</v>
      </c>
      <c r="G783" s="24" t="s">
        <v>2554</v>
      </c>
      <c r="H783" s="24" t="s">
        <v>2996</v>
      </c>
      <c r="I783" s="24" t="s">
        <v>5358</v>
      </c>
      <c r="J783" s="24">
        <f>SE(I783="","-",SE(DATA.VALOR(I783)&lt;HOJE(),"VENCIDO",SE(DATA.VALOR(I783)-HOJE()&lt;=30,"CRÍTICO (&lt;=30D)","REGULAR")))</f>
      </c>
      <c r="K783" s="25" t="s">
        <v>5377</v>
      </c>
      <c r="L783" s="25" t="s">
        <v>5378</v>
      </c>
      <c r="M783" s="25" t="s">
        <v>5379</v>
      </c>
      <c r="N783" s="25" t="s">
        <v>5380</v>
      </c>
    </row>
    <row r="784" ht="20" customHeight="1" spans="1:14" x14ac:dyDescent="0.25">
      <c r="A784" s="21" t="s">
        <v>5386</v>
      </c>
      <c r="B784" s="21" t="s">
        <v>1784</v>
      </c>
      <c r="C784" s="22" t="s">
        <v>4274</v>
      </c>
      <c r="D784" s="30">
        <v>125</v>
      </c>
      <c r="E784" s="31">
        <v>525</v>
      </c>
      <c r="F784" s="22" t="s">
        <v>4730</v>
      </c>
      <c r="G784" s="21" t="s">
        <v>2554</v>
      </c>
      <c r="H784" s="21" t="s">
        <v>5357</v>
      </c>
      <c r="I784" s="21" t="s">
        <v>1996</v>
      </c>
      <c r="J784" s="21">
        <f>SE(I784="","-",SE(DATA.VALOR(I784)&lt;HOJE(),"VENCIDO",SE(DATA.VALOR(I784)-HOJE()&lt;=30,"CRÍTICO (&lt;=30D)","REGULAR")))</f>
      </c>
      <c r="K784" s="22" t="s">
        <v>5377</v>
      </c>
      <c r="L784" s="22" t="s">
        <v>5378</v>
      </c>
      <c r="M784" s="22" t="s">
        <v>5379</v>
      </c>
      <c r="N784" s="22" t="s">
        <v>5380</v>
      </c>
    </row>
    <row r="785" ht="20" customHeight="1" spans="1:14" s="23" customFormat="1" x14ac:dyDescent="0.25">
      <c r="A785" s="24" t="s">
        <v>5387</v>
      </c>
      <c r="B785" s="24" t="s">
        <v>1784</v>
      </c>
      <c r="C785" s="25" t="s">
        <v>4338</v>
      </c>
      <c r="D785" s="32">
        <v>75</v>
      </c>
      <c r="E785" s="33">
        <v>337.5</v>
      </c>
      <c r="F785" s="25" t="s">
        <v>4730</v>
      </c>
      <c r="G785" s="24" t="s">
        <v>2554</v>
      </c>
      <c r="H785" s="24" t="s">
        <v>5357</v>
      </c>
      <c r="I785" s="24" t="s">
        <v>5358</v>
      </c>
      <c r="J785" s="24">
        <f>SE(I785="","-",SE(DATA.VALOR(I785)&lt;HOJE(),"VENCIDO",SE(DATA.VALOR(I785)-HOJE()&lt;=30,"CRÍTICO (&lt;=30D)","REGULAR")))</f>
      </c>
      <c r="K785" s="25" t="s">
        <v>5377</v>
      </c>
      <c r="L785" s="25" t="s">
        <v>5378</v>
      </c>
      <c r="M785" s="25" t="s">
        <v>5379</v>
      </c>
      <c r="N785" s="25" t="s">
        <v>5380</v>
      </c>
    </row>
    <row r="786" ht="20" customHeight="1" spans="1:14" x14ac:dyDescent="0.25">
      <c r="A786" s="21" t="s">
        <v>5388</v>
      </c>
      <c r="B786" s="21" t="s">
        <v>1784</v>
      </c>
      <c r="C786" s="22" t="s">
        <v>4369</v>
      </c>
      <c r="D786" s="30">
        <v>156</v>
      </c>
      <c r="E786" s="31">
        <v>483.6</v>
      </c>
      <c r="F786" s="22" t="s">
        <v>4730</v>
      </c>
      <c r="G786" s="21" t="s">
        <v>2554</v>
      </c>
      <c r="H786" s="21" t="s">
        <v>5357</v>
      </c>
      <c r="I786" s="21" t="s">
        <v>5358</v>
      </c>
      <c r="J786" s="21">
        <f>SE(I786="","-",SE(DATA.VALOR(I786)&lt;HOJE(),"VENCIDO",SE(DATA.VALOR(I786)-HOJE()&lt;=30,"CRÍTICO (&lt;=30D)","REGULAR")))</f>
      </c>
      <c r="K786" s="22" t="s">
        <v>5377</v>
      </c>
      <c r="L786" s="22" t="s">
        <v>5378</v>
      </c>
      <c r="M786" s="22" t="s">
        <v>5379</v>
      </c>
      <c r="N786" s="22" t="s">
        <v>5380</v>
      </c>
    </row>
    <row r="787" ht="20" customHeight="1" spans="1:14" s="23" customFormat="1" x14ac:dyDescent="0.25">
      <c r="A787" s="24" t="s">
        <v>5389</v>
      </c>
      <c r="B787" s="24" t="s">
        <v>1784</v>
      </c>
      <c r="C787" s="25" t="s">
        <v>4318</v>
      </c>
      <c r="D787" s="32">
        <v>162</v>
      </c>
      <c r="E787" s="33">
        <v>680.4</v>
      </c>
      <c r="F787" s="25" t="s">
        <v>4730</v>
      </c>
      <c r="G787" s="24" t="s">
        <v>2554</v>
      </c>
      <c r="H787" s="24" t="s">
        <v>5357</v>
      </c>
      <c r="I787" s="24" t="s">
        <v>1996</v>
      </c>
      <c r="J787" s="24">
        <f>SE(I787="","-",SE(DATA.VALOR(I787)&lt;HOJE(),"VENCIDO",SE(DATA.VALOR(I787)-HOJE()&lt;=30,"CRÍTICO (&lt;=30D)","REGULAR")))</f>
      </c>
      <c r="K787" s="25" t="s">
        <v>5377</v>
      </c>
      <c r="L787" s="25" t="s">
        <v>5378</v>
      </c>
      <c r="M787" s="25" t="s">
        <v>5379</v>
      </c>
      <c r="N787" s="25" t="s">
        <v>5380</v>
      </c>
    </row>
    <row r="788" ht="20" customHeight="1" spans="1:14" x14ac:dyDescent="0.25">
      <c r="A788" s="21" t="s">
        <v>5390</v>
      </c>
      <c r="B788" s="21" t="s">
        <v>1784</v>
      </c>
      <c r="C788" s="22" t="s">
        <v>4179</v>
      </c>
      <c r="D788" s="30">
        <v>177</v>
      </c>
      <c r="E788" s="31">
        <v>838.98</v>
      </c>
      <c r="F788" s="22" t="s">
        <v>4730</v>
      </c>
      <c r="G788" s="21" t="s">
        <v>2554</v>
      </c>
      <c r="H788" s="21" t="s">
        <v>5357</v>
      </c>
      <c r="I788" s="21" t="s">
        <v>1996</v>
      </c>
      <c r="J788" s="21">
        <f>SE(I788="","-",SE(DATA.VALOR(I788)&lt;HOJE(),"VENCIDO",SE(DATA.VALOR(I788)-HOJE()&lt;=30,"CRÍTICO (&lt;=30D)","REGULAR")))</f>
      </c>
      <c r="K788" s="22" t="s">
        <v>5377</v>
      </c>
      <c r="L788" s="22" t="s">
        <v>5378</v>
      </c>
      <c r="M788" s="22" t="s">
        <v>5379</v>
      </c>
      <c r="N788" s="22" t="s">
        <v>5380</v>
      </c>
    </row>
    <row r="789" ht="20" customHeight="1" spans="1:14" s="23" customFormat="1" x14ac:dyDescent="0.25">
      <c r="A789" s="24" t="s">
        <v>5391</v>
      </c>
      <c r="B789" s="24" t="s">
        <v>1784</v>
      </c>
      <c r="C789" s="25" t="s">
        <v>4305</v>
      </c>
      <c r="D789" s="32">
        <v>112</v>
      </c>
      <c r="E789" s="33">
        <v>380.8</v>
      </c>
      <c r="F789" s="25" t="s">
        <v>4730</v>
      </c>
      <c r="G789" s="24" t="s">
        <v>2554</v>
      </c>
      <c r="H789" s="24" t="s">
        <v>5357</v>
      </c>
      <c r="I789" s="24" t="s">
        <v>1996</v>
      </c>
      <c r="J789" s="24">
        <f>SE(I789="","-",SE(DATA.VALOR(I789)&lt;HOJE(),"VENCIDO",SE(DATA.VALOR(I789)-HOJE()&lt;=30,"CRÍTICO (&lt;=30D)","REGULAR")))</f>
      </c>
      <c r="K789" s="25" t="s">
        <v>5377</v>
      </c>
      <c r="L789" s="25" t="s">
        <v>5378</v>
      </c>
      <c r="M789" s="25" t="s">
        <v>5379</v>
      </c>
      <c r="N789" s="25" t="s">
        <v>5380</v>
      </c>
    </row>
    <row r="790" ht="20" customHeight="1" spans="1:14" x14ac:dyDescent="0.25">
      <c r="A790" s="21" t="s">
        <v>5392</v>
      </c>
      <c r="B790" s="21" t="s">
        <v>1784</v>
      </c>
      <c r="C790" s="22" t="s">
        <v>2940</v>
      </c>
      <c r="D790" s="30">
        <v>56</v>
      </c>
      <c r="E790" s="31">
        <v>168</v>
      </c>
      <c r="F790" s="22" t="s">
        <v>4730</v>
      </c>
      <c r="G790" s="21" t="s">
        <v>2554</v>
      </c>
      <c r="H790" s="21" t="s">
        <v>5357</v>
      </c>
      <c r="I790" s="21" t="s">
        <v>1996</v>
      </c>
      <c r="J790" s="21">
        <f>SE(I790="","-",SE(DATA.VALOR(I790)&lt;HOJE(),"VENCIDO",SE(DATA.VALOR(I790)-HOJE()&lt;=30,"CRÍTICO (&lt;=30D)","REGULAR")))</f>
      </c>
      <c r="K790" s="22" t="s">
        <v>5377</v>
      </c>
      <c r="L790" s="22" t="s">
        <v>5378</v>
      </c>
      <c r="M790" s="22" t="s">
        <v>5379</v>
      </c>
      <c r="N790" s="22" t="s">
        <v>5380</v>
      </c>
    </row>
    <row r="791" ht="20" customHeight="1" spans="1:14" s="23" customFormat="1" x14ac:dyDescent="0.25">
      <c r="A791" s="24" t="s">
        <v>5393</v>
      </c>
      <c r="B791" s="24" t="s">
        <v>1797</v>
      </c>
      <c r="C791" s="25" t="s">
        <v>4276</v>
      </c>
      <c r="D791" s="32">
        <v>157</v>
      </c>
      <c r="E791" s="33">
        <v>628</v>
      </c>
      <c r="F791" s="25" t="s">
        <v>4374</v>
      </c>
      <c r="G791" s="24" t="s">
        <v>5394</v>
      </c>
      <c r="H791" s="24" t="s">
        <v>5395</v>
      </c>
      <c r="I791" s="24" t="s">
        <v>1813</v>
      </c>
      <c r="J791" s="24">
        <f>SE(I791="","-",SE(DATA.VALOR(I791)&lt;HOJE(),"VENCIDO",SE(DATA.VALOR(I791)-HOJE()&lt;=30,"CRÍTICO (&lt;=30D)","REGULAR")))</f>
      </c>
      <c r="K791" s="25" t="s">
        <v>5396</v>
      </c>
      <c r="L791" s="25" t="s">
        <v>5397</v>
      </c>
      <c r="M791" s="25" t="s">
        <v>5398</v>
      </c>
      <c r="N791" s="25" t="s">
        <v>5399</v>
      </c>
    </row>
    <row r="792" ht="20" customHeight="1" spans="1:14" x14ac:dyDescent="0.25">
      <c r="A792" s="21" t="s">
        <v>5400</v>
      </c>
      <c r="B792" s="21" t="s">
        <v>1797</v>
      </c>
      <c r="C792" s="22" t="s">
        <v>4274</v>
      </c>
      <c r="D792" s="30">
        <v>149</v>
      </c>
      <c r="E792" s="31">
        <v>625.8</v>
      </c>
      <c r="F792" s="22" t="s">
        <v>4374</v>
      </c>
      <c r="G792" s="21" t="s">
        <v>5394</v>
      </c>
      <c r="H792" s="21" t="s">
        <v>5395</v>
      </c>
      <c r="I792" s="21" t="s">
        <v>1813</v>
      </c>
      <c r="J792" s="21">
        <f>SE(I792="","-",SE(DATA.VALOR(I792)&lt;HOJE(),"VENCIDO",SE(DATA.VALOR(I792)-HOJE()&lt;=30,"CRÍTICO (&lt;=30D)","REGULAR")))</f>
      </c>
      <c r="K792" s="22" t="s">
        <v>5396</v>
      </c>
      <c r="L792" s="22" t="s">
        <v>5397</v>
      </c>
      <c r="M792" s="22" t="s">
        <v>5398</v>
      </c>
      <c r="N792" s="22" t="s">
        <v>5399</v>
      </c>
    </row>
    <row r="793" ht="20" customHeight="1" spans="1:14" s="23" customFormat="1" x14ac:dyDescent="0.25">
      <c r="A793" s="24" t="s">
        <v>5401</v>
      </c>
      <c r="B793" s="24" t="s">
        <v>1797</v>
      </c>
      <c r="C793" s="25" t="s">
        <v>4266</v>
      </c>
      <c r="D793" s="32">
        <v>120</v>
      </c>
      <c r="E793" s="33">
        <v>384</v>
      </c>
      <c r="F793" s="25" t="s">
        <v>4374</v>
      </c>
      <c r="G793" s="24" t="s">
        <v>5394</v>
      </c>
      <c r="H793" s="24" t="s">
        <v>5395</v>
      </c>
      <c r="I793" s="24" t="s">
        <v>1839</v>
      </c>
      <c r="J793" s="24">
        <f>SE(I793="","-",SE(DATA.VALOR(I793)&lt;HOJE(),"VENCIDO",SE(DATA.VALOR(I793)-HOJE()&lt;=30,"CRÍTICO (&lt;=30D)","REGULAR")))</f>
      </c>
      <c r="K793" s="25" t="s">
        <v>5396</v>
      </c>
      <c r="L793" s="25" t="s">
        <v>5397</v>
      </c>
      <c r="M793" s="25" t="s">
        <v>5398</v>
      </c>
      <c r="N793" s="25" t="s">
        <v>5399</v>
      </c>
    </row>
    <row r="794" ht="20" customHeight="1" spans="1:14" x14ac:dyDescent="0.25">
      <c r="A794" s="21" t="s">
        <v>5402</v>
      </c>
      <c r="B794" s="21" t="s">
        <v>1797</v>
      </c>
      <c r="C794" s="22" t="s">
        <v>4318</v>
      </c>
      <c r="D794" s="30">
        <v>168</v>
      </c>
      <c r="E794" s="31">
        <v>705.6</v>
      </c>
      <c r="F794" s="22" t="s">
        <v>4374</v>
      </c>
      <c r="G794" s="21" t="s">
        <v>5394</v>
      </c>
      <c r="H794" s="21" t="s">
        <v>5395</v>
      </c>
      <c r="I794" s="21" t="s">
        <v>1813</v>
      </c>
      <c r="J794" s="21">
        <f>SE(I794="","-",SE(DATA.VALOR(I794)&lt;HOJE(),"VENCIDO",SE(DATA.VALOR(I794)-HOJE()&lt;=30,"CRÍTICO (&lt;=30D)","REGULAR")))</f>
      </c>
      <c r="K794" s="22" t="s">
        <v>5396</v>
      </c>
      <c r="L794" s="22" t="s">
        <v>5397</v>
      </c>
      <c r="M794" s="22" t="s">
        <v>5398</v>
      </c>
      <c r="N794" s="22" t="s">
        <v>5399</v>
      </c>
    </row>
    <row r="795" ht="20" customHeight="1" spans="1:14" s="23" customFormat="1" x14ac:dyDescent="0.25">
      <c r="A795" s="24" t="s">
        <v>5403</v>
      </c>
      <c r="B795" s="24" t="s">
        <v>1797</v>
      </c>
      <c r="C795" s="25" t="s">
        <v>4179</v>
      </c>
      <c r="D795" s="32">
        <v>169</v>
      </c>
      <c r="E795" s="33">
        <v>801.06</v>
      </c>
      <c r="F795" s="25" t="s">
        <v>4374</v>
      </c>
      <c r="G795" s="24" t="s">
        <v>5394</v>
      </c>
      <c r="H795" s="24" t="s">
        <v>5395</v>
      </c>
      <c r="I795" s="24" t="s">
        <v>1813</v>
      </c>
      <c r="J795" s="24">
        <f>SE(I795="","-",SE(DATA.VALOR(I795)&lt;HOJE(),"VENCIDO",SE(DATA.VALOR(I795)-HOJE()&lt;=30,"CRÍTICO (&lt;=30D)","REGULAR")))</f>
      </c>
      <c r="K795" s="25" t="s">
        <v>5396</v>
      </c>
      <c r="L795" s="25" t="s">
        <v>5397</v>
      </c>
      <c r="M795" s="25" t="s">
        <v>5398</v>
      </c>
      <c r="N795" s="25" t="s">
        <v>5399</v>
      </c>
    </row>
    <row r="796" ht="20" customHeight="1" spans="1:14" x14ac:dyDescent="0.25">
      <c r="A796" s="21" t="s">
        <v>5404</v>
      </c>
      <c r="B796" s="21" t="s">
        <v>1797</v>
      </c>
      <c r="C796" s="22" t="s">
        <v>2940</v>
      </c>
      <c r="D796" s="30">
        <v>67</v>
      </c>
      <c r="E796" s="31">
        <v>201</v>
      </c>
      <c r="F796" s="22" t="s">
        <v>4374</v>
      </c>
      <c r="G796" s="21" t="s">
        <v>5394</v>
      </c>
      <c r="H796" s="21" t="s">
        <v>5395</v>
      </c>
      <c r="I796" s="21" t="s">
        <v>1813</v>
      </c>
      <c r="J796" s="21">
        <f>SE(I796="","-",SE(DATA.VALOR(I796)&lt;HOJE(),"VENCIDO",SE(DATA.VALOR(I796)-HOJE()&lt;=30,"CRÍTICO (&lt;=30D)","REGULAR")))</f>
      </c>
      <c r="K796" s="22" t="s">
        <v>5396</v>
      </c>
      <c r="L796" s="22" t="s">
        <v>5397</v>
      </c>
      <c r="M796" s="22" t="s">
        <v>5398</v>
      </c>
      <c r="N796" s="22" t="s">
        <v>5399</v>
      </c>
    </row>
    <row r="797" ht="20" customHeight="1" spans="1:14" s="23" customFormat="1" x14ac:dyDescent="0.25">
      <c r="A797" s="24" t="s">
        <v>5405</v>
      </c>
      <c r="B797" s="24" t="s">
        <v>1799</v>
      </c>
      <c r="C797" s="25" t="s">
        <v>4276</v>
      </c>
      <c r="D797" s="32">
        <v>152</v>
      </c>
      <c r="E797" s="33">
        <v>608</v>
      </c>
      <c r="F797" s="25" t="s">
        <v>4298</v>
      </c>
      <c r="G797" s="24" t="s">
        <v>5406</v>
      </c>
      <c r="H797" s="24" t="s">
        <v>5395</v>
      </c>
      <c r="I797" s="24" t="s">
        <v>1813</v>
      </c>
      <c r="J797" s="24">
        <f>SE(I797="","-",SE(DATA.VALOR(I797)&lt;HOJE(),"VENCIDO",SE(DATA.VALOR(I797)-HOJE()&lt;=30,"CRÍTICO (&lt;=30D)","REGULAR")))</f>
      </c>
      <c r="K797" s="25" t="s">
        <v>5407</v>
      </c>
      <c r="L797" s="25" t="s">
        <v>5408</v>
      </c>
      <c r="M797" s="25" t="s">
        <v>5409</v>
      </c>
      <c r="N797" s="25" t="s">
        <v>5410</v>
      </c>
    </row>
    <row r="798" ht="20" customHeight="1" spans="1:14" x14ac:dyDescent="0.25">
      <c r="A798" s="21" t="s">
        <v>5411</v>
      </c>
      <c r="B798" s="21" t="s">
        <v>1799</v>
      </c>
      <c r="C798" s="22" t="s">
        <v>4322</v>
      </c>
      <c r="D798" s="30">
        <v>166</v>
      </c>
      <c r="E798" s="31">
        <v>647.4</v>
      </c>
      <c r="F798" s="22" t="s">
        <v>4298</v>
      </c>
      <c r="G798" s="21" t="s">
        <v>5406</v>
      </c>
      <c r="H798" s="21" t="s">
        <v>5395</v>
      </c>
      <c r="I798" s="21" t="s">
        <v>1813</v>
      </c>
      <c r="J798" s="21">
        <f>SE(I798="","-",SE(DATA.VALOR(I798)&lt;HOJE(),"VENCIDO",SE(DATA.VALOR(I798)-HOJE()&lt;=30,"CRÍTICO (&lt;=30D)","REGULAR")))</f>
      </c>
      <c r="K798" s="22" t="s">
        <v>5407</v>
      </c>
      <c r="L798" s="22" t="s">
        <v>5408</v>
      </c>
      <c r="M798" s="22" t="s">
        <v>5409</v>
      </c>
      <c r="N798" s="22" t="s">
        <v>5410</v>
      </c>
    </row>
    <row r="799" ht="20" customHeight="1" spans="1:14" s="23" customFormat="1" x14ac:dyDescent="0.25">
      <c r="A799" s="24" t="s">
        <v>5412</v>
      </c>
      <c r="B799" s="24" t="s">
        <v>1799</v>
      </c>
      <c r="C799" s="25" t="s">
        <v>2855</v>
      </c>
      <c r="D799" s="32">
        <v>21</v>
      </c>
      <c r="E799" s="33">
        <v>92.4</v>
      </c>
      <c r="F799" s="25" t="s">
        <v>4298</v>
      </c>
      <c r="G799" s="24" t="s">
        <v>5406</v>
      </c>
      <c r="H799" s="24" t="s">
        <v>5395</v>
      </c>
      <c r="I799" s="24" t="s">
        <v>1813</v>
      </c>
      <c r="J799" s="24">
        <f>SE(I799="","-",SE(DATA.VALOR(I799)&lt;HOJE(),"VENCIDO",SE(DATA.VALOR(I799)-HOJE()&lt;=30,"CRÍTICO (&lt;=30D)","REGULAR")))</f>
      </c>
      <c r="K799" s="25" t="s">
        <v>5407</v>
      </c>
      <c r="L799" s="25" t="s">
        <v>5408</v>
      </c>
      <c r="M799" s="25" t="s">
        <v>5409</v>
      </c>
      <c r="N799" s="25" t="s">
        <v>5410</v>
      </c>
    </row>
    <row r="800" ht="20" customHeight="1" spans="1:14" x14ac:dyDescent="0.25">
      <c r="A800" s="21" t="s">
        <v>5413</v>
      </c>
      <c r="B800" s="21" t="s">
        <v>1799</v>
      </c>
      <c r="C800" s="22" t="s">
        <v>3883</v>
      </c>
      <c r="D800" s="30">
        <v>90</v>
      </c>
      <c r="E800" s="31">
        <v>540</v>
      </c>
      <c r="F800" s="22" t="s">
        <v>4298</v>
      </c>
      <c r="G800" s="21" t="s">
        <v>5406</v>
      </c>
      <c r="H800" s="21" t="s">
        <v>5395</v>
      </c>
      <c r="I800" s="21" t="s">
        <v>1813</v>
      </c>
      <c r="J800" s="21">
        <f>SE(I800="","-",SE(DATA.VALOR(I800)&lt;HOJE(),"VENCIDO",SE(DATA.VALOR(I800)-HOJE()&lt;=30,"CRÍTICO (&lt;=30D)","REGULAR")))</f>
      </c>
      <c r="K800" s="22" t="s">
        <v>5407</v>
      </c>
      <c r="L800" s="22" t="s">
        <v>5408</v>
      </c>
      <c r="M800" s="22" t="s">
        <v>5409</v>
      </c>
      <c r="N800" s="22" t="s">
        <v>5410</v>
      </c>
    </row>
    <row r="801" ht="20" customHeight="1" spans="1:14" s="23" customFormat="1" x14ac:dyDescent="0.25">
      <c r="A801" s="24" t="s">
        <v>5414</v>
      </c>
      <c r="B801" s="24" t="s">
        <v>1799</v>
      </c>
      <c r="C801" s="25" t="s">
        <v>4327</v>
      </c>
      <c r="D801" s="32">
        <v>33</v>
      </c>
      <c r="E801" s="33">
        <v>180.18</v>
      </c>
      <c r="F801" s="25" t="s">
        <v>4298</v>
      </c>
      <c r="G801" s="24" t="s">
        <v>5406</v>
      </c>
      <c r="H801" s="24" t="s">
        <v>5395</v>
      </c>
      <c r="I801" s="24" t="s">
        <v>1813</v>
      </c>
      <c r="J801" s="24">
        <f>SE(I801="","-",SE(DATA.VALOR(I801)&lt;HOJE(),"VENCIDO",SE(DATA.VALOR(I801)-HOJE()&lt;=30,"CRÍTICO (&lt;=30D)","REGULAR")))</f>
      </c>
      <c r="K801" s="25" t="s">
        <v>5407</v>
      </c>
      <c r="L801" s="25" t="s">
        <v>5408</v>
      </c>
      <c r="M801" s="25" t="s">
        <v>5409</v>
      </c>
      <c r="N801" s="25" t="s">
        <v>5410</v>
      </c>
    </row>
    <row r="802" ht="20" customHeight="1" spans="1:14" x14ac:dyDescent="0.25">
      <c r="A802" s="21" t="s">
        <v>5415</v>
      </c>
      <c r="B802" s="21" t="s">
        <v>1799</v>
      </c>
      <c r="C802" s="22" t="s">
        <v>4362</v>
      </c>
      <c r="D802" s="30">
        <v>218</v>
      </c>
      <c r="E802" s="31">
        <v>1308</v>
      </c>
      <c r="F802" s="22" t="s">
        <v>4298</v>
      </c>
      <c r="G802" s="21" t="s">
        <v>5406</v>
      </c>
      <c r="H802" s="21" t="s">
        <v>5395</v>
      </c>
      <c r="I802" s="21" t="s">
        <v>1813</v>
      </c>
      <c r="J802" s="21">
        <f>SE(I802="","-",SE(DATA.VALOR(I802)&lt;HOJE(),"VENCIDO",SE(DATA.VALOR(I802)-HOJE()&lt;=30,"CRÍTICO (&lt;=30D)","REGULAR")))</f>
      </c>
      <c r="K802" s="22" t="s">
        <v>5407</v>
      </c>
      <c r="L802" s="22" t="s">
        <v>5408</v>
      </c>
      <c r="M802" s="22" t="s">
        <v>5409</v>
      </c>
      <c r="N802" s="22" t="s">
        <v>5410</v>
      </c>
    </row>
    <row r="803" ht="20" customHeight="1" spans="1:14" s="23" customFormat="1" x14ac:dyDescent="0.25">
      <c r="A803" s="24" t="s">
        <v>5416</v>
      </c>
      <c r="B803" s="24" t="s">
        <v>1799</v>
      </c>
      <c r="C803" s="25" t="s">
        <v>4274</v>
      </c>
      <c r="D803" s="32">
        <v>125</v>
      </c>
      <c r="E803" s="33">
        <v>525</v>
      </c>
      <c r="F803" s="25" t="s">
        <v>4298</v>
      </c>
      <c r="G803" s="24" t="s">
        <v>5406</v>
      </c>
      <c r="H803" s="24" t="s">
        <v>5395</v>
      </c>
      <c r="I803" s="24" t="s">
        <v>1813</v>
      </c>
      <c r="J803" s="24">
        <f>SE(I803="","-",SE(DATA.VALOR(I803)&lt;HOJE(),"VENCIDO",SE(DATA.VALOR(I803)-HOJE()&lt;=30,"CRÍTICO (&lt;=30D)","REGULAR")))</f>
      </c>
      <c r="K803" s="25" t="s">
        <v>5407</v>
      </c>
      <c r="L803" s="25" t="s">
        <v>5408</v>
      </c>
      <c r="M803" s="25" t="s">
        <v>5409</v>
      </c>
      <c r="N803" s="25" t="s">
        <v>5410</v>
      </c>
    </row>
    <row r="804" ht="20" customHeight="1" spans="1:14" x14ac:dyDescent="0.25">
      <c r="A804" s="21" t="s">
        <v>5417</v>
      </c>
      <c r="B804" s="21" t="s">
        <v>1799</v>
      </c>
      <c r="C804" s="22" t="s">
        <v>4338</v>
      </c>
      <c r="D804" s="30">
        <v>75</v>
      </c>
      <c r="E804" s="31">
        <v>337.5</v>
      </c>
      <c r="F804" s="22" t="s">
        <v>4298</v>
      </c>
      <c r="G804" s="21" t="s">
        <v>5406</v>
      </c>
      <c r="H804" s="21" t="s">
        <v>5395</v>
      </c>
      <c r="I804" s="21" t="s">
        <v>1813</v>
      </c>
      <c r="J804" s="21">
        <f>SE(I804="","-",SE(DATA.VALOR(I804)&lt;HOJE(),"VENCIDO",SE(DATA.VALOR(I804)-HOJE()&lt;=30,"CRÍTICO (&lt;=30D)","REGULAR")))</f>
      </c>
      <c r="K804" s="22" t="s">
        <v>5407</v>
      </c>
      <c r="L804" s="22" t="s">
        <v>5408</v>
      </c>
      <c r="M804" s="22" t="s">
        <v>5409</v>
      </c>
      <c r="N804" s="22" t="s">
        <v>5410</v>
      </c>
    </row>
    <row r="805" ht="20" customHeight="1" spans="1:14" s="23" customFormat="1" x14ac:dyDescent="0.25">
      <c r="A805" s="24" t="s">
        <v>5418</v>
      </c>
      <c r="B805" s="24" t="s">
        <v>1799</v>
      </c>
      <c r="C805" s="25" t="s">
        <v>4369</v>
      </c>
      <c r="D805" s="32">
        <v>156</v>
      </c>
      <c r="E805" s="33">
        <v>483.6</v>
      </c>
      <c r="F805" s="25" t="s">
        <v>4298</v>
      </c>
      <c r="G805" s="24" t="s">
        <v>5406</v>
      </c>
      <c r="H805" s="24" t="s">
        <v>5395</v>
      </c>
      <c r="I805" s="24" t="s">
        <v>1813</v>
      </c>
      <c r="J805" s="24">
        <f>SE(I805="","-",SE(DATA.VALOR(I805)&lt;HOJE(),"VENCIDO",SE(DATA.VALOR(I805)-HOJE()&lt;=30,"CRÍTICO (&lt;=30D)","REGULAR")))</f>
      </c>
      <c r="K805" s="25" t="s">
        <v>5407</v>
      </c>
      <c r="L805" s="25" t="s">
        <v>5408</v>
      </c>
      <c r="M805" s="25" t="s">
        <v>5409</v>
      </c>
      <c r="N805" s="25" t="s">
        <v>5410</v>
      </c>
    </row>
    <row r="806" ht="20" customHeight="1" spans="1:14" x14ac:dyDescent="0.25">
      <c r="A806" s="21" t="s">
        <v>5419</v>
      </c>
      <c r="B806" s="21" t="s">
        <v>1799</v>
      </c>
      <c r="C806" s="22" t="s">
        <v>4318</v>
      </c>
      <c r="D806" s="30">
        <v>162</v>
      </c>
      <c r="E806" s="31">
        <v>680.4</v>
      </c>
      <c r="F806" s="22" t="s">
        <v>4298</v>
      </c>
      <c r="G806" s="21" t="s">
        <v>5406</v>
      </c>
      <c r="H806" s="21" t="s">
        <v>5395</v>
      </c>
      <c r="I806" s="21" t="s">
        <v>1813</v>
      </c>
      <c r="J806" s="21">
        <f>SE(I806="","-",SE(DATA.VALOR(I806)&lt;HOJE(),"VENCIDO",SE(DATA.VALOR(I806)-HOJE()&lt;=30,"CRÍTICO (&lt;=30D)","REGULAR")))</f>
      </c>
      <c r="K806" s="22" t="s">
        <v>5407</v>
      </c>
      <c r="L806" s="22" t="s">
        <v>5408</v>
      </c>
      <c r="M806" s="22" t="s">
        <v>5409</v>
      </c>
      <c r="N806" s="22" t="s">
        <v>5410</v>
      </c>
    </row>
    <row r="807" ht="20" customHeight="1" spans="1:14" s="23" customFormat="1" x14ac:dyDescent="0.25">
      <c r="A807" s="24" t="s">
        <v>5420</v>
      </c>
      <c r="B807" s="24" t="s">
        <v>1799</v>
      </c>
      <c r="C807" s="25" t="s">
        <v>4179</v>
      </c>
      <c r="D807" s="32">
        <v>177</v>
      </c>
      <c r="E807" s="33">
        <v>838.98</v>
      </c>
      <c r="F807" s="25" t="s">
        <v>4298</v>
      </c>
      <c r="G807" s="24" t="s">
        <v>5406</v>
      </c>
      <c r="H807" s="24" t="s">
        <v>5395</v>
      </c>
      <c r="I807" s="24" t="s">
        <v>1813</v>
      </c>
      <c r="J807" s="24">
        <f>SE(I807="","-",SE(DATA.VALOR(I807)&lt;HOJE(),"VENCIDO",SE(DATA.VALOR(I807)-HOJE()&lt;=30,"CRÍTICO (&lt;=30D)","REGULAR")))</f>
      </c>
      <c r="K807" s="25" t="s">
        <v>5407</v>
      </c>
      <c r="L807" s="25" t="s">
        <v>5408</v>
      </c>
      <c r="M807" s="25" t="s">
        <v>5409</v>
      </c>
      <c r="N807" s="25" t="s">
        <v>5410</v>
      </c>
    </row>
    <row r="808" ht="20" customHeight="1" spans="1:14" x14ac:dyDescent="0.25">
      <c r="A808" s="21" t="s">
        <v>5421</v>
      </c>
      <c r="B808" s="21" t="s">
        <v>1799</v>
      </c>
      <c r="C808" s="22" t="s">
        <v>4305</v>
      </c>
      <c r="D808" s="30">
        <v>93</v>
      </c>
      <c r="E808" s="31">
        <v>316.2</v>
      </c>
      <c r="F808" s="22" t="s">
        <v>4298</v>
      </c>
      <c r="G808" s="21" t="s">
        <v>5406</v>
      </c>
      <c r="H808" s="21" t="s">
        <v>5395</v>
      </c>
      <c r="I808" s="21" t="s">
        <v>1813</v>
      </c>
      <c r="J808" s="21">
        <f>SE(I808="","-",SE(DATA.VALOR(I808)&lt;HOJE(),"VENCIDO",SE(DATA.VALOR(I808)-HOJE()&lt;=30,"CRÍTICO (&lt;=30D)","REGULAR")))</f>
      </c>
      <c r="K808" s="22" t="s">
        <v>5407</v>
      </c>
      <c r="L808" s="22" t="s">
        <v>5408</v>
      </c>
      <c r="M808" s="22" t="s">
        <v>5409</v>
      </c>
      <c r="N808" s="22" t="s">
        <v>5410</v>
      </c>
    </row>
    <row r="809" ht="20" customHeight="1" spans="1:14" s="23" customFormat="1" x14ac:dyDescent="0.25">
      <c r="A809" s="24" t="s">
        <v>5422</v>
      </c>
      <c r="B809" s="24" t="s">
        <v>1799</v>
      </c>
      <c r="C809" s="25" t="s">
        <v>2940</v>
      </c>
      <c r="D809" s="32">
        <v>60</v>
      </c>
      <c r="E809" s="33">
        <v>180</v>
      </c>
      <c r="F809" s="25" t="s">
        <v>4298</v>
      </c>
      <c r="G809" s="24" t="s">
        <v>5406</v>
      </c>
      <c r="H809" s="24" t="s">
        <v>5395</v>
      </c>
      <c r="I809" s="24" t="s">
        <v>1813</v>
      </c>
      <c r="J809" s="24">
        <f>SE(I809="","-",SE(DATA.VALOR(I809)&lt;HOJE(),"VENCIDO",SE(DATA.VALOR(I809)-HOJE()&lt;=30,"CRÍTICO (&lt;=30D)","REGULAR")))</f>
      </c>
      <c r="K809" s="25" t="s">
        <v>5407</v>
      </c>
      <c r="L809" s="25" t="s">
        <v>5408</v>
      </c>
      <c r="M809" s="25" t="s">
        <v>5409</v>
      </c>
      <c r="N809" s="25" t="s">
        <v>5410</v>
      </c>
    </row>
    <row r="810" ht="20" customHeight="1" spans="1:14" x14ac:dyDescent="0.25">
      <c r="A810" s="21" t="s">
        <v>5423</v>
      </c>
      <c r="B810" s="21" t="s">
        <v>1708</v>
      </c>
      <c r="C810" s="22" t="s">
        <v>4585</v>
      </c>
      <c r="D810" s="30">
        <v>300</v>
      </c>
      <c r="E810" s="31">
        <v>3000</v>
      </c>
      <c r="F810" s="22" t="s">
        <v>4586</v>
      </c>
      <c r="G810" s="21" t="s">
        <v>5424</v>
      </c>
      <c r="H810" s="21" t="s">
        <v>5425</v>
      </c>
      <c r="I810" s="21" t="s">
        <v>5426</v>
      </c>
      <c r="J810" s="21">
        <f>SE(I810="","-",SE(DATA.VALOR(I810)&lt;HOJE(),"VENCIDO",SE(DATA.VALOR(I810)-HOJE()&lt;=30,"CRÍTICO (&lt;=30D)","REGULAR")))</f>
      </c>
      <c r="K810" s="22" t="s">
        <v>5427</v>
      </c>
      <c r="L810" s="22" t="s">
        <v>4591</v>
      </c>
      <c r="M810" s="22" t="s">
        <v>5428</v>
      </c>
      <c r="N810" s="22" t="s">
        <v>5429</v>
      </c>
    </row>
    <row r="811" ht="20" customHeight="1" spans="1:14" s="23" customFormat="1" x14ac:dyDescent="0.25">
      <c r="A811" s="24" t="s">
        <v>5430</v>
      </c>
      <c r="B811" s="24" t="s">
        <v>1799</v>
      </c>
      <c r="C811" s="25" t="s">
        <v>4276</v>
      </c>
      <c r="D811" s="32">
        <v>152</v>
      </c>
      <c r="E811" s="33">
        <v>608</v>
      </c>
      <c r="F811" s="25" t="s">
        <v>2734</v>
      </c>
      <c r="G811" s="24" t="s">
        <v>3804</v>
      </c>
      <c r="H811" s="24" t="s">
        <v>5431</v>
      </c>
      <c r="I811" s="24" t="s">
        <v>1817</v>
      </c>
      <c r="J811" s="24">
        <f>SE(I811="","-",SE(DATA.VALOR(I811)&lt;HOJE(),"VENCIDO",SE(DATA.VALOR(I811)-HOJE()&lt;=30,"CRÍTICO (&lt;=30D)","REGULAR")))</f>
      </c>
      <c r="K811" s="25" t="s">
        <v>5432</v>
      </c>
      <c r="L811" s="25" t="s">
        <v>5433</v>
      </c>
      <c r="M811" s="25" t="s">
        <v>5434</v>
      </c>
      <c r="N811" s="25" t="s">
        <v>5435</v>
      </c>
    </row>
    <row r="812" ht="20" customHeight="1" spans="1:14" x14ac:dyDescent="0.25">
      <c r="A812" s="21" t="s">
        <v>5436</v>
      </c>
      <c r="B812" s="21" t="s">
        <v>1799</v>
      </c>
      <c r="C812" s="22" t="s">
        <v>4322</v>
      </c>
      <c r="D812" s="30">
        <v>150</v>
      </c>
      <c r="E812" s="31">
        <v>585</v>
      </c>
      <c r="F812" s="22" t="s">
        <v>2734</v>
      </c>
      <c r="G812" s="21" t="s">
        <v>3804</v>
      </c>
      <c r="H812" s="21" t="s">
        <v>5431</v>
      </c>
      <c r="I812" s="21" t="s">
        <v>1817</v>
      </c>
      <c r="J812" s="21">
        <f>SE(I812="","-",SE(DATA.VALOR(I812)&lt;HOJE(),"VENCIDO",SE(DATA.VALOR(I812)-HOJE()&lt;=30,"CRÍTICO (&lt;=30D)","REGULAR")))</f>
      </c>
      <c r="K812" s="22" t="s">
        <v>5432</v>
      </c>
      <c r="L812" s="22" t="s">
        <v>5433</v>
      </c>
      <c r="M812" s="22" t="s">
        <v>5434</v>
      </c>
      <c r="N812" s="22" t="s">
        <v>5435</v>
      </c>
    </row>
    <row r="813" ht="20" customHeight="1" spans="1:14" s="23" customFormat="1" x14ac:dyDescent="0.25">
      <c r="A813" s="24" t="s">
        <v>5437</v>
      </c>
      <c r="B813" s="24" t="s">
        <v>1799</v>
      </c>
      <c r="C813" s="25" t="s">
        <v>4327</v>
      </c>
      <c r="D813" s="32">
        <v>39</v>
      </c>
      <c r="E813" s="33">
        <v>212.94</v>
      </c>
      <c r="F813" s="25" t="s">
        <v>2734</v>
      </c>
      <c r="G813" s="24" t="s">
        <v>3804</v>
      </c>
      <c r="H813" s="24" t="s">
        <v>5431</v>
      </c>
      <c r="I813" s="24" t="s">
        <v>1817</v>
      </c>
      <c r="J813" s="24">
        <f>SE(I813="","-",SE(DATA.VALOR(I813)&lt;HOJE(),"VENCIDO",SE(DATA.VALOR(I813)-HOJE()&lt;=30,"CRÍTICO (&lt;=30D)","REGULAR")))</f>
      </c>
      <c r="K813" s="25" t="s">
        <v>5432</v>
      </c>
      <c r="L813" s="25" t="s">
        <v>5433</v>
      </c>
      <c r="M813" s="25" t="s">
        <v>5434</v>
      </c>
      <c r="N813" s="25" t="s">
        <v>5435</v>
      </c>
    </row>
    <row r="814" ht="20" customHeight="1" spans="1:14" x14ac:dyDescent="0.25">
      <c r="A814" s="21" t="s">
        <v>5438</v>
      </c>
      <c r="B814" s="21" t="s">
        <v>1799</v>
      </c>
      <c r="C814" s="22" t="s">
        <v>4274</v>
      </c>
      <c r="D814" s="30">
        <v>136</v>
      </c>
      <c r="E814" s="31">
        <v>571.2</v>
      </c>
      <c r="F814" s="22" t="s">
        <v>2734</v>
      </c>
      <c r="G814" s="21" t="s">
        <v>3804</v>
      </c>
      <c r="H814" s="21" t="s">
        <v>5431</v>
      </c>
      <c r="I814" s="21" t="s">
        <v>1817</v>
      </c>
      <c r="J814" s="21">
        <f>SE(I814="","-",SE(DATA.VALOR(I814)&lt;HOJE(),"VENCIDO",SE(DATA.VALOR(I814)-HOJE()&lt;=30,"CRÍTICO (&lt;=30D)","REGULAR")))</f>
      </c>
      <c r="K814" s="22" t="s">
        <v>5432</v>
      </c>
      <c r="L814" s="22" t="s">
        <v>5433</v>
      </c>
      <c r="M814" s="22" t="s">
        <v>5434</v>
      </c>
      <c r="N814" s="22" t="s">
        <v>5435</v>
      </c>
    </row>
    <row r="815" ht="20" customHeight="1" spans="1:14" s="23" customFormat="1" x14ac:dyDescent="0.25">
      <c r="A815" s="24" t="s">
        <v>5439</v>
      </c>
      <c r="B815" s="24" t="s">
        <v>1799</v>
      </c>
      <c r="C815" s="25" t="s">
        <v>4318</v>
      </c>
      <c r="D815" s="32">
        <v>171</v>
      </c>
      <c r="E815" s="33">
        <v>718.2</v>
      </c>
      <c r="F815" s="25" t="s">
        <v>2734</v>
      </c>
      <c r="G815" s="24" t="s">
        <v>3804</v>
      </c>
      <c r="H815" s="24" t="s">
        <v>5431</v>
      </c>
      <c r="I815" s="24" t="s">
        <v>1817</v>
      </c>
      <c r="J815" s="24">
        <f>SE(I815="","-",SE(DATA.VALOR(I815)&lt;HOJE(),"VENCIDO",SE(DATA.VALOR(I815)-HOJE()&lt;=30,"CRÍTICO (&lt;=30D)","REGULAR")))</f>
      </c>
      <c r="K815" s="25" t="s">
        <v>5432</v>
      </c>
      <c r="L815" s="25" t="s">
        <v>5433</v>
      </c>
      <c r="M815" s="25" t="s">
        <v>5434</v>
      </c>
      <c r="N815" s="25" t="s">
        <v>5435</v>
      </c>
    </row>
    <row r="816" ht="20" customHeight="1" spans="1:14" x14ac:dyDescent="0.25">
      <c r="A816" s="21" t="s">
        <v>5440</v>
      </c>
      <c r="B816" s="21" t="s">
        <v>1799</v>
      </c>
      <c r="C816" s="22" t="s">
        <v>4179</v>
      </c>
      <c r="D816" s="30">
        <v>198</v>
      </c>
      <c r="E816" s="31">
        <v>938.52</v>
      </c>
      <c r="F816" s="22" t="s">
        <v>2734</v>
      </c>
      <c r="G816" s="21" t="s">
        <v>3804</v>
      </c>
      <c r="H816" s="21" t="s">
        <v>5431</v>
      </c>
      <c r="I816" s="21" t="s">
        <v>1817</v>
      </c>
      <c r="J816" s="21">
        <f>SE(I816="","-",SE(DATA.VALOR(I816)&lt;HOJE(),"VENCIDO",SE(DATA.VALOR(I816)-HOJE()&lt;=30,"CRÍTICO (&lt;=30D)","REGULAR")))</f>
      </c>
      <c r="K816" s="22" t="s">
        <v>5432</v>
      </c>
      <c r="L816" s="22" t="s">
        <v>5433</v>
      </c>
      <c r="M816" s="22" t="s">
        <v>5434</v>
      </c>
      <c r="N816" s="22" t="s">
        <v>5435</v>
      </c>
    </row>
    <row r="817" ht="20" customHeight="1" spans="1:14" s="23" customFormat="1" x14ac:dyDescent="0.25">
      <c r="A817" s="24" t="s">
        <v>5441</v>
      </c>
      <c r="B817" s="24" t="s">
        <v>1799</v>
      </c>
      <c r="C817" s="25" t="s">
        <v>4305</v>
      </c>
      <c r="D817" s="32">
        <v>92</v>
      </c>
      <c r="E817" s="33">
        <v>312.8</v>
      </c>
      <c r="F817" s="25" t="s">
        <v>2734</v>
      </c>
      <c r="G817" s="24" t="s">
        <v>3804</v>
      </c>
      <c r="H817" s="24" t="s">
        <v>5431</v>
      </c>
      <c r="I817" s="24" t="s">
        <v>1813</v>
      </c>
      <c r="J817" s="24">
        <f>SE(I817="","-",SE(DATA.VALOR(I817)&lt;HOJE(),"VENCIDO",SE(DATA.VALOR(I817)-HOJE()&lt;=30,"CRÍTICO (&lt;=30D)","REGULAR")))</f>
      </c>
      <c r="K817" s="25" t="s">
        <v>5432</v>
      </c>
      <c r="L817" s="25" t="s">
        <v>5433</v>
      </c>
      <c r="M817" s="25" t="s">
        <v>5434</v>
      </c>
      <c r="N817" s="25" t="s">
        <v>5435</v>
      </c>
    </row>
    <row r="818" ht="20" customHeight="1" spans="1:14" x14ac:dyDescent="0.25">
      <c r="A818" s="21" t="s">
        <v>5442</v>
      </c>
      <c r="B818" s="21" t="s">
        <v>1799</v>
      </c>
      <c r="C818" s="22" t="s">
        <v>2940</v>
      </c>
      <c r="D818" s="30">
        <v>61</v>
      </c>
      <c r="E818" s="31">
        <v>183</v>
      </c>
      <c r="F818" s="22" t="s">
        <v>2734</v>
      </c>
      <c r="G818" s="21" t="s">
        <v>3804</v>
      </c>
      <c r="H818" s="21" t="s">
        <v>5431</v>
      </c>
      <c r="I818" s="21" t="s">
        <v>1817</v>
      </c>
      <c r="J818" s="21">
        <f>SE(I818="","-",SE(DATA.VALOR(I818)&lt;HOJE(),"VENCIDO",SE(DATA.VALOR(I818)-HOJE()&lt;=30,"CRÍTICO (&lt;=30D)","REGULAR")))</f>
      </c>
      <c r="K818" s="22" t="s">
        <v>5432</v>
      </c>
      <c r="L818" s="22" t="s">
        <v>5433</v>
      </c>
      <c r="M818" s="22" t="s">
        <v>5434</v>
      </c>
      <c r="N818" s="22" t="s">
        <v>5435</v>
      </c>
    </row>
    <row r="819" ht="20" customHeight="1" spans="1:14" s="23" customFormat="1" x14ac:dyDescent="0.25">
      <c r="A819" s="24" t="s">
        <v>5443</v>
      </c>
      <c r="B819" s="24" t="s">
        <v>1799</v>
      </c>
      <c r="C819" s="25" t="s">
        <v>4623</v>
      </c>
      <c r="D819" s="32">
        <v>300</v>
      </c>
      <c r="E819" s="33">
        <v>3288</v>
      </c>
      <c r="F819" s="25" t="s">
        <v>4624</v>
      </c>
      <c r="G819" s="24" t="s">
        <v>5444</v>
      </c>
      <c r="H819" s="24" t="s">
        <v>5445</v>
      </c>
      <c r="I819" s="24" t="s">
        <v>5446</v>
      </c>
      <c r="J819" s="24">
        <f>SE(I819="","-",SE(DATA.VALOR(I819)&lt;HOJE(),"VENCIDO",SE(DATA.VALOR(I819)-HOJE()&lt;=30,"CRÍTICO (&lt;=30D)","REGULAR")))</f>
      </c>
      <c r="K819" s="25" t="s">
        <v>5447</v>
      </c>
      <c r="L819" s="25" t="s">
        <v>5448</v>
      </c>
      <c r="M819" s="25" t="s">
        <v>5449</v>
      </c>
      <c r="N819" s="25" t="s">
        <v>5450</v>
      </c>
    </row>
    <row r="820" ht="20" customHeight="1" spans="1:14" x14ac:dyDescent="0.25">
      <c r="A820" s="21" t="s">
        <v>5451</v>
      </c>
      <c r="B820" s="21" t="s">
        <v>3843</v>
      </c>
      <c r="C820" s="22" t="s">
        <v>5293</v>
      </c>
      <c r="D820" s="30">
        <v>20</v>
      </c>
      <c r="E820" s="31">
        <v>339</v>
      </c>
      <c r="F820" s="22" t="s">
        <v>5236</v>
      </c>
      <c r="G820" s="21" t="s">
        <v>5452</v>
      </c>
      <c r="H820" s="21" t="s">
        <v>5453</v>
      </c>
      <c r="I820" s="21" t="s">
        <v>5454</v>
      </c>
      <c r="J820" s="21">
        <f>SE(I820="","-",SE(DATA.VALOR(I820)&lt;HOJE(),"VENCIDO",SE(DATA.VALOR(I820)-HOJE()&lt;=30,"CRÍTICO (&lt;=30D)","REGULAR")))</f>
      </c>
      <c r="K820" s="22" t="s">
        <v>5455</v>
      </c>
      <c r="L820" s="22" t="s">
        <v>5456</v>
      </c>
      <c r="M820" s="22" t="s">
        <v>5457</v>
      </c>
      <c r="N820" s="22" t="s">
        <v>5458</v>
      </c>
    </row>
    <row r="821" ht="20" customHeight="1" spans="1:14" s="23" customFormat="1" x14ac:dyDescent="0.25">
      <c r="A821" s="24" t="s">
        <v>5459</v>
      </c>
      <c r="B821" s="24" t="s">
        <v>1563</v>
      </c>
      <c r="C821" s="25" t="s">
        <v>4322</v>
      </c>
      <c r="D821" s="32">
        <v>166</v>
      </c>
      <c r="E821" s="33">
        <v>647.4</v>
      </c>
      <c r="F821" s="25" t="s">
        <v>2734</v>
      </c>
      <c r="G821" s="24" t="s">
        <v>5047</v>
      </c>
      <c r="H821" s="24" t="s">
        <v>2996</v>
      </c>
      <c r="I821" s="24" t="s">
        <v>63</v>
      </c>
      <c r="J821" s="24" t="s">
        <v>20</v>
      </c>
      <c r="K821" s="25" t="s">
        <v>63</v>
      </c>
      <c r="L821" s="25" t="s">
        <v>63</v>
      </c>
      <c r="M821" s="25" t="s">
        <v>63</v>
      </c>
      <c r="N821" s="25" t="s">
        <v>5460</v>
      </c>
    </row>
    <row r="822" ht="20" customHeight="1" spans="1:14" x14ac:dyDescent="0.25">
      <c r="A822" s="21" t="s">
        <v>5461</v>
      </c>
      <c r="B822" s="21" t="s">
        <v>1563</v>
      </c>
      <c r="C822" s="22" t="s">
        <v>4274</v>
      </c>
      <c r="D822" s="30">
        <v>133</v>
      </c>
      <c r="E822" s="31">
        <v>558.6</v>
      </c>
      <c r="F822" s="22" t="s">
        <v>2734</v>
      </c>
      <c r="G822" s="21" t="s">
        <v>5047</v>
      </c>
      <c r="H822" s="21" t="s">
        <v>2996</v>
      </c>
      <c r="I822" s="21" t="s">
        <v>63</v>
      </c>
      <c r="J822" s="21" t="s">
        <v>20</v>
      </c>
      <c r="K822" s="22" t="s">
        <v>63</v>
      </c>
      <c r="L822" s="22" t="s">
        <v>63</v>
      </c>
      <c r="M822" s="22" t="s">
        <v>63</v>
      </c>
      <c r="N822" s="22" t="s">
        <v>5460</v>
      </c>
    </row>
    <row r="823" ht="20" customHeight="1" spans="1:14" s="23" customFormat="1" x14ac:dyDescent="0.25">
      <c r="A823" s="24" t="s">
        <v>5462</v>
      </c>
      <c r="B823" s="24" t="s">
        <v>1563</v>
      </c>
      <c r="C823" s="25" t="s">
        <v>4318</v>
      </c>
      <c r="D823" s="32">
        <v>159</v>
      </c>
      <c r="E823" s="33">
        <v>667.8</v>
      </c>
      <c r="F823" s="25" t="s">
        <v>2734</v>
      </c>
      <c r="G823" s="24" t="s">
        <v>5047</v>
      </c>
      <c r="H823" s="24" t="s">
        <v>2996</v>
      </c>
      <c r="I823" s="24" t="s">
        <v>63</v>
      </c>
      <c r="J823" s="24" t="s">
        <v>20</v>
      </c>
      <c r="K823" s="25" t="s">
        <v>63</v>
      </c>
      <c r="L823" s="25" t="s">
        <v>63</v>
      </c>
      <c r="M823" s="25" t="s">
        <v>63</v>
      </c>
      <c r="N823" s="25" t="s">
        <v>5460</v>
      </c>
    </row>
    <row r="824" ht="20" customHeight="1" spans="1:14" x14ac:dyDescent="0.25">
      <c r="A824" s="21" t="s">
        <v>5463</v>
      </c>
      <c r="B824" s="21" t="s">
        <v>1563</v>
      </c>
      <c r="C824" s="22" t="s">
        <v>4179</v>
      </c>
      <c r="D824" s="30">
        <v>176</v>
      </c>
      <c r="E824" s="31">
        <v>834.24</v>
      </c>
      <c r="F824" s="22" t="s">
        <v>2734</v>
      </c>
      <c r="G824" s="21" t="s">
        <v>5047</v>
      </c>
      <c r="H824" s="21" t="s">
        <v>2996</v>
      </c>
      <c r="I824" s="21" t="s">
        <v>63</v>
      </c>
      <c r="J824" s="21" t="s">
        <v>20</v>
      </c>
      <c r="K824" s="22" t="s">
        <v>63</v>
      </c>
      <c r="L824" s="22" t="s">
        <v>63</v>
      </c>
      <c r="M824" s="22" t="s">
        <v>63</v>
      </c>
      <c r="N824" s="22" t="s">
        <v>5460</v>
      </c>
    </row>
    <row r="825" ht="20" customHeight="1" spans="1:14" s="23" customFormat="1" x14ac:dyDescent="0.25">
      <c r="A825" s="24" t="s">
        <v>5464</v>
      </c>
      <c r="B825" s="24" t="s">
        <v>1563</v>
      </c>
      <c r="C825" s="25" t="s">
        <v>4305</v>
      </c>
      <c r="D825" s="32">
        <v>95</v>
      </c>
      <c r="E825" s="33">
        <v>323</v>
      </c>
      <c r="F825" s="25" t="s">
        <v>2734</v>
      </c>
      <c r="G825" s="24" t="s">
        <v>5047</v>
      </c>
      <c r="H825" s="24" t="s">
        <v>2996</v>
      </c>
      <c r="I825" s="24" t="s">
        <v>63</v>
      </c>
      <c r="J825" s="24" t="s">
        <v>20</v>
      </c>
      <c r="K825" s="25" t="s">
        <v>63</v>
      </c>
      <c r="L825" s="25" t="s">
        <v>63</v>
      </c>
      <c r="M825" s="25" t="s">
        <v>63</v>
      </c>
      <c r="N825" s="25" t="s">
        <v>5460</v>
      </c>
    </row>
    <row r="826" ht="20" customHeight="1" spans="1:14" x14ac:dyDescent="0.25">
      <c r="A826" s="21" t="s">
        <v>5465</v>
      </c>
      <c r="B826" s="21" t="s">
        <v>1809</v>
      </c>
      <c r="C826" s="22" t="s">
        <v>4266</v>
      </c>
      <c r="D826" s="30">
        <v>101</v>
      </c>
      <c r="E826" s="31">
        <v>323.2</v>
      </c>
      <c r="F826" s="22" t="s">
        <v>4642</v>
      </c>
      <c r="G826" s="21" t="s">
        <v>5466</v>
      </c>
      <c r="H826" s="21" t="s">
        <v>5467</v>
      </c>
      <c r="I826" s="21" t="s">
        <v>5468</v>
      </c>
      <c r="J826" s="21">
        <f>SE(I826="","-",SE(DATA.VALOR(I826)&lt;HOJE(),"VENCIDO",SE(DATA.VALOR(I826)-HOJE()&lt;=30,"CRÍTICO (&lt;=30D)","REGULAR")))</f>
      </c>
      <c r="K826" s="22" t="s">
        <v>5469</v>
      </c>
      <c r="L826" s="22" t="s">
        <v>5470</v>
      </c>
      <c r="M826" s="22" t="s">
        <v>63</v>
      </c>
      <c r="N826" s="22" t="s">
        <v>5471</v>
      </c>
    </row>
    <row r="827" ht="20" customHeight="1" spans="1:14" s="23" customFormat="1" x14ac:dyDescent="0.25">
      <c r="A827" s="24" t="s">
        <v>5472</v>
      </c>
      <c r="B827" s="24" t="s">
        <v>1809</v>
      </c>
      <c r="C827" s="25" t="s">
        <v>2940</v>
      </c>
      <c r="D827" s="32">
        <v>66</v>
      </c>
      <c r="E827" s="33">
        <v>198</v>
      </c>
      <c r="F827" s="25" t="s">
        <v>4642</v>
      </c>
      <c r="G827" s="24" t="s">
        <v>5466</v>
      </c>
      <c r="H827" s="24" t="s">
        <v>5467</v>
      </c>
      <c r="I827" s="24" t="s">
        <v>1838</v>
      </c>
      <c r="J827" s="24">
        <f>SE(I827="","-",SE(DATA.VALOR(I827)&lt;HOJE(),"VENCIDO",SE(DATA.VALOR(I827)-HOJE()&lt;=30,"CRÍTICO (&lt;=30D)","REGULAR")))</f>
      </c>
      <c r="K827" s="25" t="s">
        <v>5469</v>
      </c>
      <c r="L827" s="25" t="s">
        <v>5470</v>
      </c>
      <c r="M827" s="25" t="s">
        <v>63</v>
      </c>
      <c r="N827" s="25" t="s">
        <v>5471</v>
      </c>
    </row>
    <row r="828" ht="20" customHeight="1" spans="1:14" x14ac:dyDescent="0.25">
      <c r="A828" s="21" t="s">
        <v>5473</v>
      </c>
      <c r="B828" s="21" t="s">
        <v>1778</v>
      </c>
      <c r="C828" s="22" t="s">
        <v>4679</v>
      </c>
      <c r="D828" s="30">
        <v>808</v>
      </c>
      <c r="E828" s="31">
        <v>27472</v>
      </c>
      <c r="F828" s="22" t="s">
        <v>4680</v>
      </c>
      <c r="G828" s="21" t="s">
        <v>5474</v>
      </c>
      <c r="H828" s="21" t="s">
        <v>5475</v>
      </c>
      <c r="I828" s="21" t="s">
        <v>2056</v>
      </c>
      <c r="J828" s="21">
        <f>SE(I828="","-",SE(DATA.VALOR(I828)&lt;HOJE(),"VENCIDO",SE(DATA.VALOR(I828)-HOJE()&lt;=30,"CRÍTICO (&lt;=30D)","REGULAR")))</f>
      </c>
      <c r="K828" s="22" t="s">
        <v>5476</v>
      </c>
      <c r="L828" s="22" t="s">
        <v>4792</v>
      </c>
      <c r="M828" s="22" t="s">
        <v>5477</v>
      </c>
      <c r="N828" s="22" t="s">
        <v>5478</v>
      </c>
    </row>
    <row r="829" ht="20" customHeight="1" spans="1:14" s="23" customFormat="1" x14ac:dyDescent="0.25">
      <c r="A829" s="24" t="s">
        <v>5479</v>
      </c>
      <c r="B829" s="24" t="s">
        <v>1708</v>
      </c>
      <c r="C829" s="25" t="s">
        <v>4524</v>
      </c>
      <c r="D829" s="32">
        <v>150</v>
      </c>
      <c r="E829" s="33">
        <v>996</v>
      </c>
      <c r="F829" s="25" t="s">
        <v>2561</v>
      </c>
      <c r="G829" s="24" t="s">
        <v>5480</v>
      </c>
      <c r="H829" s="24" t="s">
        <v>5481</v>
      </c>
      <c r="I829" s="24" t="s">
        <v>1932</v>
      </c>
      <c r="J829" s="24">
        <f>SE(I829="","-",SE(DATA.VALOR(I829)&lt;HOJE(),"VENCIDO",SE(DATA.VALOR(I829)-HOJE()&lt;=30,"CRÍTICO (&lt;=30D)","REGULAR")))</f>
      </c>
      <c r="K829" s="25" t="s">
        <v>5482</v>
      </c>
      <c r="L829" s="25" t="s">
        <v>4520</v>
      </c>
      <c r="M829" s="25" t="s">
        <v>5483</v>
      </c>
      <c r="N829" s="25" t="s">
        <v>5484</v>
      </c>
    </row>
    <row r="830" ht="20" customHeight="1" spans="1:14" x14ac:dyDescent="0.25">
      <c r="A830" s="21" t="s">
        <v>5485</v>
      </c>
      <c r="B830" s="21" t="s">
        <v>1708</v>
      </c>
      <c r="C830" s="22" t="s">
        <v>4516</v>
      </c>
      <c r="D830" s="30">
        <v>280</v>
      </c>
      <c r="E830" s="31">
        <v>1568</v>
      </c>
      <c r="F830" s="22" t="s">
        <v>2561</v>
      </c>
      <c r="G830" s="21" t="s">
        <v>5480</v>
      </c>
      <c r="H830" s="21" t="s">
        <v>5486</v>
      </c>
      <c r="I830" s="21" t="s">
        <v>1932</v>
      </c>
      <c r="J830" s="21">
        <f>SE(I830="","-",SE(DATA.VALOR(I830)&lt;HOJE(),"VENCIDO",SE(DATA.VALOR(I830)-HOJE()&lt;=30,"CRÍTICO (&lt;=30D)","REGULAR")))</f>
      </c>
      <c r="K830" s="22" t="s">
        <v>5482</v>
      </c>
      <c r="L830" s="22" t="s">
        <v>4520</v>
      </c>
      <c r="M830" s="22" t="s">
        <v>5483</v>
      </c>
      <c r="N830" s="22" t="s">
        <v>5487</v>
      </c>
    </row>
    <row r="831" ht="20" customHeight="1" spans="1:14" s="23" customFormat="1" x14ac:dyDescent="0.25">
      <c r="A831" s="24" t="s">
        <v>5488</v>
      </c>
      <c r="B831" s="24" t="s">
        <v>3843</v>
      </c>
      <c r="C831" s="25" t="s">
        <v>5235</v>
      </c>
      <c r="D831" s="32">
        <v>234</v>
      </c>
      <c r="E831" s="33">
        <v>1687.14</v>
      </c>
      <c r="F831" s="25" t="s">
        <v>5236</v>
      </c>
      <c r="G831" s="24" t="s">
        <v>5452</v>
      </c>
      <c r="H831" s="24" t="s">
        <v>5489</v>
      </c>
      <c r="I831" s="24" t="s">
        <v>1868</v>
      </c>
      <c r="J831" s="24">
        <f>SE(I831="","-",SE(DATA.VALOR(I831)&lt;HOJE(),"VENCIDO",SE(DATA.VALOR(I831)-HOJE()&lt;=30,"CRÍTICO (&lt;=30D)","REGULAR")))</f>
      </c>
      <c r="K831" s="25" t="s">
        <v>5455</v>
      </c>
      <c r="L831" s="25" t="s">
        <v>5456</v>
      </c>
      <c r="M831" s="25" t="s">
        <v>5457</v>
      </c>
      <c r="N831" s="25" t="s">
        <v>5490</v>
      </c>
    </row>
    <row r="832" ht="20" customHeight="1" spans="1:14" x14ac:dyDescent="0.25">
      <c r="A832" s="21" t="s">
        <v>5491</v>
      </c>
      <c r="B832" s="21" t="s">
        <v>1813</v>
      </c>
      <c r="C832" s="22" t="s">
        <v>4338</v>
      </c>
      <c r="D832" s="30">
        <v>75</v>
      </c>
      <c r="E832" s="31">
        <v>337.5</v>
      </c>
      <c r="F832" s="22" t="s">
        <v>2994</v>
      </c>
      <c r="G832" s="21" t="s">
        <v>5492</v>
      </c>
      <c r="H832" s="21" t="s">
        <v>5493</v>
      </c>
      <c r="I832" s="21" t="s">
        <v>1839</v>
      </c>
      <c r="J832" s="21">
        <f>SE(I832="","-",SE(DATA.VALOR(I832)&lt;HOJE(),"VENCIDO",SE(DATA.VALOR(I832)-HOJE()&lt;=30,"CRÍTICO (&lt;=30D)","REGULAR")))</f>
      </c>
      <c r="K832" s="22" t="s">
        <v>5494</v>
      </c>
      <c r="L832" s="22" t="s">
        <v>5495</v>
      </c>
      <c r="M832" s="22" t="s">
        <v>5496</v>
      </c>
      <c r="N832" s="22" t="s">
        <v>5497</v>
      </c>
    </row>
    <row r="833" ht="20" customHeight="1" spans="1:14" s="23" customFormat="1" x14ac:dyDescent="0.25">
      <c r="A833" s="24" t="s">
        <v>5498</v>
      </c>
      <c r="B833" s="24" t="s">
        <v>1813</v>
      </c>
      <c r="C833" s="25" t="s">
        <v>4338</v>
      </c>
      <c r="D833" s="32">
        <v>75</v>
      </c>
      <c r="E833" s="33">
        <v>337.5</v>
      </c>
      <c r="F833" s="25" t="s">
        <v>2765</v>
      </c>
      <c r="G833" s="24" t="s">
        <v>5499</v>
      </c>
      <c r="H833" s="24" t="s">
        <v>5493</v>
      </c>
      <c r="I833" s="24" t="s">
        <v>1839</v>
      </c>
      <c r="J833" s="24">
        <f>SE(I833="","-",SE(DATA.VALOR(I833)&lt;HOJE(),"VENCIDO",SE(DATA.VALOR(I833)-HOJE()&lt;=30,"CRÍTICO (&lt;=30D)","REGULAR")))</f>
      </c>
      <c r="K833" s="25" t="s">
        <v>5500</v>
      </c>
      <c r="L833" s="25" t="s">
        <v>5501</v>
      </c>
      <c r="M833" s="25" t="s">
        <v>5502</v>
      </c>
      <c r="N833" s="25" t="s">
        <v>5503</v>
      </c>
    </row>
    <row r="834" ht="20" customHeight="1" spans="1:14" x14ac:dyDescent="0.25">
      <c r="A834" s="21" t="s">
        <v>5504</v>
      </c>
      <c r="B834" s="21" t="s">
        <v>1813</v>
      </c>
      <c r="C834" s="22" t="s">
        <v>4338</v>
      </c>
      <c r="D834" s="30">
        <v>75</v>
      </c>
      <c r="E834" s="31">
        <v>337.5</v>
      </c>
      <c r="F834" s="22" t="s">
        <v>3100</v>
      </c>
      <c r="G834" s="21" t="s">
        <v>5505</v>
      </c>
      <c r="H834" s="21" t="s">
        <v>5493</v>
      </c>
      <c r="I834" s="21" t="s">
        <v>1839</v>
      </c>
      <c r="J834" s="21">
        <f>SE(I834="","-",SE(DATA.VALOR(I834)&lt;HOJE(),"VENCIDO",SE(DATA.VALOR(I834)-HOJE()&lt;=30,"CRÍTICO (&lt;=30D)","REGULAR")))</f>
      </c>
      <c r="K834" s="22" t="s">
        <v>5506</v>
      </c>
      <c r="L834" s="22" t="s">
        <v>5507</v>
      </c>
      <c r="M834" s="22" t="s">
        <v>5508</v>
      </c>
      <c r="N834" s="22" t="s">
        <v>5509</v>
      </c>
    </row>
    <row r="835" ht="20" customHeight="1" spans="1:14" s="23" customFormat="1" x14ac:dyDescent="0.25">
      <c r="A835" s="24" t="s">
        <v>5510</v>
      </c>
      <c r="B835" s="24" t="s">
        <v>1813</v>
      </c>
      <c r="C835" s="25" t="s">
        <v>2855</v>
      </c>
      <c r="D835" s="32">
        <v>24</v>
      </c>
      <c r="E835" s="33">
        <v>105.6</v>
      </c>
      <c r="F835" s="25" t="s">
        <v>4698</v>
      </c>
      <c r="G835" s="24" t="s">
        <v>5511</v>
      </c>
      <c r="H835" s="24" t="s">
        <v>5493</v>
      </c>
      <c r="I835" s="24" t="s">
        <v>1839</v>
      </c>
      <c r="J835" s="24">
        <f>SE(I835="","-",SE(DATA.VALOR(I835)&lt;HOJE(),"VENCIDO",SE(DATA.VALOR(I835)-HOJE()&lt;=30,"CRÍTICO (&lt;=30D)","REGULAR")))</f>
      </c>
      <c r="K835" s="25" t="s">
        <v>5512</v>
      </c>
      <c r="L835" s="25" t="s">
        <v>5513</v>
      </c>
      <c r="M835" s="25" t="s">
        <v>5514</v>
      </c>
      <c r="N835" s="25" t="s">
        <v>5515</v>
      </c>
    </row>
    <row r="836" ht="20" customHeight="1" spans="1:14" x14ac:dyDescent="0.25">
      <c r="A836" s="21" t="s">
        <v>5516</v>
      </c>
      <c r="B836" s="21" t="s">
        <v>1813</v>
      </c>
      <c r="C836" s="22" t="s">
        <v>4266</v>
      </c>
      <c r="D836" s="30">
        <v>101</v>
      </c>
      <c r="E836" s="31">
        <v>323.2</v>
      </c>
      <c r="F836" s="22" t="s">
        <v>4698</v>
      </c>
      <c r="G836" s="21" t="s">
        <v>5511</v>
      </c>
      <c r="H836" s="21" t="s">
        <v>5493</v>
      </c>
      <c r="I836" s="21" t="s">
        <v>1839</v>
      </c>
      <c r="J836" s="21">
        <f>SE(I836="","-",SE(DATA.VALOR(I836)&lt;HOJE(),"VENCIDO",SE(DATA.VALOR(I836)-HOJE()&lt;=30,"CRÍTICO (&lt;=30D)","REGULAR")))</f>
      </c>
      <c r="K836" s="22" t="s">
        <v>5512</v>
      </c>
      <c r="L836" s="22" t="s">
        <v>5513</v>
      </c>
      <c r="M836" s="22" t="s">
        <v>5514</v>
      </c>
      <c r="N836" s="22" t="s">
        <v>5515</v>
      </c>
    </row>
    <row r="837" ht="20" customHeight="1" spans="1:14" s="23" customFormat="1" x14ac:dyDescent="0.25">
      <c r="A837" s="24" t="s">
        <v>5517</v>
      </c>
      <c r="B837" s="24" t="s">
        <v>1813</v>
      </c>
      <c r="C837" s="25" t="s">
        <v>2940</v>
      </c>
      <c r="D837" s="32">
        <v>65</v>
      </c>
      <c r="E837" s="33">
        <v>195</v>
      </c>
      <c r="F837" s="25" t="s">
        <v>4698</v>
      </c>
      <c r="G837" s="24" t="s">
        <v>5511</v>
      </c>
      <c r="H837" s="24" t="s">
        <v>5493</v>
      </c>
      <c r="I837" s="24" t="s">
        <v>5518</v>
      </c>
      <c r="J837" s="24">
        <f>SE(I837="","-",SE(DATA.VALOR(I837)&lt;HOJE(),"VENCIDO",SE(DATA.VALOR(I837)-HOJE()&lt;=30,"CRÍTICO (&lt;=30D)","REGULAR")))</f>
      </c>
      <c r="K837" s="25" t="s">
        <v>5512</v>
      </c>
      <c r="L837" s="25" t="s">
        <v>5513</v>
      </c>
      <c r="M837" s="25" t="s">
        <v>5514</v>
      </c>
      <c r="N837" s="25" t="s">
        <v>5515</v>
      </c>
    </row>
    <row r="838" ht="20" customHeight="1" spans="1:14" x14ac:dyDescent="0.25">
      <c r="A838" s="21" t="s">
        <v>5519</v>
      </c>
      <c r="B838" s="21" t="s">
        <v>1813</v>
      </c>
      <c r="C838" s="22" t="s">
        <v>2855</v>
      </c>
      <c r="D838" s="30">
        <v>24</v>
      </c>
      <c r="E838" s="31">
        <v>105.6</v>
      </c>
      <c r="F838" s="22" t="s">
        <v>4386</v>
      </c>
      <c r="G838" s="21" t="s">
        <v>5520</v>
      </c>
      <c r="H838" s="21" t="s">
        <v>5493</v>
      </c>
      <c r="I838" s="21" t="s">
        <v>1839</v>
      </c>
      <c r="J838" s="21">
        <f>SE(I838="","-",SE(DATA.VALOR(I838)&lt;HOJE(),"VENCIDO",SE(DATA.VALOR(I838)-HOJE()&lt;=30,"CRÍTICO (&lt;=30D)","REGULAR")))</f>
      </c>
      <c r="K838" s="22" t="s">
        <v>5521</v>
      </c>
      <c r="L838" s="22" t="s">
        <v>5522</v>
      </c>
      <c r="M838" s="22" t="s">
        <v>5523</v>
      </c>
      <c r="N838" s="22" t="s">
        <v>5524</v>
      </c>
    </row>
    <row r="839" ht="20" customHeight="1" spans="1:14" s="23" customFormat="1" x14ac:dyDescent="0.25">
      <c r="A839" s="24" t="s">
        <v>5525</v>
      </c>
      <c r="B839" s="24" t="s">
        <v>1813</v>
      </c>
      <c r="C839" s="25" t="s">
        <v>4266</v>
      </c>
      <c r="D839" s="32">
        <v>101</v>
      </c>
      <c r="E839" s="33">
        <v>323.2</v>
      </c>
      <c r="F839" s="25" t="s">
        <v>4386</v>
      </c>
      <c r="G839" s="24" t="s">
        <v>5520</v>
      </c>
      <c r="H839" s="24" t="s">
        <v>5493</v>
      </c>
      <c r="I839" s="24" t="s">
        <v>1839</v>
      </c>
      <c r="J839" s="24">
        <f>SE(I839="","-",SE(DATA.VALOR(I839)&lt;HOJE(),"VENCIDO",SE(DATA.VALOR(I839)-HOJE()&lt;=30,"CRÍTICO (&lt;=30D)","REGULAR")))</f>
      </c>
      <c r="K839" s="25" t="s">
        <v>5521</v>
      </c>
      <c r="L839" s="25" t="s">
        <v>5522</v>
      </c>
      <c r="M839" s="25" t="s">
        <v>5523</v>
      </c>
      <c r="N839" s="25" t="s">
        <v>5524</v>
      </c>
    </row>
    <row r="840" ht="20" customHeight="1" spans="1:14" x14ac:dyDescent="0.25">
      <c r="A840" s="21" t="s">
        <v>5526</v>
      </c>
      <c r="B840" s="21" t="s">
        <v>1813</v>
      </c>
      <c r="C840" s="22" t="s">
        <v>2940</v>
      </c>
      <c r="D840" s="30">
        <v>65</v>
      </c>
      <c r="E840" s="31">
        <v>195</v>
      </c>
      <c r="F840" s="22" t="s">
        <v>4386</v>
      </c>
      <c r="G840" s="21" t="s">
        <v>5520</v>
      </c>
      <c r="H840" s="21" t="s">
        <v>5493</v>
      </c>
      <c r="I840" s="21" t="s">
        <v>1839</v>
      </c>
      <c r="J840" s="21">
        <f>SE(I840="","-",SE(DATA.VALOR(I840)&lt;HOJE(),"VENCIDO",SE(DATA.VALOR(I840)-HOJE()&lt;=30,"CRÍTICO (&lt;=30D)","REGULAR")))</f>
      </c>
      <c r="K840" s="22" t="s">
        <v>5521</v>
      </c>
      <c r="L840" s="22" t="s">
        <v>5522</v>
      </c>
      <c r="M840" s="22" t="s">
        <v>5523</v>
      </c>
      <c r="N840" s="22" t="s">
        <v>5524</v>
      </c>
    </row>
    <row r="841" ht="20" customHeight="1" spans="1:14" s="23" customFormat="1" x14ac:dyDescent="0.25">
      <c r="A841" s="24" t="s">
        <v>5527</v>
      </c>
      <c r="B841" s="24" t="s">
        <v>1813</v>
      </c>
      <c r="C841" s="25" t="s">
        <v>4284</v>
      </c>
      <c r="D841" s="32">
        <v>327</v>
      </c>
      <c r="E841" s="33">
        <v>981</v>
      </c>
      <c r="F841" s="25" t="s">
        <v>2787</v>
      </c>
      <c r="G841" s="24" t="s">
        <v>5528</v>
      </c>
      <c r="H841" s="24" t="s">
        <v>5493</v>
      </c>
      <c r="I841" s="24" t="s">
        <v>2149</v>
      </c>
      <c r="J841" s="24">
        <f>SE(I841="","-",SE(DATA.VALOR(I841)&lt;HOJE(),"VENCIDO",SE(DATA.VALOR(I841)-HOJE()&lt;=30,"CRÍTICO (&lt;=30D)","REGULAR")))</f>
      </c>
      <c r="K841" s="25" t="s">
        <v>63</v>
      </c>
      <c r="L841" s="25" t="s">
        <v>63</v>
      </c>
      <c r="M841" s="25" t="s">
        <v>5529</v>
      </c>
      <c r="N841" s="25" t="s">
        <v>5530</v>
      </c>
    </row>
    <row r="842" ht="20" customHeight="1" spans="1:14" x14ac:dyDescent="0.25">
      <c r="A842" s="21" t="s">
        <v>5531</v>
      </c>
      <c r="B842" s="21" t="s">
        <v>1813</v>
      </c>
      <c r="C842" s="22" t="s">
        <v>2935</v>
      </c>
      <c r="D842" s="30">
        <v>34</v>
      </c>
      <c r="E842" s="31">
        <v>197.2</v>
      </c>
      <c r="F842" s="22" t="s">
        <v>2787</v>
      </c>
      <c r="G842" s="21" t="s">
        <v>5528</v>
      </c>
      <c r="H842" s="21" t="s">
        <v>5493</v>
      </c>
      <c r="I842" s="21" t="s">
        <v>2149</v>
      </c>
      <c r="J842" s="21">
        <f>SE(I842="","-",SE(DATA.VALOR(I842)&lt;HOJE(),"VENCIDO",SE(DATA.VALOR(I842)-HOJE()&lt;=30,"CRÍTICO (&lt;=30D)","REGULAR")))</f>
      </c>
      <c r="K842" s="22" t="s">
        <v>63</v>
      </c>
      <c r="L842" s="22" t="s">
        <v>63</v>
      </c>
      <c r="M842" s="22" t="s">
        <v>5529</v>
      </c>
      <c r="N842" s="22" t="s">
        <v>5530</v>
      </c>
    </row>
    <row r="843" ht="20" customHeight="1" spans="1:14" s="23" customFormat="1" x14ac:dyDescent="0.25">
      <c r="A843" s="24" t="s">
        <v>5532</v>
      </c>
      <c r="B843" s="24" t="s">
        <v>5358</v>
      </c>
      <c r="C843" s="25" t="s">
        <v>4318</v>
      </c>
      <c r="D843" s="32">
        <v>197</v>
      </c>
      <c r="E843" s="33">
        <v>827.4</v>
      </c>
      <c r="F843" s="25" t="s">
        <v>2796</v>
      </c>
      <c r="G843" s="24" t="s">
        <v>5533</v>
      </c>
      <c r="H843" s="24" t="s">
        <v>5534</v>
      </c>
      <c r="I843" s="24" t="s">
        <v>1828</v>
      </c>
      <c r="J843" s="24">
        <f>SE(I843="","-",SE(DATA.VALOR(I843)&lt;HOJE(),"VENCIDO",SE(DATA.VALOR(I843)-HOJE()&lt;=30,"CRÍTICO (&lt;=30D)","REGULAR")))</f>
      </c>
      <c r="K843" s="25" t="s">
        <v>5535</v>
      </c>
      <c r="L843" s="25" t="s">
        <v>5536</v>
      </c>
      <c r="M843" s="25" t="s">
        <v>5537</v>
      </c>
      <c r="N843" s="25" t="s">
        <v>5538</v>
      </c>
    </row>
    <row r="844" ht="20" customHeight="1" spans="1:14" x14ac:dyDescent="0.25">
      <c r="A844" s="21" t="s">
        <v>5539</v>
      </c>
      <c r="B844" s="21" t="s">
        <v>5358</v>
      </c>
      <c r="C844" s="22" t="s">
        <v>4179</v>
      </c>
      <c r="D844" s="30">
        <v>226</v>
      </c>
      <c r="E844" s="31">
        <v>1071.24</v>
      </c>
      <c r="F844" s="22" t="s">
        <v>2796</v>
      </c>
      <c r="G844" s="21" t="s">
        <v>5533</v>
      </c>
      <c r="H844" s="21" t="s">
        <v>5534</v>
      </c>
      <c r="I844" s="21" t="s">
        <v>1828</v>
      </c>
      <c r="J844" s="21">
        <f>SE(I844="","-",SE(DATA.VALOR(I844)&lt;HOJE(),"VENCIDO",SE(DATA.VALOR(I844)-HOJE()&lt;=30,"CRÍTICO (&lt;=30D)","REGULAR")))</f>
      </c>
      <c r="K844" s="22" t="s">
        <v>5535</v>
      </c>
      <c r="L844" s="22" t="s">
        <v>5536</v>
      </c>
      <c r="M844" s="22" t="s">
        <v>5537</v>
      </c>
      <c r="N844" s="22" t="s">
        <v>5538</v>
      </c>
    </row>
    <row r="845" ht="20" customHeight="1" spans="1:14" s="23" customFormat="1" x14ac:dyDescent="0.25">
      <c r="A845" s="24" t="s">
        <v>5540</v>
      </c>
      <c r="B845" s="24" t="s">
        <v>1778</v>
      </c>
      <c r="C845" s="25" t="s">
        <v>4688</v>
      </c>
      <c r="D845" s="32">
        <v>1800</v>
      </c>
      <c r="E845" s="33">
        <v>13459.09</v>
      </c>
      <c r="F845" s="25" t="s">
        <v>4680</v>
      </c>
      <c r="G845" s="24" t="s">
        <v>5474</v>
      </c>
      <c r="H845" s="24" t="s">
        <v>5541</v>
      </c>
      <c r="I845" s="24" t="s">
        <v>5337</v>
      </c>
      <c r="J845" s="24">
        <f>SE(I845="","-",SE(DATA.VALOR(I845)&lt;HOJE(),"VENCIDO",SE(DATA.VALOR(I845)-HOJE()&lt;=30,"CRÍTICO (&lt;=30D)","REGULAR")))</f>
      </c>
      <c r="K845" s="25" t="s">
        <v>5476</v>
      </c>
      <c r="L845" s="25" t="s">
        <v>4792</v>
      </c>
      <c r="M845" s="25" t="s">
        <v>5477</v>
      </c>
      <c r="N845" s="25" t="s">
        <v>5542</v>
      </c>
    </row>
    <row r="846" ht="20" customHeight="1" spans="1:14" x14ac:dyDescent="0.25">
      <c r="A846" s="21" t="s">
        <v>5543</v>
      </c>
      <c r="B846" s="21" t="s">
        <v>1778</v>
      </c>
      <c r="C846" s="22" t="s">
        <v>4692</v>
      </c>
      <c r="D846" s="30">
        <v>145</v>
      </c>
      <c r="E846" s="31">
        <v>3359.76</v>
      </c>
      <c r="F846" s="22" t="s">
        <v>4680</v>
      </c>
      <c r="G846" s="21" t="s">
        <v>5474</v>
      </c>
      <c r="H846" s="21" t="s">
        <v>5544</v>
      </c>
      <c r="I846" s="21" t="s">
        <v>5545</v>
      </c>
      <c r="J846" s="21">
        <f>SE(I846="","-",SE(DATA.VALOR(I846)&lt;HOJE(),"VENCIDO",SE(DATA.VALOR(I846)-HOJE()&lt;=30,"CRÍTICO (&lt;=30D)","REGULAR")))</f>
      </c>
      <c r="K846" s="22" t="s">
        <v>5476</v>
      </c>
      <c r="L846" s="22" t="s">
        <v>4792</v>
      </c>
      <c r="M846" s="22" t="s">
        <v>5477</v>
      </c>
      <c r="N846" s="22" t="s">
        <v>5542</v>
      </c>
    </row>
    <row r="847" ht="20" customHeight="1" spans="1:14" s="23" customFormat="1" x14ac:dyDescent="0.25">
      <c r="A847" s="24" t="s">
        <v>5546</v>
      </c>
      <c r="B847" s="24" t="s">
        <v>1817</v>
      </c>
      <c r="C847" s="25" t="s">
        <v>3883</v>
      </c>
      <c r="D847" s="32">
        <v>90</v>
      </c>
      <c r="E847" s="33">
        <v>540</v>
      </c>
      <c r="F847" s="25" t="s">
        <v>2643</v>
      </c>
      <c r="G847" s="24" t="s">
        <v>5547</v>
      </c>
      <c r="H847" s="24" t="s">
        <v>5493</v>
      </c>
      <c r="I847" s="24" t="s">
        <v>1839</v>
      </c>
      <c r="J847" s="24">
        <f>SE(I847="","-",SE(DATA.VALOR(I847)&lt;HOJE(),"VENCIDO",SE(DATA.VALOR(I847)-HOJE()&lt;=30,"CRÍTICO (&lt;=30D)","REGULAR")))</f>
      </c>
      <c r="K847" s="25" t="s">
        <v>5548</v>
      </c>
      <c r="L847" s="25" t="s">
        <v>5549</v>
      </c>
      <c r="M847" s="25" t="s">
        <v>5550</v>
      </c>
      <c r="N847" s="25" t="s">
        <v>5551</v>
      </c>
    </row>
    <row r="848" ht="20" customHeight="1" spans="1:14" x14ac:dyDescent="0.25">
      <c r="A848" s="21" t="s">
        <v>5552</v>
      </c>
      <c r="B848" s="21" t="s">
        <v>1817</v>
      </c>
      <c r="C848" s="22" t="s">
        <v>3890</v>
      </c>
      <c r="D848" s="30">
        <v>225</v>
      </c>
      <c r="E848" s="31">
        <v>1125</v>
      </c>
      <c r="F848" s="22" t="s">
        <v>2643</v>
      </c>
      <c r="G848" s="21" t="s">
        <v>5547</v>
      </c>
      <c r="H848" s="21" t="s">
        <v>5493</v>
      </c>
      <c r="I848" s="21" t="s">
        <v>1839</v>
      </c>
      <c r="J848" s="21">
        <f>SE(I848="","-",SE(DATA.VALOR(I848)&lt;HOJE(),"VENCIDO",SE(DATA.VALOR(I848)-HOJE()&lt;=30,"CRÍTICO (&lt;=30D)","REGULAR")))</f>
      </c>
      <c r="K848" s="22" t="s">
        <v>5548</v>
      </c>
      <c r="L848" s="22" t="s">
        <v>5549</v>
      </c>
      <c r="M848" s="22" t="s">
        <v>5550</v>
      </c>
      <c r="N848" s="22" t="s">
        <v>5551</v>
      </c>
    </row>
    <row r="849" ht="20" customHeight="1" spans="1:14" s="23" customFormat="1" x14ac:dyDescent="0.25">
      <c r="A849" s="24" t="s">
        <v>5553</v>
      </c>
      <c r="B849" s="24" t="s">
        <v>1813</v>
      </c>
      <c r="C849" s="25" t="s">
        <v>4276</v>
      </c>
      <c r="D849" s="32">
        <v>152</v>
      </c>
      <c r="E849" s="33">
        <v>608</v>
      </c>
      <c r="F849" s="25" t="s">
        <v>2685</v>
      </c>
      <c r="G849" s="24" t="s">
        <v>5554</v>
      </c>
      <c r="H849" s="24" t="s">
        <v>5493</v>
      </c>
      <c r="I849" s="24" t="s">
        <v>1839</v>
      </c>
      <c r="J849" s="24">
        <f>SE(I849="","-",SE(DATA.VALOR(I849)&lt;HOJE(),"VENCIDO",SE(DATA.VALOR(I849)-HOJE()&lt;=30,"CRÍTICO (&lt;=30D)","REGULAR")))</f>
      </c>
      <c r="K849" s="25" t="s">
        <v>5555</v>
      </c>
      <c r="L849" s="25" t="s">
        <v>5556</v>
      </c>
      <c r="M849" s="25" t="s">
        <v>5557</v>
      </c>
      <c r="N849" s="25" t="s">
        <v>5558</v>
      </c>
    </row>
    <row r="850" ht="20" customHeight="1" spans="1:14" x14ac:dyDescent="0.25">
      <c r="A850" s="21" t="s">
        <v>5559</v>
      </c>
      <c r="B850" s="21" t="s">
        <v>1813</v>
      </c>
      <c r="C850" s="22" t="s">
        <v>4274</v>
      </c>
      <c r="D850" s="30">
        <v>125</v>
      </c>
      <c r="E850" s="31">
        <v>525</v>
      </c>
      <c r="F850" s="22" t="s">
        <v>2685</v>
      </c>
      <c r="G850" s="21" t="s">
        <v>5554</v>
      </c>
      <c r="H850" s="21" t="s">
        <v>5493</v>
      </c>
      <c r="I850" s="21" t="s">
        <v>1839</v>
      </c>
      <c r="J850" s="21">
        <f>SE(I850="","-",SE(DATA.VALOR(I850)&lt;HOJE(),"VENCIDO",SE(DATA.VALOR(I850)-HOJE()&lt;=30,"CRÍTICO (&lt;=30D)","REGULAR")))</f>
      </c>
      <c r="K850" s="22" t="s">
        <v>5555</v>
      </c>
      <c r="L850" s="22" t="s">
        <v>5556</v>
      </c>
      <c r="M850" s="22" t="s">
        <v>5557</v>
      </c>
      <c r="N850" s="22" t="s">
        <v>5558</v>
      </c>
    </row>
    <row r="851" ht="20" customHeight="1" spans="1:14" s="23" customFormat="1" x14ac:dyDescent="0.25">
      <c r="A851" s="24" t="s">
        <v>5560</v>
      </c>
      <c r="B851" s="24" t="s">
        <v>1813</v>
      </c>
      <c r="C851" s="25" t="s">
        <v>4266</v>
      </c>
      <c r="D851" s="32">
        <v>97</v>
      </c>
      <c r="E851" s="33">
        <v>310.4</v>
      </c>
      <c r="F851" s="25" t="s">
        <v>2685</v>
      </c>
      <c r="G851" s="24" t="s">
        <v>5554</v>
      </c>
      <c r="H851" s="24" t="s">
        <v>5493</v>
      </c>
      <c r="I851" s="24" t="s">
        <v>1839</v>
      </c>
      <c r="J851" s="24">
        <f>SE(I851="","-",SE(DATA.VALOR(I851)&lt;HOJE(),"VENCIDO",SE(DATA.VALOR(I851)-HOJE()&lt;=30,"CRÍTICO (&lt;=30D)","REGULAR")))</f>
      </c>
      <c r="K851" s="25" t="s">
        <v>5555</v>
      </c>
      <c r="L851" s="25" t="s">
        <v>5556</v>
      </c>
      <c r="M851" s="25" t="s">
        <v>5557</v>
      </c>
      <c r="N851" s="25" t="s">
        <v>5558</v>
      </c>
    </row>
    <row r="852" ht="20" customHeight="1" spans="1:14" x14ac:dyDescent="0.25">
      <c r="A852" s="21" t="s">
        <v>5561</v>
      </c>
      <c r="B852" s="21" t="s">
        <v>1813</v>
      </c>
      <c r="C852" s="22" t="s">
        <v>2940</v>
      </c>
      <c r="D852" s="30">
        <v>60</v>
      </c>
      <c r="E852" s="31">
        <v>180</v>
      </c>
      <c r="F852" s="22" t="s">
        <v>2685</v>
      </c>
      <c r="G852" s="21" t="s">
        <v>5554</v>
      </c>
      <c r="H852" s="21" t="s">
        <v>5493</v>
      </c>
      <c r="I852" s="21" t="s">
        <v>1839</v>
      </c>
      <c r="J852" s="21">
        <f>SE(I852="","-",SE(DATA.VALOR(I852)&lt;HOJE(),"VENCIDO",SE(DATA.VALOR(I852)-HOJE()&lt;=30,"CRÍTICO (&lt;=30D)","REGULAR")))</f>
      </c>
      <c r="K852" s="22" t="s">
        <v>5555</v>
      </c>
      <c r="L852" s="22" t="s">
        <v>5556</v>
      </c>
      <c r="M852" s="22" t="s">
        <v>5557</v>
      </c>
      <c r="N852" s="22" t="s">
        <v>5558</v>
      </c>
    </row>
    <row r="853" ht="20" customHeight="1" spans="1:14" s="23" customFormat="1" x14ac:dyDescent="0.25">
      <c r="A853" s="24" t="s">
        <v>5562</v>
      </c>
      <c r="B853" s="24" t="s">
        <v>5358</v>
      </c>
      <c r="C853" s="25" t="s">
        <v>4802</v>
      </c>
      <c r="D853" s="32">
        <v>500</v>
      </c>
      <c r="E853" s="33">
        <v>5500</v>
      </c>
      <c r="F853" s="25" t="s">
        <v>4803</v>
      </c>
      <c r="G853" s="24" t="s">
        <v>5563</v>
      </c>
      <c r="H853" s="24" t="s">
        <v>5564</v>
      </c>
      <c r="I853" s="24" t="s">
        <v>5565</v>
      </c>
      <c r="J853" s="24">
        <f>SE(I853="","-",SE(DATA.VALOR(I853)&lt;HOJE(),"VENCIDO",SE(DATA.VALOR(I853)-HOJE()&lt;=30,"CRÍTICO (&lt;=30D)","REGULAR")))</f>
      </c>
      <c r="K853" s="25" t="s">
        <v>5566</v>
      </c>
      <c r="L853" s="25" t="s">
        <v>5567</v>
      </c>
      <c r="M853" s="25" t="s">
        <v>5568</v>
      </c>
      <c r="N853" s="25" t="s">
        <v>5569</v>
      </c>
    </row>
    <row r="854" ht="20" customHeight="1" spans="1:14" x14ac:dyDescent="0.25">
      <c r="A854" s="21" t="s">
        <v>5570</v>
      </c>
      <c r="B854" s="21" t="s">
        <v>1104</v>
      </c>
      <c r="C854" s="22" t="s">
        <v>2727</v>
      </c>
      <c r="D854" s="30">
        <v>0</v>
      </c>
      <c r="E854" s="31">
        <v>1600</v>
      </c>
      <c r="F854" s="22" t="s">
        <v>2717</v>
      </c>
      <c r="G854" s="21" t="s">
        <v>3824</v>
      </c>
      <c r="H854" s="21" t="s">
        <v>2996</v>
      </c>
      <c r="I854" s="21" t="s">
        <v>63</v>
      </c>
      <c r="J854" s="21" t="s">
        <v>20</v>
      </c>
      <c r="K854" s="22" t="s">
        <v>3825</v>
      </c>
      <c r="L854" s="22" t="s">
        <v>3826</v>
      </c>
      <c r="M854" s="22" t="s">
        <v>63</v>
      </c>
      <c r="N854" s="22" t="s">
        <v>5571</v>
      </c>
    </row>
    <row r="855" ht="20" customHeight="1" spans="1:14" s="23" customFormat="1" x14ac:dyDescent="0.25">
      <c r="A855" s="24" t="s">
        <v>5572</v>
      </c>
      <c r="B855" s="24" t="s">
        <v>1104</v>
      </c>
      <c r="C855" s="25" t="s">
        <v>4327</v>
      </c>
      <c r="D855" s="32">
        <v>0</v>
      </c>
      <c r="E855" s="33">
        <v>328.8</v>
      </c>
      <c r="F855" s="25" t="s">
        <v>2717</v>
      </c>
      <c r="G855" s="24" t="s">
        <v>3824</v>
      </c>
      <c r="H855" s="24" t="s">
        <v>2996</v>
      </c>
      <c r="I855" s="24" t="s">
        <v>63</v>
      </c>
      <c r="J855" s="24" t="s">
        <v>20</v>
      </c>
      <c r="K855" s="25" t="s">
        <v>3825</v>
      </c>
      <c r="L855" s="25" t="s">
        <v>3826</v>
      </c>
      <c r="M855" s="25" t="s">
        <v>63</v>
      </c>
      <c r="N855" s="25" t="s">
        <v>5571</v>
      </c>
    </row>
    <row r="856" ht="20" customHeight="1" spans="1:14" x14ac:dyDescent="0.25">
      <c r="A856" s="21" t="s">
        <v>5573</v>
      </c>
      <c r="B856" s="21" t="s">
        <v>822</v>
      </c>
      <c r="C856" s="22" t="s">
        <v>5574</v>
      </c>
      <c r="D856" s="30">
        <v>400</v>
      </c>
      <c r="E856" s="31">
        <v>33500</v>
      </c>
      <c r="F856" s="22" t="s">
        <v>2552</v>
      </c>
      <c r="G856" s="21" t="s">
        <v>5575</v>
      </c>
      <c r="H856" s="21" t="s">
        <v>5576</v>
      </c>
      <c r="I856" s="21" t="s">
        <v>2015</v>
      </c>
      <c r="J856" s="21">
        <f>SE(I856="","-",SE(DATA.VALOR(I856)&lt;HOJE(),"VENCIDO",SE(DATA.VALOR(I856)-HOJE()&lt;=30,"CRÍTICO (&lt;=30D)","REGULAR")))</f>
      </c>
      <c r="K856" s="22" t="s">
        <v>5577</v>
      </c>
      <c r="L856" s="22" t="s">
        <v>2556</v>
      </c>
      <c r="M856" s="22" t="s">
        <v>5578</v>
      </c>
      <c r="N856" s="22" t="s">
        <v>5579</v>
      </c>
    </row>
    <row r="857" ht="20" customHeight="1" spans="1:14" s="23" customFormat="1" x14ac:dyDescent="0.25">
      <c r="A857" s="24" t="s">
        <v>5580</v>
      </c>
      <c r="B857" s="24" t="s">
        <v>1809</v>
      </c>
      <c r="C857" s="25" t="s">
        <v>2940</v>
      </c>
      <c r="D857" s="32">
        <v>60</v>
      </c>
      <c r="E857" s="33">
        <v>180</v>
      </c>
      <c r="F857" s="25" t="s">
        <v>5052</v>
      </c>
      <c r="G857" s="24" t="s">
        <v>3966</v>
      </c>
      <c r="H857" s="24" t="s">
        <v>5467</v>
      </c>
      <c r="I857" s="24" t="s">
        <v>1838</v>
      </c>
      <c r="J857" s="24">
        <f>SE(I857="","-",SE(DATA.VALOR(I857)&lt;HOJE(),"VENCIDO",SE(DATA.VALOR(I857)-HOJE()&lt;=30,"CRÍTICO (&lt;=30D)","REGULAR")))</f>
      </c>
      <c r="K857" s="25" t="s">
        <v>5581</v>
      </c>
      <c r="L857" s="25" t="s">
        <v>5582</v>
      </c>
      <c r="M857" s="25" t="s">
        <v>5583</v>
      </c>
      <c r="N857" s="25" t="s">
        <v>5584</v>
      </c>
    </row>
    <row r="858" ht="20" customHeight="1" spans="1:14" x14ac:dyDescent="0.25">
      <c r="A858" s="21" t="s">
        <v>5585</v>
      </c>
      <c r="B858" s="21" t="s">
        <v>1809</v>
      </c>
      <c r="C858" s="22" t="s">
        <v>5063</v>
      </c>
      <c r="D858" s="30">
        <v>175</v>
      </c>
      <c r="E858" s="31">
        <v>892.5</v>
      </c>
      <c r="F858" s="22" t="s">
        <v>5052</v>
      </c>
      <c r="G858" s="21" t="s">
        <v>3966</v>
      </c>
      <c r="H858" s="21" t="s">
        <v>5467</v>
      </c>
      <c r="I858" s="21" t="s">
        <v>1838</v>
      </c>
      <c r="J858" s="21">
        <f>SE(I858="","-",SE(DATA.VALOR(I858)&lt;HOJE(),"VENCIDO",SE(DATA.VALOR(I858)-HOJE()&lt;=30,"CRÍTICO (&lt;=30D)","REGULAR")))</f>
      </c>
      <c r="K858" s="22" t="s">
        <v>5581</v>
      </c>
      <c r="L858" s="22" t="s">
        <v>5582</v>
      </c>
      <c r="M858" s="22" t="s">
        <v>5583</v>
      </c>
      <c r="N858" s="22" t="s">
        <v>5584</v>
      </c>
    </row>
    <row r="859" ht="20" customHeight="1" spans="1:14" s="23" customFormat="1" x14ac:dyDescent="0.25">
      <c r="A859" s="24" t="s">
        <v>5586</v>
      </c>
      <c r="B859" s="24" t="s">
        <v>1809</v>
      </c>
      <c r="C859" s="25" t="s">
        <v>4305</v>
      </c>
      <c r="D859" s="32">
        <v>101</v>
      </c>
      <c r="E859" s="33">
        <v>343.4</v>
      </c>
      <c r="F859" s="25" t="s">
        <v>5052</v>
      </c>
      <c r="G859" s="24" t="s">
        <v>3966</v>
      </c>
      <c r="H859" s="24" t="s">
        <v>5467</v>
      </c>
      <c r="I859" s="24" t="s">
        <v>1838</v>
      </c>
      <c r="J859" s="24">
        <f>SE(I859="","-",SE(DATA.VALOR(I859)&lt;HOJE(),"VENCIDO",SE(DATA.VALOR(I859)-HOJE()&lt;=30,"CRÍTICO (&lt;=30D)","REGULAR")))</f>
      </c>
      <c r="K859" s="25" t="s">
        <v>5581</v>
      </c>
      <c r="L859" s="25" t="s">
        <v>5582</v>
      </c>
      <c r="M859" s="25" t="s">
        <v>5583</v>
      </c>
      <c r="N859" s="25" t="s">
        <v>5584</v>
      </c>
    </row>
    <row r="860" ht="20" customHeight="1" spans="1:14" x14ac:dyDescent="0.25">
      <c r="A860" s="21" t="s">
        <v>5587</v>
      </c>
      <c r="B860" s="21" t="s">
        <v>1809</v>
      </c>
      <c r="C860" s="22" t="s">
        <v>4266</v>
      </c>
      <c r="D860" s="30">
        <v>108</v>
      </c>
      <c r="E860" s="31">
        <v>345.6</v>
      </c>
      <c r="F860" s="22" t="s">
        <v>5052</v>
      </c>
      <c r="G860" s="21" t="s">
        <v>3966</v>
      </c>
      <c r="H860" s="21" t="s">
        <v>5467</v>
      </c>
      <c r="I860" s="21" t="s">
        <v>1838</v>
      </c>
      <c r="J860" s="21">
        <f>SE(I860="","-",SE(DATA.VALOR(I860)&lt;HOJE(),"VENCIDO",SE(DATA.VALOR(I860)-HOJE()&lt;=30,"CRÍTICO (&lt;=30D)","REGULAR")))</f>
      </c>
      <c r="K860" s="22" t="s">
        <v>5581</v>
      </c>
      <c r="L860" s="22" t="s">
        <v>5582</v>
      </c>
      <c r="M860" s="22" t="s">
        <v>5583</v>
      </c>
      <c r="N860" s="22" t="s">
        <v>5584</v>
      </c>
    </row>
    <row r="861" ht="20" customHeight="1" spans="1:14" s="23" customFormat="1" x14ac:dyDescent="0.25">
      <c r="A861" s="24" t="s">
        <v>5588</v>
      </c>
      <c r="B861" s="24" t="s">
        <v>1809</v>
      </c>
      <c r="C861" s="25" t="s">
        <v>4362</v>
      </c>
      <c r="D861" s="32">
        <v>259</v>
      </c>
      <c r="E861" s="33">
        <v>1554</v>
      </c>
      <c r="F861" s="25" t="s">
        <v>5052</v>
      </c>
      <c r="G861" s="24" t="s">
        <v>3966</v>
      </c>
      <c r="H861" s="24" t="s">
        <v>5467</v>
      </c>
      <c r="I861" s="24" t="s">
        <v>1838</v>
      </c>
      <c r="J861" s="24">
        <f>SE(I861="","-",SE(DATA.VALOR(I861)&lt;HOJE(),"VENCIDO",SE(DATA.VALOR(I861)-HOJE()&lt;=30,"CRÍTICO (&lt;=30D)","REGULAR")))</f>
      </c>
      <c r="K861" s="25" t="s">
        <v>5581</v>
      </c>
      <c r="L861" s="25" t="s">
        <v>5582</v>
      </c>
      <c r="M861" s="25" t="s">
        <v>5583</v>
      </c>
      <c r="N861" s="25" t="s">
        <v>5584</v>
      </c>
    </row>
    <row r="862" ht="20" customHeight="1" spans="1:14" x14ac:dyDescent="0.25">
      <c r="A862" s="21" t="s">
        <v>5589</v>
      </c>
      <c r="B862" s="21" t="s">
        <v>1809</v>
      </c>
      <c r="C862" s="22" t="s">
        <v>3890</v>
      </c>
      <c r="D862" s="30">
        <v>81</v>
      </c>
      <c r="E862" s="31">
        <v>405</v>
      </c>
      <c r="F862" s="22" t="s">
        <v>5052</v>
      </c>
      <c r="G862" s="21" t="s">
        <v>3966</v>
      </c>
      <c r="H862" s="21" t="s">
        <v>5467</v>
      </c>
      <c r="I862" s="21" t="s">
        <v>1838</v>
      </c>
      <c r="J862" s="21">
        <f>SE(I862="","-",SE(DATA.VALOR(I862)&lt;HOJE(),"VENCIDO",SE(DATA.VALOR(I862)-HOJE()&lt;=30,"CRÍTICO (&lt;=30D)","REGULAR")))</f>
      </c>
      <c r="K862" s="22" t="s">
        <v>5581</v>
      </c>
      <c r="L862" s="22" t="s">
        <v>5582</v>
      </c>
      <c r="M862" s="22" t="s">
        <v>5583</v>
      </c>
      <c r="N862" s="22" t="s">
        <v>5584</v>
      </c>
    </row>
    <row r="863" ht="20" customHeight="1" spans="1:14" s="23" customFormat="1" x14ac:dyDescent="0.25">
      <c r="A863" s="24" t="s">
        <v>5590</v>
      </c>
      <c r="B863" s="24" t="s">
        <v>1809</v>
      </c>
      <c r="C863" s="25" t="s">
        <v>3883</v>
      </c>
      <c r="D863" s="32">
        <v>35</v>
      </c>
      <c r="E863" s="33">
        <v>210</v>
      </c>
      <c r="F863" s="25" t="s">
        <v>5052</v>
      </c>
      <c r="G863" s="24" t="s">
        <v>3966</v>
      </c>
      <c r="H863" s="24" t="s">
        <v>5467</v>
      </c>
      <c r="I863" s="24" t="s">
        <v>1838</v>
      </c>
      <c r="J863" s="24">
        <f>SE(I863="","-",SE(DATA.VALOR(I863)&lt;HOJE(),"VENCIDO",SE(DATA.VALOR(I863)-HOJE()&lt;=30,"CRÍTICO (&lt;=30D)","REGULAR")))</f>
      </c>
      <c r="K863" s="25" t="s">
        <v>5581</v>
      </c>
      <c r="L863" s="25" t="s">
        <v>5582</v>
      </c>
      <c r="M863" s="25" t="s">
        <v>5583</v>
      </c>
      <c r="N863" s="25" t="s">
        <v>5584</v>
      </c>
    </row>
    <row r="864" ht="20" customHeight="1" spans="1:14" x14ac:dyDescent="0.25">
      <c r="A864" s="21" t="s">
        <v>5591</v>
      </c>
      <c r="B864" s="21" t="s">
        <v>1809</v>
      </c>
      <c r="C864" s="22" t="s">
        <v>4274</v>
      </c>
      <c r="D864" s="30">
        <v>48</v>
      </c>
      <c r="E864" s="31">
        <v>201.6</v>
      </c>
      <c r="F864" s="22" t="s">
        <v>5052</v>
      </c>
      <c r="G864" s="21" t="s">
        <v>3966</v>
      </c>
      <c r="H864" s="21" t="s">
        <v>5467</v>
      </c>
      <c r="I864" s="21" t="s">
        <v>1838</v>
      </c>
      <c r="J864" s="21">
        <f>SE(I864="","-",SE(DATA.VALOR(I864)&lt;HOJE(),"VENCIDO",SE(DATA.VALOR(I864)-HOJE()&lt;=30,"CRÍTICO (&lt;=30D)","REGULAR")))</f>
      </c>
      <c r="K864" s="22" t="s">
        <v>5581</v>
      </c>
      <c r="L864" s="22" t="s">
        <v>5582</v>
      </c>
      <c r="M864" s="22" t="s">
        <v>63</v>
      </c>
      <c r="N864" s="22" t="s">
        <v>5584</v>
      </c>
    </row>
    <row r="865" ht="20" customHeight="1" spans="1:14" s="23" customFormat="1" x14ac:dyDescent="0.25">
      <c r="A865" s="24" t="s">
        <v>5592</v>
      </c>
      <c r="B865" s="24" t="s">
        <v>1809</v>
      </c>
      <c r="C865" s="25" t="s">
        <v>2940</v>
      </c>
      <c r="D865" s="32">
        <v>60</v>
      </c>
      <c r="E865" s="33">
        <v>180</v>
      </c>
      <c r="F865" s="25" t="s">
        <v>2717</v>
      </c>
      <c r="G865" s="24" t="s">
        <v>5593</v>
      </c>
      <c r="H865" s="24" t="s">
        <v>5467</v>
      </c>
      <c r="I865" s="24" t="s">
        <v>1838</v>
      </c>
      <c r="J865" s="24">
        <f>SE(I865="","-",SE(DATA.VALOR(I865)&lt;HOJE(),"VENCIDO",SE(DATA.VALOR(I865)-HOJE()&lt;=30,"CRÍTICO (&lt;=30D)","REGULAR")))</f>
      </c>
      <c r="K865" s="25" t="s">
        <v>5594</v>
      </c>
      <c r="L865" s="25" t="s">
        <v>5595</v>
      </c>
      <c r="M865" s="25" t="s">
        <v>5596</v>
      </c>
      <c r="N865" s="25" t="s">
        <v>5597</v>
      </c>
    </row>
    <row r="866" ht="20" customHeight="1" spans="1:14" x14ac:dyDescent="0.25">
      <c r="A866" s="21" t="s">
        <v>5598</v>
      </c>
      <c r="B866" s="21" t="s">
        <v>1809</v>
      </c>
      <c r="C866" s="22" t="s">
        <v>5063</v>
      </c>
      <c r="D866" s="30">
        <v>80</v>
      </c>
      <c r="E866" s="31">
        <v>408</v>
      </c>
      <c r="F866" s="22" t="s">
        <v>2717</v>
      </c>
      <c r="G866" s="21" t="s">
        <v>5593</v>
      </c>
      <c r="H866" s="21" t="s">
        <v>5467</v>
      </c>
      <c r="I866" s="21" t="s">
        <v>1838</v>
      </c>
      <c r="J866" s="21">
        <f>SE(I866="","-",SE(DATA.VALOR(I866)&lt;HOJE(),"VENCIDO",SE(DATA.VALOR(I866)-HOJE()&lt;=30,"CRÍTICO (&lt;=30D)","REGULAR")))</f>
      </c>
      <c r="K866" s="22" t="s">
        <v>5594</v>
      </c>
      <c r="L866" s="22" t="s">
        <v>5595</v>
      </c>
      <c r="M866" s="22" t="s">
        <v>5596</v>
      </c>
      <c r="N866" s="22" t="s">
        <v>5597</v>
      </c>
    </row>
    <row r="867" ht="20" customHeight="1" spans="1:14" s="23" customFormat="1" x14ac:dyDescent="0.25">
      <c r="A867" s="24" t="s">
        <v>5599</v>
      </c>
      <c r="B867" s="24" t="s">
        <v>1809</v>
      </c>
      <c r="C867" s="25" t="s">
        <v>3883</v>
      </c>
      <c r="D867" s="32">
        <v>35</v>
      </c>
      <c r="E867" s="33">
        <v>210</v>
      </c>
      <c r="F867" s="25" t="s">
        <v>2717</v>
      </c>
      <c r="G867" s="24" t="s">
        <v>5593</v>
      </c>
      <c r="H867" s="24" t="s">
        <v>5467</v>
      </c>
      <c r="I867" s="24" t="s">
        <v>1838</v>
      </c>
      <c r="J867" s="24">
        <f>SE(I867="","-",SE(DATA.VALOR(I867)&lt;HOJE(),"VENCIDO",SE(DATA.VALOR(I867)-HOJE()&lt;=30,"CRÍTICO (&lt;=30D)","REGULAR")))</f>
      </c>
      <c r="K867" s="25" t="s">
        <v>5594</v>
      </c>
      <c r="L867" s="25" t="s">
        <v>5595</v>
      </c>
      <c r="M867" s="25" t="s">
        <v>5596</v>
      </c>
      <c r="N867" s="25" t="s">
        <v>5597</v>
      </c>
    </row>
    <row r="868" ht="20" customHeight="1" spans="1:14" x14ac:dyDescent="0.25">
      <c r="A868" s="21" t="s">
        <v>5600</v>
      </c>
      <c r="B868" s="21" t="s">
        <v>1809</v>
      </c>
      <c r="C868" s="22" t="s">
        <v>4274</v>
      </c>
      <c r="D868" s="30">
        <v>48</v>
      </c>
      <c r="E868" s="31">
        <v>201.6</v>
      </c>
      <c r="F868" s="22" t="s">
        <v>2717</v>
      </c>
      <c r="G868" s="21" t="s">
        <v>5593</v>
      </c>
      <c r="H868" s="21" t="s">
        <v>5467</v>
      </c>
      <c r="I868" s="21" t="s">
        <v>1838</v>
      </c>
      <c r="J868" s="21">
        <f>SE(I868="","-",SE(DATA.VALOR(I868)&lt;HOJE(),"VENCIDO",SE(DATA.VALOR(I868)-HOJE()&lt;=30,"CRÍTICO (&lt;=30D)","REGULAR")))</f>
      </c>
      <c r="K868" s="22" t="s">
        <v>5594</v>
      </c>
      <c r="L868" s="22" t="s">
        <v>5595</v>
      </c>
      <c r="M868" s="22" t="s">
        <v>5596</v>
      </c>
      <c r="N868" s="22" t="s">
        <v>5597</v>
      </c>
    </row>
    <row r="869" ht="20" customHeight="1" spans="1:14" s="23" customFormat="1" x14ac:dyDescent="0.25">
      <c r="A869" s="24" t="s">
        <v>5601</v>
      </c>
      <c r="B869" s="24" t="s">
        <v>1809</v>
      </c>
      <c r="C869" s="25" t="s">
        <v>4266</v>
      </c>
      <c r="D869" s="32">
        <v>235</v>
      </c>
      <c r="E869" s="33">
        <v>752</v>
      </c>
      <c r="F869" s="25" t="s">
        <v>2717</v>
      </c>
      <c r="G869" s="24" t="s">
        <v>5593</v>
      </c>
      <c r="H869" s="24" t="s">
        <v>5467</v>
      </c>
      <c r="I869" s="24" t="s">
        <v>1838</v>
      </c>
      <c r="J869" s="24">
        <f>SE(I869="","-",SE(DATA.VALOR(I869)&lt;HOJE(),"VENCIDO",SE(DATA.VALOR(I869)-HOJE()&lt;=30,"CRÍTICO (&lt;=30D)","REGULAR")))</f>
      </c>
      <c r="K869" s="25" t="s">
        <v>5594</v>
      </c>
      <c r="L869" s="25" t="s">
        <v>5595</v>
      </c>
      <c r="M869" s="25" t="s">
        <v>5596</v>
      </c>
      <c r="N869" s="25" t="s">
        <v>5597</v>
      </c>
    </row>
    <row r="870" ht="20" customHeight="1" spans="1:14" x14ac:dyDescent="0.25">
      <c r="A870" s="21" t="s">
        <v>5602</v>
      </c>
      <c r="B870" s="21" t="s">
        <v>1809</v>
      </c>
      <c r="C870" s="22" t="s">
        <v>4362</v>
      </c>
      <c r="D870" s="30">
        <v>295</v>
      </c>
      <c r="E870" s="31">
        <v>1770</v>
      </c>
      <c r="F870" s="22" t="s">
        <v>2717</v>
      </c>
      <c r="G870" s="21" t="s">
        <v>5593</v>
      </c>
      <c r="H870" s="21" t="s">
        <v>5467</v>
      </c>
      <c r="I870" s="21" t="s">
        <v>2937</v>
      </c>
      <c r="J870" s="21">
        <f>SE(I870="","-",SE(DATA.VALOR(I870)&lt;HOJE(),"VENCIDO",SE(DATA.VALOR(I870)-HOJE()&lt;=30,"CRÍTICO (&lt;=30D)","REGULAR")))</f>
      </c>
      <c r="K870" s="22" t="s">
        <v>5594</v>
      </c>
      <c r="L870" s="22" t="s">
        <v>5595</v>
      </c>
      <c r="M870" s="22" t="s">
        <v>5596</v>
      </c>
      <c r="N870" s="22" t="s">
        <v>5597</v>
      </c>
    </row>
    <row r="871" ht="20" customHeight="1" spans="1:14" s="23" customFormat="1" x14ac:dyDescent="0.25">
      <c r="A871" s="24" t="s">
        <v>5603</v>
      </c>
      <c r="B871" s="24" t="s">
        <v>1823</v>
      </c>
      <c r="C871" s="25" t="s">
        <v>5604</v>
      </c>
      <c r="D871" s="32">
        <v>570</v>
      </c>
      <c r="E871" s="33">
        <v>1014.6</v>
      </c>
      <c r="F871" s="25" t="s">
        <v>5605</v>
      </c>
      <c r="G871" s="24" t="s">
        <v>5606</v>
      </c>
      <c r="H871" s="24" t="s">
        <v>5607</v>
      </c>
      <c r="I871" s="24" t="s">
        <v>3279</v>
      </c>
      <c r="J871" s="24">
        <f>SE(I871="","-",SE(DATA.VALOR(I871)&lt;HOJE(),"VENCIDO",SE(DATA.VALOR(I871)-HOJE()&lt;=30,"CRÍTICO (&lt;=30D)","REGULAR")))</f>
      </c>
      <c r="K871" s="25" t="s">
        <v>5608</v>
      </c>
      <c r="L871" s="25" t="s">
        <v>5609</v>
      </c>
      <c r="M871" s="25" t="s">
        <v>5610</v>
      </c>
      <c r="N871" s="25" t="s">
        <v>5611</v>
      </c>
    </row>
    <row r="872" ht="20" customHeight="1" spans="1:14" x14ac:dyDescent="0.25">
      <c r="A872" s="21" t="s">
        <v>5612</v>
      </c>
      <c r="B872" s="21" t="s">
        <v>1828</v>
      </c>
      <c r="C872" s="22" t="s">
        <v>4305</v>
      </c>
      <c r="D872" s="30">
        <v>120</v>
      </c>
      <c r="E872" s="31">
        <v>408</v>
      </c>
      <c r="F872" s="22" t="s">
        <v>5252</v>
      </c>
      <c r="G872" s="21" t="s">
        <v>4197</v>
      </c>
      <c r="H872" s="21" t="s">
        <v>5493</v>
      </c>
      <c r="I872" s="21" t="s">
        <v>1996</v>
      </c>
      <c r="J872" s="21">
        <f>SE(I872="","-",SE(DATA.VALOR(I872)&lt;HOJE(),"VENCIDO",SE(DATA.VALOR(I872)-HOJE()&lt;=30,"CRÍTICO (&lt;=30D)","REGULAR")))</f>
      </c>
      <c r="K872" s="22" t="s">
        <v>5613</v>
      </c>
      <c r="L872" s="22" t="s">
        <v>5614</v>
      </c>
      <c r="M872" s="22" t="s">
        <v>5615</v>
      </c>
      <c r="N872" s="22" t="s">
        <v>5616</v>
      </c>
    </row>
    <row r="873" ht="20" customHeight="1" spans="1:14" s="23" customFormat="1" x14ac:dyDescent="0.25">
      <c r="A873" s="24" t="s">
        <v>5617</v>
      </c>
      <c r="B873" s="24" t="s">
        <v>1828</v>
      </c>
      <c r="C873" s="25" t="s">
        <v>4327</v>
      </c>
      <c r="D873" s="32">
        <v>42</v>
      </c>
      <c r="E873" s="33">
        <v>229.32</v>
      </c>
      <c r="F873" s="25" t="s">
        <v>5252</v>
      </c>
      <c r="G873" s="24" t="s">
        <v>4197</v>
      </c>
      <c r="H873" s="24" t="s">
        <v>5618</v>
      </c>
      <c r="I873" s="24" t="s">
        <v>1996</v>
      </c>
      <c r="J873" s="24">
        <f>SE(I873="","-",SE(DATA.VALOR(I873)&lt;HOJE(),"VENCIDO",SE(DATA.VALOR(I873)-HOJE()&lt;=30,"CRÍTICO (&lt;=30D)","REGULAR")))</f>
      </c>
      <c r="K873" s="25" t="s">
        <v>5613</v>
      </c>
      <c r="L873" s="25" t="s">
        <v>5614</v>
      </c>
      <c r="M873" s="25" t="s">
        <v>5615</v>
      </c>
      <c r="N873" s="25" t="s">
        <v>5616</v>
      </c>
    </row>
    <row r="874" ht="20" customHeight="1" spans="1:14" x14ac:dyDescent="0.25">
      <c r="A874" s="21" t="s">
        <v>5619</v>
      </c>
      <c r="B874" s="21" t="s">
        <v>1828</v>
      </c>
      <c r="C874" s="22" t="s">
        <v>2855</v>
      </c>
      <c r="D874" s="30">
        <v>27</v>
      </c>
      <c r="E874" s="31">
        <v>118.8</v>
      </c>
      <c r="F874" s="22" t="s">
        <v>5252</v>
      </c>
      <c r="G874" s="21" t="s">
        <v>4197</v>
      </c>
      <c r="H874" s="21" t="s">
        <v>5493</v>
      </c>
      <c r="I874" s="21" t="s">
        <v>1996</v>
      </c>
      <c r="J874" s="21">
        <f>SE(I874="","-",SE(DATA.VALOR(I874)&lt;HOJE(),"VENCIDO",SE(DATA.VALOR(I874)-HOJE()&lt;=30,"CRÍTICO (&lt;=30D)","REGULAR")))</f>
      </c>
      <c r="K874" s="22" t="s">
        <v>5613</v>
      </c>
      <c r="L874" s="22" t="s">
        <v>5614</v>
      </c>
      <c r="M874" s="22" t="s">
        <v>5615</v>
      </c>
      <c r="N874" s="22" t="s">
        <v>5616</v>
      </c>
    </row>
    <row r="875" ht="20" customHeight="1" spans="1:14" s="23" customFormat="1" x14ac:dyDescent="0.25">
      <c r="A875" s="24" t="s">
        <v>5620</v>
      </c>
      <c r="B875" s="24" t="s">
        <v>1828</v>
      </c>
      <c r="C875" s="25" t="s">
        <v>4274</v>
      </c>
      <c r="D875" s="32">
        <v>131</v>
      </c>
      <c r="E875" s="33">
        <v>550.2</v>
      </c>
      <c r="F875" s="25" t="s">
        <v>5252</v>
      </c>
      <c r="G875" s="24" t="s">
        <v>4197</v>
      </c>
      <c r="H875" s="24" t="s">
        <v>5621</v>
      </c>
      <c r="I875" s="24" t="s">
        <v>1996</v>
      </c>
      <c r="J875" s="24">
        <f>SE(I875="","-",SE(DATA.VALOR(I875)&lt;HOJE(),"VENCIDO",SE(DATA.VALOR(I875)-HOJE()&lt;=30,"CRÍTICO (&lt;=30D)","REGULAR")))</f>
      </c>
      <c r="K875" s="25" t="s">
        <v>5613</v>
      </c>
      <c r="L875" s="25" t="s">
        <v>5614</v>
      </c>
      <c r="M875" s="25" t="s">
        <v>5615</v>
      </c>
      <c r="N875" s="25" t="s">
        <v>5616</v>
      </c>
    </row>
    <row r="876" ht="20" customHeight="1" spans="1:14" x14ac:dyDescent="0.25">
      <c r="A876" s="21" t="s">
        <v>5622</v>
      </c>
      <c r="B876" s="21" t="s">
        <v>1828</v>
      </c>
      <c r="C876" s="22" t="s">
        <v>2940</v>
      </c>
      <c r="D876" s="30">
        <v>65</v>
      </c>
      <c r="E876" s="31">
        <v>195</v>
      </c>
      <c r="F876" s="22" t="s">
        <v>5252</v>
      </c>
      <c r="G876" s="21" t="s">
        <v>4197</v>
      </c>
      <c r="H876" s="21" t="s">
        <v>5623</v>
      </c>
      <c r="I876" s="21" t="s">
        <v>1996</v>
      </c>
      <c r="J876" s="21">
        <f>SE(I876="","-",SE(DATA.VALOR(I876)&lt;HOJE(),"VENCIDO",SE(DATA.VALOR(I876)-HOJE()&lt;=30,"CRÍTICO (&lt;=30D)","REGULAR")))</f>
      </c>
      <c r="K876" s="22" t="s">
        <v>5613</v>
      </c>
      <c r="L876" s="22" t="s">
        <v>5614</v>
      </c>
      <c r="M876" s="22" t="s">
        <v>5615</v>
      </c>
      <c r="N876" s="22" t="s">
        <v>5616</v>
      </c>
    </row>
    <row r="877" ht="20" customHeight="1" spans="1:14" s="23" customFormat="1" x14ac:dyDescent="0.25">
      <c r="A877" s="24" t="s">
        <v>5624</v>
      </c>
      <c r="B877" s="24" t="s">
        <v>1828</v>
      </c>
      <c r="C877" s="25" t="s">
        <v>4266</v>
      </c>
      <c r="D877" s="32">
        <v>101</v>
      </c>
      <c r="E877" s="33">
        <v>323.2</v>
      </c>
      <c r="F877" s="25" t="s">
        <v>5252</v>
      </c>
      <c r="G877" s="24" t="s">
        <v>4197</v>
      </c>
      <c r="H877" s="24" t="s">
        <v>5623</v>
      </c>
      <c r="I877" s="24" t="s">
        <v>1996</v>
      </c>
      <c r="J877" s="24">
        <f>SE(I877="","-",SE(DATA.VALOR(I877)&lt;HOJE(),"VENCIDO",SE(DATA.VALOR(I877)-HOJE()&lt;=30,"CRÍTICO (&lt;=30D)","REGULAR")))</f>
      </c>
      <c r="K877" s="25" t="s">
        <v>5613</v>
      </c>
      <c r="L877" s="25" t="s">
        <v>5614</v>
      </c>
      <c r="M877" s="25" t="s">
        <v>5615</v>
      </c>
      <c r="N877" s="25" t="s">
        <v>5616</v>
      </c>
    </row>
    <row r="878" ht="20" customHeight="1" spans="1:14" x14ac:dyDescent="0.25">
      <c r="A878" s="21" t="s">
        <v>5625</v>
      </c>
      <c r="B878" s="21" t="s">
        <v>2550</v>
      </c>
      <c r="C878" s="22" t="s">
        <v>63</v>
      </c>
      <c r="D878" s="30">
        <v>0</v>
      </c>
      <c r="E878" s="31">
        <v>9540</v>
      </c>
      <c r="F878" s="22" t="s">
        <v>2552</v>
      </c>
      <c r="G878" s="21" t="s">
        <v>2553</v>
      </c>
      <c r="H878" s="21" t="s">
        <v>2996</v>
      </c>
      <c r="I878" s="21" t="s">
        <v>63</v>
      </c>
      <c r="J878" s="21" t="s">
        <v>20</v>
      </c>
      <c r="K878" s="22" t="s">
        <v>2555</v>
      </c>
      <c r="L878" s="22" t="s">
        <v>2556</v>
      </c>
      <c r="M878" s="22" t="s">
        <v>2557</v>
      </c>
      <c r="N878" s="22" t="s">
        <v>5626</v>
      </c>
    </row>
    <row r="879" ht="20" customHeight="1" spans="1:14" s="23" customFormat="1" x14ac:dyDescent="0.25">
      <c r="A879" s="24" t="s">
        <v>5627</v>
      </c>
      <c r="B879" s="24" t="s">
        <v>1838</v>
      </c>
      <c r="C879" s="25" t="s">
        <v>5628</v>
      </c>
      <c r="D879" s="32">
        <v>400</v>
      </c>
      <c r="E879" s="33">
        <v>1112</v>
      </c>
      <c r="F879" s="25" t="s">
        <v>2633</v>
      </c>
      <c r="G879" s="24" t="s">
        <v>5629</v>
      </c>
      <c r="H879" s="24" t="s">
        <v>5630</v>
      </c>
      <c r="I879" s="24" t="s">
        <v>5631</v>
      </c>
      <c r="J879" s="24">
        <f>SE(I879="","-",SE(DATA.VALOR(I879)&lt;HOJE(),"VENCIDO",SE(DATA.VALOR(I879)-HOJE()&lt;=30,"CRÍTICO (&lt;=30D)","REGULAR")))</f>
      </c>
      <c r="K879" s="25" t="s">
        <v>5632</v>
      </c>
      <c r="L879" s="25" t="s">
        <v>5633</v>
      </c>
      <c r="M879" s="25" t="s">
        <v>5634</v>
      </c>
      <c r="N879" s="25" t="s">
        <v>5635</v>
      </c>
    </row>
    <row r="880" ht="20" customHeight="1" spans="1:14" x14ac:dyDescent="0.25">
      <c r="A880" s="21" t="s">
        <v>5636</v>
      </c>
      <c r="B880" s="21" t="s">
        <v>2764</v>
      </c>
      <c r="C880" s="22" t="s">
        <v>63</v>
      </c>
      <c r="D880" s="30">
        <v>175</v>
      </c>
      <c r="E880" s="31">
        <v>656.25</v>
      </c>
      <c r="F880" s="22" t="s">
        <v>2856</v>
      </c>
      <c r="G880" s="21" t="s">
        <v>2857</v>
      </c>
      <c r="H880" s="21" t="s">
        <v>2702</v>
      </c>
      <c r="I880" s="21" t="s">
        <v>2703</v>
      </c>
      <c r="J880" s="21">
        <f>SE(I880="","-",SE(DATA.VALOR(I880)&lt;HOJE(),"VENCIDO",SE(DATA.VALOR(I880)-HOJE()&lt;=30,"CRÍTICO (&lt;=30D)","REGULAR")))</f>
      </c>
      <c r="K880" s="22" t="s">
        <v>2859</v>
      </c>
      <c r="L880" s="22" t="s">
        <v>2860</v>
      </c>
      <c r="M880" s="22" t="s">
        <v>2861</v>
      </c>
      <c r="N880" s="22" t="s">
        <v>5637</v>
      </c>
    </row>
    <row r="881" ht="20" customHeight="1" spans="1:14" s="23" customFormat="1" x14ac:dyDescent="0.25">
      <c r="A881" s="24" t="s">
        <v>5638</v>
      </c>
      <c r="B881" s="24" t="s">
        <v>2764</v>
      </c>
      <c r="C881" s="25" t="s">
        <v>2935</v>
      </c>
      <c r="D881" s="32">
        <v>50</v>
      </c>
      <c r="E881" s="33">
        <v>270</v>
      </c>
      <c r="F881" s="25" t="s">
        <v>2856</v>
      </c>
      <c r="G881" s="24" t="s">
        <v>2857</v>
      </c>
      <c r="H881" s="24" t="s">
        <v>2996</v>
      </c>
      <c r="I881" s="24" t="s">
        <v>63</v>
      </c>
      <c r="J881" s="24" t="s">
        <v>20</v>
      </c>
      <c r="K881" s="25" t="s">
        <v>2859</v>
      </c>
      <c r="L881" s="25" t="s">
        <v>2860</v>
      </c>
      <c r="M881" s="25" t="s">
        <v>63</v>
      </c>
      <c r="N881" s="25" t="s">
        <v>5637</v>
      </c>
    </row>
    <row r="882" ht="20" customHeight="1" spans="1:14" x14ac:dyDescent="0.25">
      <c r="A882" s="21" t="s">
        <v>5639</v>
      </c>
      <c r="B882" s="21" t="s">
        <v>1700</v>
      </c>
      <c r="C882" s="22" t="s">
        <v>5640</v>
      </c>
      <c r="D882" s="30">
        <v>1181</v>
      </c>
      <c r="E882" s="31">
        <v>31272.88</v>
      </c>
      <c r="F882" s="22" t="s">
        <v>2607</v>
      </c>
      <c r="G882" s="21" t="s">
        <v>5641</v>
      </c>
      <c r="H882" s="21" t="s">
        <v>5642</v>
      </c>
      <c r="I882" s="21" t="s">
        <v>2430</v>
      </c>
      <c r="J882" s="21">
        <f>SE(I882="","-",SE(DATA.VALOR(I882)&lt;HOJE(),"VENCIDO",SE(DATA.VALOR(I882)-HOJE()&lt;=30,"CRÍTICO (&lt;=30D)","REGULAR")))</f>
      </c>
      <c r="K882" s="22" t="s">
        <v>5643</v>
      </c>
      <c r="L882" s="22" t="s">
        <v>5644</v>
      </c>
      <c r="M882" s="22" t="s">
        <v>5645</v>
      </c>
      <c r="N882" s="22" t="s">
        <v>5646</v>
      </c>
    </row>
    <row r="883" ht="20" customHeight="1" spans="1:14" s="23" customFormat="1" x14ac:dyDescent="0.25">
      <c r="A883" s="24" t="s">
        <v>5647</v>
      </c>
      <c r="B883" s="24" t="s">
        <v>1817</v>
      </c>
      <c r="C883" s="25" t="s">
        <v>5648</v>
      </c>
      <c r="D883" s="32">
        <v>140</v>
      </c>
      <c r="E883" s="33">
        <v>1330</v>
      </c>
      <c r="F883" s="25" t="s">
        <v>4750</v>
      </c>
      <c r="G883" s="24" t="s">
        <v>5649</v>
      </c>
      <c r="H883" s="24" t="s">
        <v>5650</v>
      </c>
      <c r="I883" s="24" t="s">
        <v>5651</v>
      </c>
      <c r="J883" s="24">
        <f>SE(I883="","-",SE(DATA.VALOR(I883)&lt;HOJE(),"VENCIDO",SE(DATA.VALOR(I883)-HOJE()&lt;=30,"CRÍTICO (&lt;=30D)","REGULAR")))</f>
      </c>
      <c r="K883" s="25" t="s">
        <v>5652</v>
      </c>
      <c r="L883" s="25" t="s">
        <v>5653</v>
      </c>
      <c r="M883" s="25" t="s">
        <v>5654</v>
      </c>
      <c r="N883" s="25" t="s">
        <v>5655</v>
      </c>
    </row>
    <row r="884" ht="20" customHeight="1" spans="1:14" x14ac:dyDescent="0.25">
      <c r="A884" s="21" t="s">
        <v>5656</v>
      </c>
      <c r="B884" s="21" t="s">
        <v>1817</v>
      </c>
      <c r="C884" s="22" t="s">
        <v>5657</v>
      </c>
      <c r="D884" s="30">
        <v>100</v>
      </c>
      <c r="E884" s="31">
        <v>1230</v>
      </c>
      <c r="F884" s="22" t="s">
        <v>4750</v>
      </c>
      <c r="G884" s="21" t="s">
        <v>5649</v>
      </c>
      <c r="H884" s="21" t="s">
        <v>5658</v>
      </c>
      <c r="I884" s="21" t="s">
        <v>5659</v>
      </c>
      <c r="J884" s="21">
        <f>SE(I884="","-",SE(DATA.VALOR(I884)&lt;HOJE(),"VENCIDO",SE(DATA.VALOR(I884)-HOJE()&lt;=30,"CRÍTICO (&lt;=30D)","REGULAR")))</f>
      </c>
      <c r="K884" s="22" t="s">
        <v>5652</v>
      </c>
      <c r="L884" s="22" t="s">
        <v>5653</v>
      </c>
      <c r="M884" s="22" t="s">
        <v>5654</v>
      </c>
      <c r="N884" s="22" t="s">
        <v>5660</v>
      </c>
    </row>
    <row r="885" ht="20" customHeight="1" spans="1:14" s="23" customFormat="1" x14ac:dyDescent="0.25">
      <c r="A885" s="24" t="s">
        <v>5661</v>
      </c>
      <c r="B885" s="24" t="s">
        <v>1817</v>
      </c>
      <c r="C885" s="25" t="s">
        <v>5662</v>
      </c>
      <c r="D885" s="32">
        <v>1000</v>
      </c>
      <c r="E885" s="33">
        <v>6800</v>
      </c>
      <c r="F885" s="25" t="s">
        <v>4750</v>
      </c>
      <c r="G885" s="24" t="s">
        <v>5649</v>
      </c>
      <c r="H885" s="24" t="s">
        <v>5663</v>
      </c>
      <c r="I885" s="24" t="s">
        <v>5664</v>
      </c>
      <c r="J885" s="24">
        <f>SE(I885="","-",SE(DATA.VALOR(I885)&lt;HOJE(),"VENCIDO",SE(DATA.VALOR(I885)-HOJE()&lt;=30,"CRÍTICO (&lt;=30D)","REGULAR")))</f>
      </c>
      <c r="K885" s="25" t="s">
        <v>5652</v>
      </c>
      <c r="L885" s="25" t="s">
        <v>5653</v>
      </c>
      <c r="M885" s="25" t="s">
        <v>5654</v>
      </c>
      <c r="N885" s="25" t="s">
        <v>5665</v>
      </c>
    </row>
    <row r="886" ht="20" customHeight="1" spans="1:14" x14ac:dyDescent="0.25">
      <c r="A886" s="21" t="s">
        <v>5666</v>
      </c>
      <c r="B886" s="21" t="s">
        <v>1859</v>
      </c>
      <c r="C886" s="22" t="s">
        <v>4708</v>
      </c>
      <c r="D886" s="30">
        <v>90</v>
      </c>
      <c r="E886" s="31">
        <v>3257.1</v>
      </c>
      <c r="F886" s="22" t="s">
        <v>4709</v>
      </c>
      <c r="G886" s="21" t="s">
        <v>5667</v>
      </c>
      <c r="H886" s="21" t="s">
        <v>5668</v>
      </c>
      <c r="I886" s="21" t="s">
        <v>5669</v>
      </c>
      <c r="J886" s="21">
        <f>SE(I886="","-",SE(DATA.VALOR(I886)&lt;HOJE(),"VENCIDO",SE(DATA.VALOR(I886)-HOJE()&lt;=30,"CRÍTICO (&lt;=30D)","REGULAR")))</f>
      </c>
      <c r="K886" s="22" t="s">
        <v>5670</v>
      </c>
      <c r="L886" s="22" t="s">
        <v>4713</v>
      </c>
      <c r="M886" s="22" t="s">
        <v>5671</v>
      </c>
      <c r="N886" s="22" t="s">
        <v>5672</v>
      </c>
    </row>
    <row r="887" ht="20" customHeight="1" spans="1:14" s="23" customFormat="1" x14ac:dyDescent="0.25">
      <c r="A887" s="24" t="s">
        <v>5673</v>
      </c>
      <c r="B887" s="24" t="s">
        <v>1859</v>
      </c>
      <c r="C887" s="25" t="s">
        <v>4717</v>
      </c>
      <c r="D887" s="32">
        <v>990</v>
      </c>
      <c r="E887" s="33">
        <v>5138.1</v>
      </c>
      <c r="F887" s="25" t="s">
        <v>4709</v>
      </c>
      <c r="G887" s="24" t="s">
        <v>5667</v>
      </c>
      <c r="H887" s="24" t="s">
        <v>5674</v>
      </c>
      <c r="I887" s="24" t="s">
        <v>5675</v>
      </c>
      <c r="J887" s="24">
        <f>SE(I887="","-",SE(DATA.VALOR(I887)&lt;HOJE(),"VENCIDO",SE(DATA.VALOR(I887)-HOJE()&lt;=30,"CRÍTICO (&lt;=30D)","REGULAR")))</f>
      </c>
      <c r="K887" s="25" t="s">
        <v>5670</v>
      </c>
      <c r="L887" s="25" t="s">
        <v>4713</v>
      </c>
      <c r="M887" s="25" t="s">
        <v>5671</v>
      </c>
      <c r="N887" s="25" t="s">
        <v>5676</v>
      </c>
    </row>
    <row r="888" ht="20" customHeight="1" spans="1:14" x14ac:dyDescent="0.25">
      <c r="A888" s="21" t="s">
        <v>5677</v>
      </c>
      <c r="B888" s="21" t="s">
        <v>1859</v>
      </c>
      <c r="C888" s="22" t="s">
        <v>4524</v>
      </c>
      <c r="D888" s="30">
        <v>150</v>
      </c>
      <c r="E888" s="31">
        <v>996</v>
      </c>
      <c r="F888" s="22" t="s">
        <v>2561</v>
      </c>
      <c r="G888" s="21" t="s">
        <v>5678</v>
      </c>
      <c r="H888" s="21" t="s">
        <v>5679</v>
      </c>
      <c r="I888" s="21" t="s">
        <v>2115</v>
      </c>
      <c r="J888" s="21">
        <f>SE(I888="","-",SE(DATA.VALOR(I888)&lt;HOJE(),"VENCIDO",SE(DATA.VALOR(I888)-HOJE()&lt;=30,"CRÍTICO (&lt;=30D)","REGULAR")))</f>
      </c>
      <c r="K888" s="22" t="s">
        <v>5680</v>
      </c>
      <c r="L888" s="22" t="s">
        <v>4520</v>
      </c>
      <c r="M888" s="22" t="s">
        <v>5681</v>
      </c>
      <c r="N888" s="22" t="s">
        <v>5682</v>
      </c>
    </row>
    <row r="889" ht="20" customHeight="1" spans="1:14" s="23" customFormat="1" x14ac:dyDescent="0.25">
      <c r="A889" s="24" t="s">
        <v>5683</v>
      </c>
      <c r="B889" s="24" t="s">
        <v>1859</v>
      </c>
      <c r="C889" s="25" t="s">
        <v>5604</v>
      </c>
      <c r="D889" s="32">
        <v>570</v>
      </c>
      <c r="E889" s="33">
        <v>1014.6</v>
      </c>
      <c r="F889" s="25" t="s">
        <v>5605</v>
      </c>
      <c r="G889" s="24" t="s">
        <v>5684</v>
      </c>
      <c r="H889" s="24" t="s">
        <v>5685</v>
      </c>
      <c r="I889" s="24" t="s">
        <v>1899</v>
      </c>
      <c r="J889" s="24">
        <f>SE(I889="","-",SE(DATA.VALOR(I889)&lt;HOJE(),"VENCIDO",SE(DATA.VALOR(I889)-HOJE()&lt;=30,"CRÍTICO (&lt;=30D)","REGULAR")))</f>
      </c>
      <c r="K889" s="25" t="s">
        <v>5686</v>
      </c>
      <c r="L889" s="25" t="s">
        <v>5687</v>
      </c>
      <c r="M889" s="25" t="s">
        <v>5688</v>
      </c>
      <c r="N889" s="25" t="s">
        <v>5689</v>
      </c>
    </row>
    <row r="890" ht="20" customHeight="1" spans="1:14" x14ac:dyDescent="0.25">
      <c r="A890" s="21" t="s">
        <v>5690</v>
      </c>
      <c r="B890" s="21" t="s">
        <v>1708</v>
      </c>
      <c r="C890" s="22" t="s">
        <v>4573</v>
      </c>
      <c r="D890" s="30">
        <v>50</v>
      </c>
      <c r="E890" s="31">
        <v>4823.5</v>
      </c>
      <c r="F890" s="22" t="s">
        <v>2898</v>
      </c>
      <c r="G890" s="21" t="s">
        <v>5691</v>
      </c>
      <c r="H890" s="21" t="s">
        <v>5692</v>
      </c>
      <c r="I890" s="21" t="s">
        <v>5693</v>
      </c>
      <c r="J890" s="21">
        <f>SE(I890="","-",SE(DATA.VALOR(I890)&lt;HOJE(),"VENCIDO",SE(DATA.VALOR(I890)-HOJE()&lt;=30,"CRÍTICO (&lt;=30D)","REGULAR")))</f>
      </c>
      <c r="K890" s="22" t="s">
        <v>5694</v>
      </c>
      <c r="L890" s="22" t="s">
        <v>4578</v>
      </c>
      <c r="M890" s="22" t="s">
        <v>5695</v>
      </c>
      <c r="N890" s="22" t="s">
        <v>5696</v>
      </c>
    </row>
    <row r="891" ht="20" customHeight="1" spans="1:14" s="23" customFormat="1" x14ac:dyDescent="0.25">
      <c r="A891" s="24" t="s">
        <v>5697</v>
      </c>
      <c r="B891" s="24" t="s">
        <v>1708</v>
      </c>
      <c r="C891" s="25" t="s">
        <v>4582</v>
      </c>
      <c r="D891" s="32">
        <v>75</v>
      </c>
      <c r="E891" s="33">
        <v>297.75</v>
      </c>
      <c r="F891" s="25" t="s">
        <v>2898</v>
      </c>
      <c r="G891" s="24" t="s">
        <v>5691</v>
      </c>
      <c r="H891" s="24" t="s">
        <v>5698</v>
      </c>
      <c r="I891" s="24" t="s">
        <v>5699</v>
      </c>
      <c r="J891" s="24">
        <f>SE(I891="","-",SE(DATA.VALOR(I891)&lt;HOJE(),"VENCIDO",SE(DATA.VALOR(I891)-HOJE()&lt;=30,"CRÍTICO (&lt;=30D)","REGULAR")))</f>
      </c>
      <c r="K891" s="25" t="s">
        <v>5694</v>
      </c>
      <c r="L891" s="25" t="s">
        <v>4578</v>
      </c>
      <c r="M891" s="25" t="s">
        <v>5695</v>
      </c>
      <c r="N891" s="25" t="s">
        <v>5700</v>
      </c>
    </row>
    <row r="892" ht="20" customHeight="1" spans="1:14" x14ac:dyDescent="0.25">
      <c r="A892" s="21" t="s">
        <v>5701</v>
      </c>
      <c r="B892" s="21" t="s">
        <v>1859</v>
      </c>
      <c r="C892" s="22" t="s">
        <v>4679</v>
      </c>
      <c r="D892" s="30">
        <v>1372</v>
      </c>
      <c r="E892" s="31">
        <v>46648</v>
      </c>
      <c r="F892" s="22" t="s">
        <v>4680</v>
      </c>
      <c r="G892" s="21" t="s">
        <v>5702</v>
      </c>
      <c r="H892" s="21" t="s">
        <v>5703</v>
      </c>
      <c r="I892" s="21" t="s">
        <v>2364</v>
      </c>
      <c r="J892" s="21">
        <f>SE(I892="","-",SE(DATA.VALOR(I892)&lt;HOJE(),"VENCIDO",SE(DATA.VALOR(I892)-HOJE()&lt;=30,"CRÍTICO (&lt;=30D)","REGULAR")))</f>
      </c>
      <c r="K892" s="22" t="s">
        <v>5704</v>
      </c>
      <c r="L892" s="22" t="s">
        <v>4792</v>
      </c>
      <c r="M892" s="22" t="s">
        <v>5705</v>
      </c>
      <c r="N892" s="22" t="s">
        <v>5706</v>
      </c>
    </row>
    <row r="893" ht="20" customHeight="1" spans="1:14" s="23" customFormat="1" x14ac:dyDescent="0.25">
      <c r="A893" s="24" t="s">
        <v>5707</v>
      </c>
      <c r="B893" s="24" t="s">
        <v>1859</v>
      </c>
      <c r="C893" s="25" t="s">
        <v>5708</v>
      </c>
      <c r="D893" s="32">
        <v>603</v>
      </c>
      <c r="E893" s="33">
        <v>16871.94</v>
      </c>
      <c r="F893" s="25" t="s">
        <v>4680</v>
      </c>
      <c r="G893" s="24" t="s">
        <v>5709</v>
      </c>
      <c r="H893" s="24" t="s">
        <v>5710</v>
      </c>
      <c r="I893" s="24" t="s">
        <v>2279</v>
      </c>
      <c r="J893" s="24">
        <f>SE(I893="","-",SE(DATA.VALOR(I893)&lt;HOJE(),"VENCIDO",SE(DATA.VALOR(I893)-HOJE()&lt;=30,"CRÍTICO (&lt;=30D)","REGULAR")))</f>
      </c>
      <c r="K893" s="25" t="s">
        <v>5711</v>
      </c>
      <c r="L893" s="25" t="s">
        <v>5712</v>
      </c>
      <c r="M893" s="25" t="s">
        <v>5713</v>
      </c>
      <c r="N893" s="25" t="s">
        <v>5714</v>
      </c>
    </row>
    <row r="894" ht="20" customHeight="1" spans="1:14" x14ac:dyDescent="0.25">
      <c r="A894" s="21" t="s">
        <v>5715</v>
      </c>
      <c r="B894" s="21" t="s">
        <v>1708</v>
      </c>
      <c r="C894" s="22" t="s">
        <v>5716</v>
      </c>
      <c r="D894" s="30">
        <v>1500</v>
      </c>
      <c r="E894" s="31">
        <v>4320</v>
      </c>
      <c r="F894" s="22" t="s">
        <v>2898</v>
      </c>
      <c r="G894" s="21" t="s">
        <v>5691</v>
      </c>
      <c r="H894" s="21" t="s">
        <v>5717</v>
      </c>
      <c r="I894" s="21" t="s">
        <v>5718</v>
      </c>
      <c r="J894" s="21">
        <f>SE(I894="","-",SE(DATA.VALOR(I894)&lt;HOJE(),"VENCIDO",SE(DATA.VALOR(I894)-HOJE()&lt;=30,"CRÍTICO (&lt;=30D)","REGULAR")))</f>
      </c>
      <c r="K894" s="22" t="s">
        <v>5694</v>
      </c>
      <c r="L894" s="22" t="s">
        <v>4578</v>
      </c>
      <c r="M894" s="22" t="s">
        <v>5695</v>
      </c>
      <c r="N894" s="22" t="s">
        <v>5719</v>
      </c>
    </row>
    <row r="895" ht="20" customHeight="1" spans="1:14" s="23" customFormat="1" x14ac:dyDescent="0.25">
      <c r="A895" s="24" t="s">
        <v>5720</v>
      </c>
      <c r="B895" s="24" t="s">
        <v>1708</v>
      </c>
      <c r="C895" s="25" t="s">
        <v>5721</v>
      </c>
      <c r="D895" s="32">
        <v>100</v>
      </c>
      <c r="E895" s="33">
        <v>170</v>
      </c>
      <c r="F895" s="25" t="s">
        <v>2898</v>
      </c>
      <c r="G895" s="24" t="s">
        <v>5691</v>
      </c>
      <c r="H895" s="24" t="s">
        <v>3309</v>
      </c>
      <c r="I895" s="24" t="s">
        <v>5722</v>
      </c>
      <c r="J895" s="24">
        <f>SE(I895="","-",SE(DATA.VALOR(I895)&lt;HOJE(),"VENCIDO",SE(DATA.VALOR(I895)-HOJE()&lt;=30,"CRÍTICO (&lt;=30D)","REGULAR")))</f>
      </c>
      <c r="K895" s="25" t="s">
        <v>5694</v>
      </c>
      <c r="L895" s="25" t="s">
        <v>4578</v>
      </c>
      <c r="M895" s="25" t="s">
        <v>5695</v>
      </c>
      <c r="N895" s="25" t="s">
        <v>5719</v>
      </c>
    </row>
    <row r="896" ht="20" customHeight="1" spans="1:14" x14ac:dyDescent="0.25">
      <c r="A896" s="21" t="s">
        <v>5723</v>
      </c>
      <c r="B896" s="21" t="s">
        <v>1708</v>
      </c>
      <c r="C896" s="22" t="s">
        <v>5724</v>
      </c>
      <c r="D896" s="30">
        <v>150</v>
      </c>
      <c r="E896" s="31">
        <v>525</v>
      </c>
      <c r="F896" s="22" t="s">
        <v>2898</v>
      </c>
      <c r="G896" s="21" t="s">
        <v>5691</v>
      </c>
      <c r="H896" s="21" t="s">
        <v>87</v>
      </c>
      <c r="I896" s="21" t="s">
        <v>5725</v>
      </c>
      <c r="J896" s="21">
        <f>SE(I896="","-",SE(DATA.VALOR(I896)&lt;HOJE(),"VENCIDO",SE(DATA.VALOR(I896)-HOJE()&lt;=30,"CRÍTICO (&lt;=30D)","REGULAR")))</f>
      </c>
      <c r="K896" s="22" t="s">
        <v>5694</v>
      </c>
      <c r="L896" s="22" t="s">
        <v>4578</v>
      </c>
      <c r="M896" s="22" t="s">
        <v>5695</v>
      </c>
      <c r="N896" s="22" t="s">
        <v>5719</v>
      </c>
    </row>
    <row r="897" ht="20" customHeight="1" spans="1:14" s="23" customFormat="1" x14ac:dyDescent="0.25">
      <c r="A897" s="24" t="s">
        <v>5726</v>
      </c>
      <c r="B897" s="24" t="s">
        <v>1708</v>
      </c>
      <c r="C897" s="25" t="s">
        <v>5727</v>
      </c>
      <c r="D897" s="32">
        <v>100</v>
      </c>
      <c r="E897" s="33">
        <v>226</v>
      </c>
      <c r="F897" s="25" t="s">
        <v>2898</v>
      </c>
      <c r="G897" s="24" t="s">
        <v>5691</v>
      </c>
      <c r="H897" s="24" t="s">
        <v>5698</v>
      </c>
      <c r="I897" s="24" t="s">
        <v>5728</v>
      </c>
      <c r="J897" s="24">
        <f>SE(I897="","-",SE(DATA.VALOR(I897)&lt;HOJE(),"VENCIDO",SE(DATA.VALOR(I897)-HOJE()&lt;=30,"CRÍTICO (&lt;=30D)","REGULAR")))</f>
      </c>
      <c r="K897" s="25" t="s">
        <v>5694</v>
      </c>
      <c r="L897" s="25" t="s">
        <v>4578</v>
      </c>
      <c r="M897" s="25" t="s">
        <v>5729</v>
      </c>
      <c r="N897" s="25" t="s">
        <v>5719</v>
      </c>
    </row>
    <row r="898" ht="20" customHeight="1" spans="1:14" x14ac:dyDescent="0.25">
      <c r="A898" s="21" t="s">
        <v>5730</v>
      </c>
      <c r="B898" s="21" t="s">
        <v>1708</v>
      </c>
      <c r="C898" s="22" t="s">
        <v>5731</v>
      </c>
      <c r="D898" s="30">
        <v>100</v>
      </c>
      <c r="E898" s="31">
        <v>588</v>
      </c>
      <c r="F898" s="22" t="s">
        <v>2898</v>
      </c>
      <c r="G898" s="21" t="s">
        <v>5691</v>
      </c>
      <c r="H898" s="21" t="s">
        <v>1969</v>
      </c>
      <c r="I898" s="21" t="s">
        <v>5725</v>
      </c>
      <c r="J898" s="21">
        <f>SE(I898="","-",SE(DATA.VALOR(I898)&lt;HOJE(),"VENCIDO",SE(DATA.VALOR(I898)-HOJE()&lt;=30,"CRÍTICO (&lt;=30D)","REGULAR")))</f>
      </c>
      <c r="K898" s="22" t="s">
        <v>5694</v>
      </c>
      <c r="L898" s="22" t="s">
        <v>4578</v>
      </c>
      <c r="M898" s="22" t="s">
        <v>5695</v>
      </c>
      <c r="N898" s="22" t="s">
        <v>5719</v>
      </c>
    </row>
    <row r="899" ht="20" customHeight="1" spans="1:14" s="23" customFormat="1" x14ac:dyDescent="0.25">
      <c r="A899" s="24" t="s">
        <v>5732</v>
      </c>
      <c r="B899" s="24" t="s">
        <v>1708</v>
      </c>
      <c r="C899" s="25" t="s">
        <v>2515</v>
      </c>
      <c r="D899" s="32">
        <v>200</v>
      </c>
      <c r="E899" s="33">
        <v>940</v>
      </c>
      <c r="F899" s="25" t="s">
        <v>2898</v>
      </c>
      <c r="G899" s="24" t="s">
        <v>5691</v>
      </c>
      <c r="H899" s="24" t="s">
        <v>5698</v>
      </c>
      <c r="I899" s="24" t="s">
        <v>5733</v>
      </c>
      <c r="J899" s="24">
        <f>SE(I899="","-",SE(DATA.VALOR(I899)&lt;HOJE(),"VENCIDO",SE(DATA.VALOR(I899)-HOJE()&lt;=30,"CRÍTICO (&lt;=30D)","REGULAR")))</f>
      </c>
      <c r="K899" s="25" t="s">
        <v>5694</v>
      </c>
      <c r="L899" s="25" t="s">
        <v>4578</v>
      </c>
      <c r="M899" s="25" t="s">
        <v>5695</v>
      </c>
      <c r="N899" s="25" t="s">
        <v>5719</v>
      </c>
    </row>
    <row r="900" ht="20" customHeight="1" spans="1:14" x14ac:dyDescent="0.25">
      <c r="A900" s="21" t="s">
        <v>5734</v>
      </c>
      <c r="B900" s="21" t="s">
        <v>1613</v>
      </c>
      <c r="C900" s="22" t="s">
        <v>5735</v>
      </c>
      <c r="D900" s="30">
        <v>600</v>
      </c>
      <c r="E900" s="31">
        <v>5040</v>
      </c>
      <c r="F900" s="22" t="s">
        <v>5736</v>
      </c>
      <c r="G900" s="21" t="s">
        <v>5737</v>
      </c>
      <c r="H900" s="21" t="s">
        <v>5738</v>
      </c>
      <c r="I900" s="21" t="s">
        <v>5739</v>
      </c>
      <c r="J900" s="21">
        <f>SE(I900="","-",SE(DATA.VALOR(I900)&lt;HOJE(),"VENCIDO",SE(DATA.VALOR(I900)-HOJE()&lt;=30,"CRÍTICO (&lt;=30D)","REGULAR")))</f>
      </c>
      <c r="K900" s="22" t="s">
        <v>5740</v>
      </c>
      <c r="L900" s="22" t="s">
        <v>5741</v>
      </c>
      <c r="M900" s="22" t="s">
        <v>5742</v>
      </c>
      <c r="N900" s="22" t="s">
        <v>5743</v>
      </c>
    </row>
    <row r="901" ht="20" customHeight="1" spans="1:14" s="23" customFormat="1" x14ac:dyDescent="0.25">
      <c r="A901" s="24" t="s">
        <v>5744</v>
      </c>
      <c r="B901" s="24" t="s">
        <v>1613</v>
      </c>
      <c r="C901" s="25" t="s">
        <v>5745</v>
      </c>
      <c r="D901" s="32">
        <v>1000</v>
      </c>
      <c r="E901" s="33">
        <v>5670</v>
      </c>
      <c r="F901" s="25" t="s">
        <v>5736</v>
      </c>
      <c r="G901" s="24" t="s">
        <v>5746</v>
      </c>
      <c r="H901" s="24" t="s">
        <v>5747</v>
      </c>
      <c r="I901" s="24" t="s">
        <v>5748</v>
      </c>
      <c r="J901" s="24">
        <f>SE(I901="","-",SE(DATA.VALOR(I901)&lt;HOJE(),"VENCIDO",SE(DATA.VALOR(I901)-HOJE()&lt;=30,"CRÍTICO (&lt;=30D)","REGULAR")))</f>
      </c>
      <c r="K901" s="25" t="s">
        <v>5749</v>
      </c>
      <c r="L901" s="25" t="s">
        <v>5741</v>
      </c>
      <c r="M901" s="25" t="s">
        <v>5750</v>
      </c>
      <c r="N901" s="25" t="s">
        <v>5751</v>
      </c>
    </row>
    <row r="902" ht="20" customHeight="1" spans="1:14" x14ac:dyDescent="0.25">
      <c r="A902" s="21" t="s">
        <v>5752</v>
      </c>
      <c r="B902" s="21" t="s">
        <v>1880</v>
      </c>
      <c r="C902" s="22" t="s">
        <v>4338</v>
      </c>
      <c r="D902" s="30">
        <v>75</v>
      </c>
      <c r="E902" s="31">
        <v>337.5</v>
      </c>
      <c r="F902" s="22" t="s">
        <v>3149</v>
      </c>
      <c r="G902" s="21" t="s">
        <v>5753</v>
      </c>
      <c r="H902" s="21" t="s">
        <v>5754</v>
      </c>
      <c r="I902" s="21" t="s">
        <v>2012</v>
      </c>
      <c r="J902" s="21">
        <f>SE(I902="","-",SE(DATA.VALOR(I902)&lt;HOJE(),"VENCIDO",SE(DATA.VALOR(I902)-HOJE()&lt;=30,"CRÍTICO (&lt;=30D)","REGULAR")))</f>
      </c>
      <c r="K902" s="22" t="s">
        <v>5755</v>
      </c>
      <c r="L902" s="22" t="s">
        <v>5756</v>
      </c>
      <c r="M902" s="22" t="s">
        <v>5757</v>
      </c>
      <c r="N902" s="22" t="s">
        <v>5758</v>
      </c>
    </row>
    <row r="903" ht="20" customHeight="1" spans="1:14" s="23" customFormat="1" x14ac:dyDescent="0.25">
      <c r="A903" s="24" t="s">
        <v>5759</v>
      </c>
      <c r="B903" s="24" t="s">
        <v>1880</v>
      </c>
      <c r="C903" s="25" t="s">
        <v>5293</v>
      </c>
      <c r="D903" s="32">
        <v>20</v>
      </c>
      <c r="E903" s="33">
        <v>339</v>
      </c>
      <c r="F903" s="25" t="s">
        <v>5236</v>
      </c>
      <c r="G903" s="24" t="s">
        <v>5760</v>
      </c>
      <c r="H903" s="24" t="s">
        <v>5761</v>
      </c>
      <c r="I903" s="24" t="s">
        <v>5762</v>
      </c>
      <c r="J903" s="24">
        <f>SE(I903="","-",SE(DATA.VALOR(I903)&lt;HOJE(),"VENCIDO",SE(DATA.VALOR(I903)-HOJE()&lt;=30,"CRÍTICO (&lt;=30D)","REGULAR")))</f>
      </c>
      <c r="K903" s="25" t="s">
        <v>5763</v>
      </c>
      <c r="L903" s="25" t="s">
        <v>5764</v>
      </c>
      <c r="M903" s="25" t="s">
        <v>5765</v>
      </c>
      <c r="N903" s="25" t="s">
        <v>5766</v>
      </c>
    </row>
    <row r="904" ht="20" customHeight="1" spans="1:14" x14ac:dyDescent="0.25">
      <c r="A904" s="21" t="s">
        <v>5767</v>
      </c>
      <c r="B904" s="21" t="s">
        <v>1880</v>
      </c>
      <c r="C904" s="22" t="s">
        <v>5235</v>
      </c>
      <c r="D904" s="30">
        <v>224</v>
      </c>
      <c r="E904" s="31">
        <v>1615.04</v>
      </c>
      <c r="F904" s="22" t="s">
        <v>5236</v>
      </c>
      <c r="G904" s="21" t="s">
        <v>5760</v>
      </c>
      <c r="H904" s="21" t="s">
        <v>5623</v>
      </c>
      <c r="I904" s="21" t="s">
        <v>1974</v>
      </c>
      <c r="J904" s="21">
        <f>SE(I904="","-",SE(DATA.VALOR(I904)&lt;HOJE(),"VENCIDO",SE(DATA.VALOR(I904)-HOJE()&lt;=30,"CRÍTICO (&lt;=30D)","REGULAR")))</f>
      </c>
      <c r="K904" s="22" t="s">
        <v>5763</v>
      </c>
      <c r="L904" s="22" t="s">
        <v>5764</v>
      </c>
      <c r="M904" s="22" t="s">
        <v>5765</v>
      </c>
      <c r="N904" s="22" t="s">
        <v>5768</v>
      </c>
    </row>
    <row r="905" ht="20" customHeight="1" spans="1:14" s="23" customFormat="1" x14ac:dyDescent="0.25">
      <c r="A905" s="24" t="s">
        <v>5769</v>
      </c>
      <c r="B905" s="24" t="s">
        <v>1880</v>
      </c>
      <c r="C905" s="25" t="s">
        <v>5640</v>
      </c>
      <c r="D905" s="32">
        <v>119</v>
      </c>
      <c r="E905" s="33">
        <v>3540.58</v>
      </c>
      <c r="F905" s="25" t="s">
        <v>2607</v>
      </c>
      <c r="G905" s="24" t="s">
        <v>5770</v>
      </c>
      <c r="H905" s="24" t="s">
        <v>5771</v>
      </c>
      <c r="I905" s="24" t="s">
        <v>2473</v>
      </c>
      <c r="J905" s="24">
        <f>SE(I905="","-",SE(DATA.VALOR(I905)&lt;HOJE(),"VENCIDO",SE(DATA.VALOR(I905)-HOJE()&lt;=30,"CRÍTICO (&lt;=30D)","REGULAR")))</f>
      </c>
      <c r="K905" s="25" t="s">
        <v>5772</v>
      </c>
      <c r="L905" s="25" t="s">
        <v>5644</v>
      </c>
      <c r="M905" s="25" t="s">
        <v>5773</v>
      </c>
      <c r="N905" s="25" t="s">
        <v>5774</v>
      </c>
    </row>
    <row r="906" ht="20" customHeight="1" spans="1:14" x14ac:dyDescent="0.25">
      <c r="A906" s="21" t="s">
        <v>5775</v>
      </c>
      <c r="B906" s="21" t="s">
        <v>1894</v>
      </c>
      <c r="C906" s="22" t="s">
        <v>3784</v>
      </c>
      <c r="D906" s="30">
        <v>8700</v>
      </c>
      <c r="E906" s="31">
        <v>46980</v>
      </c>
      <c r="F906" s="22" t="s">
        <v>2652</v>
      </c>
      <c r="G906" s="21" t="s">
        <v>5776</v>
      </c>
      <c r="H906" s="21" t="s">
        <v>5777</v>
      </c>
      <c r="I906" s="21" t="s">
        <v>2015</v>
      </c>
      <c r="J906" s="21">
        <f>SE(I906="","-",SE(DATA.VALOR(I906)&lt;HOJE(),"VENCIDO",SE(DATA.VALOR(I906)-HOJE()&lt;=30,"CRÍTICO (&lt;=30D)","REGULAR")))</f>
      </c>
      <c r="K906" s="22" t="s">
        <v>5778</v>
      </c>
      <c r="L906" s="22" t="s">
        <v>5779</v>
      </c>
      <c r="M906" s="22" t="s">
        <v>5780</v>
      </c>
      <c r="N906" s="22" t="s">
        <v>5781</v>
      </c>
    </row>
    <row r="907" ht="20" customHeight="1" spans="1:14" s="23" customFormat="1" x14ac:dyDescent="0.25">
      <c r="A907" s="24" t="s">
        <v>5782</v>
      </c>
      <c r="B907" s="24" t="s">
        <v>1880</v>
      </c>
      <c r="C907" s="25" t="s">
        <v>4338</v>
      </c>
      <c r="D907" s="32">
        <v>75</v>
      </c>
      <c r="E907" s="33">
        <v>337.5</v>
      </c>
      <c r="F907" s="25" t="s">
        <v>4774</v>
      </c>
      <c r="G907" s="24" t="s">
        <v>5783</v>
      </c>
      <c r="H907" s="24" t="s">
        <v>5784</v>
      </c>
      <c r="I907" s="24" t="s">
        <v>2056</v>
      </c>
      <c r="J907" s="24">
        <f>SE(I907="","-",SE(DATA.VALOR(I907)&lt;HOJE(),"VENCIDO",SE(DATA.VALOR(I907)-HOJE()&lt;=30,"CRÍTICO (&lt;=30D)","REGULAR")))</f>
      </c>
      <c r="K907" s="25" t="s">
        <v>5785</v>
      </c>
      <c r="L907" s="25" t="s">
        <v>5786</v>
      </c>
      <c r="M907" s="25" t="s">
        <v>5787</v>
      </c>
      <c r="N907" s="25" t="s">
        <v>5788</v>
      </c>
    </row>
    <row r="908" ht="20" customHeight="1" spans="1:14" x14ac:dyDescent="0.25">
      <c r="A908" s="21" t="s">
        <v>5789</v>
      </c>
      <c r="B908" s="21" t="s">
        <v>1880</v>
      </c>
      <c r="C908" s="22" t="s">
        <v>4338</v>
      </c>
      <c r="D908" s="30">
        <v>75</v>
      </c>
      <c r="E908" s="31">
        <v>337.5</v>
      </c>
      <c r="F908" s="22" t="s">
        <v>4758</v>
      </c>
      <c r="G908" s="21" t="s">
        <v>5790</v>
      </c>
      <c r="H908" s="21" t="s">
        <v>5784</v>
      </c>
      <c r="I908" s="21" t="s">
        <v>2056</v>
      </c>
      <c r="J908" s="21">
        <f>SE(I908="","-",SE(DATA.VALOR(I908)&lt;HOJE(),"VENCIDO",SE(DATA.VALOR(I908)-HOJE()&lt;=30,"CRÍTICO (&lt;=30D)","REGULAR")))</f>
      </c>
      <c r="K908" s="22" t="s">
        <v>5791</v>
      </c>
      <c r="L908" s="22" t="s">
        <v>5792</v>
      </c>
      <c r="M908" s="22" t="s">
        <v>5793</v>
      </c>
      <c r="N908" s="22" t="s">
        <v>5794</v>
      </c>
    </row>
    <row r="909" ht="20" customHeight="1" spans="1:14" s="23" customFormat="1" x14ac:dyDescent="0.25">
      <c r="A909" s="24" t="s">
        <v>5795</v>
      </c>
      <c r="B909" s="24" t="s">
        <v>1880</v>
      </c>
      <c r="C909" s="25" t="s">
        <v>4338</v>
      </c>
      <c r="D909" s="32">
        <v>75</v>
      </c>
      <c r="E909" s="33">
        <v>337.5</v>
      </c>
      <c r="F909" s="25" t="s">
        <v>4766</v>
      </c>
      <c r="G909" s="24" t="s">
        <v>5796</v>
      </c>
      <c r="H909" s="24" t="s">
        <v>5784</v>
      </c>
      <c r="I909" s="24" t="s">
        <v>2056</v>
      </c>
      <c r="J909" s="24">
        <f>SE(I909="","-",SE(DATA.VALOR(I909)&lt;HOJE(),"VENCIDO",SE(DATA.VALOR(I909)-HOJE()&lt;=30,"CRÍTICO (&lt;=30D)","REGULAR")))</f>
      </c>
      <c r="K909" s="25" t="s">
        <v>5797</v>
      </c>
      <c r="L909" s="25" t="s">
        <v>5798</v>
      </c>
      <c r="M909" s="25" t="s">
        <v>5799</v>
      </c>
      <c r="N909" s="25" t="s">
        <v>5800</v>
      </c>
    </row>
    <row r="910" ht="20" customHeight="1" spans="1:14" x14ac:dyDescent="0.25">
      <c r="A910" s="21" t="s">
        <v>5801</v>
      </c>
      <c r="B910" s="21" t="s">
        <v>1880</v>
      </c>
      <c r="C910" s="22" t="s">
        <v>4338</v>
      </c>
      <c r="D910" s="30">
        <v>75</v>
      </c>
      <c r="E910" s="31">
        <v>337.5</v>
      </c>
      <c r="F910" s="22" t="s">
        <v>4781</v>
      </c>
      <c r="G910" s="21" t="s">
        <v>5802</v>
      </c>
      <c r="H910" s="21" t="s">
        <v>5754</v>
      </c>
      <c r="I910" s="21" t="s">
        <v>2056</v>
      </c>
      <c r="J910" s="21">
        <f>SE(I910="","-",SE(DATA.VALOR(I910)&lt;HOJE(),"VENCIDO",SE(DATA.VALOR(I910)-HOJE()&lt;=30,"CRÍTICO (&lt;=30D)","REGULAR")))</f>
      </c>
      <c r="K910" s="22" t="s">
        <v>5803</v>
      </c>
      <c r="L910" s="22" t="s">
        <v>5804</v>
      </c>
      <c r="M910" s="22" t="s">
        <v>5805</v>
      </c>
      <c r="N910" s="22" t="s">
        <v>5806</v>
      </c>
    </row>
    <row r="911" ht="20" customHeight="1" spans="1:14" s="23" customFormat="1" x14ac:dyDescent="0.25">
      <c r="A911" s="24" t="s">
        <v>5807</v>
      </c>
      <c r="B911" s="24" t="s">
        <v>1899</v>
      </c>
      <c r="C911" s="25" t="s">
        <v>4545</v>
      </c>
      <c r="D911" s="32">
        <v>57</v>
      </c>
      <c r="E911" s="33">
        <v>359.67</v>
      </c>
      <c r="F911" s="25" t="s">
        <v>4527</v>
      </c>
      <c r="G911" s="24" t="s">
        <v>5808</v>
      </c>
      <c r="H911" s="24" t="s">
        <v>4529</v>
      </c>
      <c r="I911" s="24" t="s">
        <v>5809</v>
      </c>
      <c r="J911" s="24">
        <f>SE(I911="","-",SE(DATA.VALOR(I911)&lt;HOJE(),"VENCIDO",SE(DATA.VALOR(I911)-HOJE()&lt;=30,"CRÍTICO (&lt;=30D)","REGULAR")))</f>
      </c>
      <c r="K911" s="25" t="s">
        <v>5810</v>
      </c>
      <c r="L911" s="25" t="s">
        <v>5811</v>
      </c>
      <c r="M911" s="25" t="s">
        <v>4533</v>
      </c>
      <c r="N911" s="25" t="s">
        <v>5812</v>
      </c>
    </row>
    <row r="912" ht="20" customHeight="1" spans="1:14" x14ac:dyDescent="0.25">
      <c r="A912" s="21" t="s">
        <v>5813</v>
      </c>
      <c r="B912" s="21" t="s">
        <v>1900</v>
      </c>
      <c r="C912" s="22" t="s">
        <v>4669</v>
      </c>
      <c r="D912" s="30">
        <v>3000</v>
      </c>
      <c r="E912" s="31">
        <v>14700</v>
      </c>
      <c r="F912" s="22" t="s">
        <v>4660</v>
      </c>
      <c r="G912" s="21" t="s">
        <v>5814</v>
      </c>
      <c r="H912" s="21" t="s">
        <v>4208</v>
      </c>
      <c r="I912" s="21" t="s">
        <v>5815</v>
      </c>
      <c r="J912" s="21">
        <f>SE(I912="","-",SE(DATA.VALOR(I912)&lt;HOJE(),"VENCIDO",SE(DATA.VALOR(I912)-HOJE()&lt;=30,"CRÍTICO (&lt;=30D)","REGULAR")))</f>
      </c>
      <c r="K912" s="22" t="s">
        <v>5816</v>
      </c>
      <c r="L912" s="22" t="s">
        <v>4665</v>
      </c>
      <c r="M912" s="22" t="s">
        <v>5817</v>
      </c>
      <c r="N912" s="22" t="s">
        <v>5818</v>
      </c>
    </row>
    <row r="913" ht="20" customHeight="1" spans="1:14" s="23" customFormat="1" x14ac:dyDescent="0.25">
      <c r="A913" s="24" t="s">
        <v>5819</v>
      </c>
      <c r="B913" s="24" t="s">
        <v>1900</v>
      </c>
      <c r="C913" s="25" t="s">
        <v>5161</v>
      </c>
      <c r="D913" s="32">
        <v>100</v>
      </c>
      <c r="E913" s="33">
        <v>6353</v>
      </c>
      <c r="F913" s="25" t="s">
        <v>4660</v>
      </c>
      <c r="G913" s="24" t="s">
        <v>5814</v>
      </c>
      <c r="H913" s="24" t="s">
        <v>5820</v>
      </c>
      <c r="I913" s="24" t="s">
        <v>5821</v>
      </c>
      <c r="J913" s="24">
        <f>SE(I913="","-",SE(DATA.VALOR(I913)&lt;HOJE(),"VENCIDO",SE(DATA.VALOR(I913)-HOJE()&lt;=30,"CRÍTICO (&lt;=30D)","REGULAR")))</f>
      </c>
      <c r="K913" s="25" t="s">
        <v>5816</v>
      </c>
      <c r="L913" s="25" t="s">
        <v>4665</v>
      </c>
      <c r="M913" s="25" t="s">
        <v>5817</v>
      </c>
      <c r="N913" s="25" t="s">
        <v>5822</v>
      </c>
    </row>
    <row r="914" ht="20" customHeight="1" spans="1:14" x14ac:dyDescent="0.25">
      <c r="A914" s="21" t="s">
        <v>5823</v>
      </c>
      <c r="B914" s="21" t="s">
        <v>1900</v>
      </c>
      <c r="C914" s="22" t="s">
        <v>4415</v>
      </c>
      <c r="D914" s="30">
        <v>1317</v>
      </c>
      <c r="E914" s="31">
        <v>13038.3</v>
      </c>
      <c r="F914" s="22" t="s">
        <v>4416</v>
      </c>
      <c r="G914" s="21" t="s">
        <v>5824</v>
      </c>
      <c r="H914" s="21" t="s">
        <v>5825</v>
      </c>
      <c r="I914" s="21" t="s">
        <v>4567</v>
      </c>
      <c r="J914" s="21">
        <f>SE(I914="","-",SE(DATA.VALOR(I914)&lt;HOJE(),"VENCIDO",SE(DATA.VALOR(I914)-HOJE()&lt;=30,"CRÍTICO (&lt;=30D)","REGULAR")))</f>
      </c>
      <c r="K914" s="22" t="s">
        <v>5826</v>
      </c>
      <c r="L914" s="22" t="s">
        <v>4420</v>
      </c>
      <c r="M914" s="22" t="s">
        <v>5827</v>
      </c>
      <c r="N914" s="22" t="s">
        <v>5828</v>
      </c>
    </row>
    <row r="915" ht="20" customHeight="1" spans="1:14" s="23" customFormat="1" x14ac:dyDescent="0.25">
      <c r="A915" s="24" t="s">
        <v>5829</v>
      </c>
      <c r="B915" s="24" t="s">
        <v>1828</v>
      </c>
      <c r="C915" s="25" t="s">
        <v>4924</v>
      </c>
      <c r="D915" s="32">
        <v>82</v>
      </c>
      <c r="E915" s="33">
        <v>820</v>
      </c>
      <c r="F915" s="25" t="s">
        <v>2633</v>
      </c>
      <c r="G915" s="24" t="s">
        <v>5830</v>
      </c>
      <c r="H915" s="24" t="s">
        <v>5831</v>
      </c>
      <c r="I915" s="24" t="s">
        <v>4942</v>
      </c>
      <c r="J915" s="24">
        <f>SE(I915="","-",SE(DATA.VALOR(I915)&lt;HOJE(),"VENCIDO",SE(DATA.VALOR(I915)-HOJE()&lt;=30,"CRÍTICO (&lt;=30D)","REGULAR")))</f>
      </c>
      <c r="K915" s="25" t="s">
        <v>5832</v>
      </c>
      <c r="L915" s="25" t="s">
        <v>4920</v>
      </c>
      <c r="M915" s="25" t="s">
        <v>5833</v>
      </c>
      <c r="N915" s="25" t="s">
        <v>5834</v>
      </c>
    </row>
    <row r="916" ht="20" customHeight="1" spans="1:14" x14ac:dyDescent="0.25">
      <c r="A916" s="21" t="s">
        <v>5835</v>
      </c>
      <c r="B916" s="21" t="s">
        <v>1828</v>
      </c>
      <c r="C916" s="22" t="s">
        <v>4928</v>
      </c>
      <c r="D916" s="30">
        <v>250</v>
      </c>
      <c r="E916" s="31">
        <v>755</v>
      </c>
      <c r="F916" s="22" t="s">
        <v>2633</v>
      </c>
      <c r="G916" s="21" t="s">
        <v>5830</v>
      </c>
      <c r="H916" s="21" t="s">
        <v>5836</v>
      </c>
      <c r="I916" s="21" t="s">
        <v>5837</v>
      </c>
      <c r="J916" s="21">
        <f>SE(I916="","-",SE(DATA.VALOR(I916)&lt;HOJE(),"VENCIDO",SE(DATA.VALOR(I916)-HOJE()&lt;=30,"CRÍTICO (&lt;=30D)","REGULAR")))</f>
      </c>
      <c r="K916" s="22" t="s">
        <v>5832</v>
      </c>
      <c r="L916" s="22" t="s">
        <v>4920</v>
      </c>
      <c r="M916" s="22" t="s">
        <v>5833</v>
      </c>
      <c r="N916" s="22" t="s">
        <v>5838</v>
      </c>
    </row>
    <row r="917" ht="20" customHeight="1" spans="1:14" s="23" customFormat="1" x14ac:dyDescent="0.25">
      <c r="A917" s="24" t="s">
        <v>5839</v>
      </c>
      <c r="B917" s="24" t="s">
        <v>1828</v>
      </c>
      <c r="C917" s="25" t="s">
        <v>4932</v>
      </c>
      <c r="D917" s="32">
        <v>900</v>
      </c>
      <c r="E917" s="33">
        <v>2061</v>
      </c>
      <c r="F917" s="25" t="s">
        <v>2633</v>
      </c>
      <c r="G917" s="24" t="s">
        <v>5830</v>
      </c>
      <c r="H917" s="24" t="s">
        <v>5840</v>
      </c>
      <c r="I917" s="24" t="s">
        <v>5699</v>
      </c>
      <c r="J917" s="24">
        <f>SE(I917="","-",SE(DATA.VALOR(I917)&lt;HOJE(),"VENCIDO",SE(DATA.VALOR(I917)-HOJE()&lt;=30,"CRÍTICO (&lt;=30D)","REGULAR")))</f>
      </c>
      <c r="K917" s="25" t="s">
        <v>5832</v>
      </c>
      <c r="L917" s="25" t="s">
        <v>4920</v>
      </c>
      <c r="M917" s="25" t="s">
        <v>5833</v>
      </c>
      <c r="N917" s="25" t="s">
        <v>5841</v>
      </c>
    </row>
    <row r="918" ht="20" customHeight="1" spans="1:14" x14ac:dyDescent="0.25">
      <c r="A918" s="21" t="s">
        <v>5842</v>
      </c>
      <c r="B918" s="21" t="s">
        <v>1828</v>
      </c>
      <c r="C918" s="22" t="s">
        <v>4936</v>
      </c>
      <c r="D918" s="30">
        <v>175</v>
      </c>
      <c r="E918" s="31">
        <v>581</v>
      </c>
      <c r="F918" s="22" t="s">
        <v>2633</v>
      </c>
      <c r="G918" s="21" t="s">
        <v>5830</v>
      </c>
      <c r="H918" s="21" t="s">
        <v>5843</v>
      </c>
      <c r="I918" s="21" t="s">
        <v>5844</v>
      </c>
      <c r="J918" s="21">
        <f>SE(I918="","-",SE(DATA.VALOR(I918)&lt;HOJE(),"VENCIDO",SE(DATA.VALOR(I918)-HOJE()&lt;=30,"CRÍTICO (&lt;=30D)","REGULAR")))</f>
      </c>
      <c r="K918" s="22" t="s">
        <v>5832</v>
      </c>
      <c r="L918" s="22" t="s">
        <v>4920</v>
      </c>
      <c r="M918" s="22" t="s">
        <v>5833</v>
      </c>
      <c r="N918" s="22" t="s">
        <v>5845</v>
      </c>
    </row>
    <row r="919" ht="20" customHeight="1" spans="1:14" s="23" customFormat="1" x14ac:dyDescent="0.25">
      <c r="A919" s="24" t="s">
        <v>5846</v>
      </c>
      <c r="B919" s="24" t="s">
        <v>1828</v>
      </c>
      <c r="C919" s="25" t="s">
        <v>4940</v>
      </c>
      <c r="D919" s="32">
        <v>75</v>
      </c>
      <c r="E919" s="33">
        <v>337.5</v>
      </c>
      <c r="F919" s="25" t="s">
        <v>2633</v>
      </c>
      <c r="G919" s="24" t="s">
        <v>5830</v>
      </c>
      <c r="H919" s="24" t="s">
        <v>3231</v>
      </c>
      <c r="I919" s="24" t="s">
        <v>4942</v>
      </c>
      <c r="J919" s="24">
        <f>SE(I919="","-",SE(DATA.VALOR(I919)&lt;HOJE(),"VENCIDO",SE(DATA.VALOR(I919)-HOJE()&lt;=30,"CRÍTICO (&lt;=30D)","REGULAR")))</f>
      </c>
      <c r="K919" s="25" t="s">
        <v>5832</v>
      </c>
      <c r="L919" s="25" t="s">
        <v>4920</v>
      </c>
      <c r="M919" s="25" t="s">
        <v>5833</v>
      </c>
      <c r="N919" s="25" t="s">
        <v>5847</v>
      </c>
    </row>
    <row r="920" ht="20" customHeight="1" spans="1:14" x14ac:dyDescent="0.25">
      <c r="A920" s="21" t="s">
        <v>5848</v>
      </c>
      <c r="B920" s="21" t="s">
        <v>1828</v>
      </c>
      <c r="C920" s="22" t="s">
        <v>4915</v>
      </c>
      <c r="D920" s="30">
        <v>150</v>
      </c>
      <c r="E920" s="31">
        <v>1275</v>
      </c>
      <c r="F920" s="22" t="s">
        <v>2633</v>
      </c>
      <c r="G920" s="21" t="s">
        <v>5830</v>
      </c>
      <c r="H920" s="21" t="s">
        <v>5849</v>
      </c>
      <c r="I920" s="21" t="s">
        <v>4918</v>
      </c>
      <c r="J920" s="21">
        <f>SE(I920="","-",SE(DATA.VALOR(I920)&lt;HOJE(),"VENCIDO",SE(DATA.VALOR(I920)-HOJE()&lt;=30,"CRÍTICO (&lt;=30D)","REGULAR")))</f>
      </c>
      <c r="K920" s="22" t="s">
        <v>5832</v>
      </c>
      <c r="L920" s="22" t="s">
        <v>4920</v>
      </c>
      <c r="M920" s="22" t="s">
        <v>5833</v>
      </c>
      <c r="N920" s="22" t="s">
        <v>5850</v>
      </c>
    </row>
    <row r="921" ht="20" customHeight="1" spans="1:14" s="23" customFormat="1" x14ac:dyDescent="0.25">
      <c r="A921" s="24" t="s">
        <v>5851</v>
      </c>
      <c r="B921" s="24" t="s">
        <v>1828</v>
      </c>
      <c r="C921" s="25" t="s">
        <v>5852</v>
      </c>
      <c r="D921" s="32">
        <v>3000</v>
      </c>
      <c r="E921" s="33">
        <v>7500</v>
      </c>
      <c r="F921" s="25" t="s">
        <v>5853</v>
      </c>
      <c r="G921" s="24" t="s">
        <v>5854</v>
      </c>
      <c r="H921" s="24" t="s">
        <v>5855</v>
      </c>
      <c r="I921" s="24" t="s">
        <v>5468</v>
      </c>
      <c r="J921" s="24">
        <f>SE(I921="","-",SE(DATA.VALOR(I921)&lt;HOJE(),"VENCIDO",SE(DATA.VALOR(I921)-HOJE()&lt;=30,"CRÍTICO (&lt;=30D)","REGULAR")))</f>
      </c>
      <c r="K921" s="25" t="s">
        <v>5856</v>
      </c>
      <c r="L921" s="25" t="s">
        <v>5857</v>
      </c>
      <c r="M921" s="25" t="s">
        <v>5858</v>
      </c>
      <c r="N921" s="25" t="s">
        <v>5859</v>
      </c>
    </row>
    <row r="922" ht="20" customHeight="1" spans="1:14" x14ac:dyDescent="0.25">
      <c r="A922" s="21" t="s">
        <v>5860</v>
      </c>
      <c r="B922" s="21" t="s">
        <v>1900</v>
      </c>
      <c r="C922" s="22" t="s">
        <v>4674</v>
      </c>
      <c r="D922" s="30">
        <v>2300</v>
      </c>
      <c r="E922" s="31">
        <v>27554</v>
      </c>
      <c r="F922" s="22" t="s">
        <v>4660</v>
      </c>
      <c r="G922" s="21" t="s">
        <v>5814</v>
      </c>
      <c r="H922" s="21" t="s">
        <v>3603</v>
      </c>
      <c r="I922" s="21" t="s">
        <v>5861</v>
      </c>
      <c r="J922" s="21">
        <f>SE(I922="","-",SE(DATA.VALOR(I922)&lt;HOJE(),"VENCIDO",SE(DATA.VALOR(I922)-HOJE()&lt;=30,"CRÍTICO (&lt;=30D)","REGULAR")))</f>
      </c>
      <c r="K922" s="22" t="s">
        <v>5816</v>
      </c>
      <c r="L922" s="22" t="s">
        <v>4665</v>
      </c>
      <c r="M922" s="22" t="s">
        <v>5817</v>
      </c>
      <c r="N922" s="22" t="s">
        <v>5862</v>
      </c>
    </row>
    <row r="923" ht="20" customHeight="1" spans="1:14" s="23" customFormat="1" x14ac:dyDescent="0.25">
      <c r="A923" s="24" t="s">
        <v>5863</v>
      </c>
      <c r="B923" s="24" t="s">
        <v>1932</v>
      </c>
      <c r="C923" s="25" t="s">
        <v>4274</v>
      </c>
      <c r="D923" s="32">
        <v>163.8</v>
      </c>
      <c r="E923" s="33">
        <v>687.96</v>
      </c>
      <c r="F923" s="25" t="s">
        <v>2757</v>
      </c>
      <c r="G923" s="24" t="s">
        <v>5864</v>
      </c>
      <c r="H923" s="24" t="s">
        <v>5865</v>
      </c>
      <c r="I923" s="24" t="s">
        <v>2058</v>
      </c>
      <c r="J923" s="24">
        <f>SE(I923="","-",SE(DATA.VALOR(I923)&lt;HOJE(),"VENCIDO",SE(DATA.VALOR(I923)-HOJE()&lt;=30,"CRÍTICO (&lt;=30D)","REGULAR")))</f>
      </c>
      <c r="K923" s="25" t="s">
        <v>5866</v>
      </c>
      <c r="L923" s="25" t="s">
        <v>5867</v>
      </c>
      <c r="M923" s="25" t="s">
        <v>5868</v>
      </c>
      <c r="N923" s="25" t="s">
        <v>5869</v>
      </c>
    </row>
    <row r="924" ht="20" customHeight="1" spans="1:14" x14ac:dyDescent="0.25">
      <c r="A924" s="21" t="s">
        <v>5870</v>
      </c>
      <c r="B924" s="21" t="s">
        <v>1932</v>
      </c>
      <c r="C924" s="22" t="s">
        <v>4266</v>
      </c>
      <c r="D924" s="30">
        <v>102.3</v>
      </c>
      <c r="E924" s="31">
        <v>327.36</v>
      </c>
      <c r="F924" s="22" t="s">
        <v>2757</v>
      </c>
      <c r="G924" s="21" t="s">
        <v>5864</v>
      </c>
      <c r="H924" s="21" t="s">
        <v>5865</v>
      </c>
      <c r="I924" s="21" t="s">
        <v>2058</v>
      </c>
      <c r="J924" s="21">
        <f>SE(I924="","-",SE(DATA.VALOR(I924)&lt;HOJE(),"VENCIDO",SE(DATA.VALOR(I924)-HOJE()&lt;=30,"CRÍTICO (&lt;=30D)","REGULAR")))</f>
      </c>
      <c r="K924" s="22" t="s">
        <v>5866</v>
      </c>
      <c r="L924" s="22" t="s">
        <v>5867</v>
      </c>
      <c r="M924" s="22" t="s">
        <v>5868</v>
      </c>
      <c r="N924" s="22" t="s">
        <v>5869</v>
      </c>
    </row>
    <row r="925" ht="20" customHeight="1" spans="1:14" s="23" customFormat="1" x14ac:dyDescent="0.25">
      <c r="A925" s="24" t="s">
        <v>5871</v>
      </c>
      <c r="B925" s="24" t="s">
        <v>1932</v>
      </c>
      <c r="C925" s="25" t="s">
        <v>4369</v>
      </c>
      <c r="D925" s="32">
        <v>159.3</v>
      </c>
      <c r="E925" s="33">
        <v>493.83</v>
      </c>
      <c r="F925" s="25" t="s">
        <v>2757</v>
      </c>
      <c r="G925" s="24" t="s">
        <v>5864</v>
      </c>
      <c r="H925" s="24" t="s">
        <v>5115</v>
      </c>
      <c r="I925" s="24" t="s">
        <v>2058</v>
      </c>
      <c r="J925" s="24">
        <f>SE(I925="","-",SE(DATA.VALOR(I925)&lt;HOJE(),"VENCIDO",SE(DATA.VALOR(I925)-HOJE()&lt;=30,"CRÍTICO (&lt;=30D)","REGULAR")))</f>
      </c>
      <c r="K925" s="25" t="s">
        <v>5866</v>
      </c>
      <c r="L925" s="25" t="s">
        <v>5867</v>
      </c>
      <c r="M925" s="25" t="s">
        <v>5868</v>
      </c>
      <c r="N925" s="25" t="s">
        <v>5869</v>
      </c>
    </row>
    <row r="926" ht="20" customHeight="1" spans="1:14" x14ac:dyDescent="0.25">
      <c r="A926" s="21" t="s">
        <v>5872</v>
      </c>
      <c r="B926" s="21" t="s">
        <v>1932</v>
      </c>
      <c r="C926" s="22" t="s">
        <v>2940</v>
      </c>
      <c r="D926" s="30">
        <v>69.2</v>
      </c>
      <c r="E926" s="31">
        <v>207.6</v>
      </c>
      <c r="F926" s="22" t="s">
        <v>2757</v>
      </c>
      <c r="G926" s="21" t="s">
        <v>5864</v>
      </c>
      <c r="H926" s="21" t="s">
        <v>5623</v>
      </c>
      <c r="I926" s="21" t="s">
        <v>2058</v>
      </c>
      <c r="J926" s="21">
        <f>SE(I926="","-",SE(DATA.VALOR(I926)&lt;HOJE(),"VENCIDO",SE(DATA.VALOR(I926)-HOJE()&lt;=30,"CRÍTICO (&lt;=30D)","REGULAR")))</f>
      </c>
      <c r="K926" s="22" t="s">
        <v>5866</v>
      </c>
      <c r="L926" s="22" t="s">
        <v>5867</v>
      </c>
      <c r="M926" s="22" t="s">
        <v>63</v>
      </c>
      <c r="N926" s="22" t="s">
        <v>5869</v>
      </c>
    </row>
    <row r="927" ht="20" customHeight="1" spans="1:14" s="23" customFormat="1" x14ac:dyDescent="0.25">
      <c r="A927" s="24" t="s">
        <v>5873</v>
      </c>
      <c r="B927" s="24" t="s">
        <v>1932</v>
      </c>
      <c r="C927" s="25" t="s">
        <v>5604</v>
      </c>
      <c r="D927" s="32">
        <v>570</v>
      </c>
      <c r="E927" s="33">
        <v>1014.6</v>
      </c>
      <c r="F927" s="25" t="s">
        <v>5605</v>
      </c>
      <c r="G927" s="24" t="s">
        <v>5874</v>
      </c>
      <c r="H927" s="24" t="s">
        <v>5875</v>
      </c>
      <c r="I927" s="24" t="s">
        <v>2058</v>
      </c>
      <c r="J927" s="24">
        <f>SE(I927="","-",SE(DATA.VALOR(I927)&lt;HOJE(),"VENCIDO",SE(DATA.VALOR(I927)-HOJE()&lt;=30,"CRÍTICO (&lt;=30D)","REGULAR")))</f>
      </c>
      <c r="K927" s="25" t="s">
        <v>5876</v>
      </c>
      <c r="L927" s="25" t="s">
        <v>5877</v>
      </c>
      <c r="M927" s="25" t="s">
        <v>5878</v>
      </c>
      <c r="N927" s="25" t="s">
        <v>5879</v>
      </c>
    </row>
    <row r="928" ht="20" customHeight="1" spans="1:14" x14ac:dyDescent="0.25">
      <c r="A928" s="21" t="s">
        <v>5880</v>
      </c>
      <c r="B928" s="21" t="s">
        <v>1987</v>
      </c>
      <c r="C928" s="22" t="s">
        <v>5146</v>
      </c>
      <c r="D928" s="30">
        <v>10000</v>
      </c>
      <c r="E928" s="31">
        <v>2900</v>
      </c>
      <c r="F928" s="22" t="s">
        <v>5147</v>
      </c>
      <c r="G928" s="21" t="s">
        <v>5881</v>
      </c>
      <c r="H928" s="21" t="s">
        <v>5882</v>
      </c>
      <c r="I928" s="21" t="s">
        <v>5883</v>
      </c>
      <c r="J928" s="21">
        <f>SE(I928="","-",SE(DATA.VALOR(I928)&lt;HOJE(),"VENCIDO",SE(DATA.VALOR(I928)-HOJE()&lt;=30,"CRÍTICO (&lt;=30D)","REGULAR")))</f>
      </c>
      <c r="K928" s="22" t="s">
        <v>5884</v>
      </c>
      <c r="L928" s="22" t="s">
        <v>5885</v>
      </c>
      <c r="M928" s="22" t="s">
        <v>5886</v>
      </c>
      <c r="N928" s="22" t="s">
        <v>5887</v>
      </c>
    </row>
    <row r="929" ht="20" customHeight="1" spans="1:14" s="23" customFormat="1" x14ac:dyDescent="0.25">
      <c r="A929" s="24" t="s">
        <v>5888</v>
      </c>
      <c r="B929" s="24" t="s">
        <v>1987</v>
      </c>
      <c r="C929" s="25" t="s">
        <v>4688</v>
      </c>
      <c r="D929" s="32">
        <v>1500</v>
      </c>
      <c r="E929" s="33">
        <v>9870</v>
      </c>
      <c r="F929" s="25" t="s">
        <v>3365</v>
      </c>
      <c r="G929" s="24" t="s">
        <v>5889</v>
      </c>
      <c r="H929" s="24" t="s">
        <v>5890</v>
      </c>
      <c r="I929" s="24" t="s">
        <v>5891</v>
      </c>
      <c r="J929" s="24">
        <f>SE(I929="","-",SE(DATA.VALOR(I929)&lt;HOJE(),"VENCIDO",SE(DATA.VALOR(I929)-HOJE()&lt;=30,"CRÍTICO (&lt;=30D)","REGULAR")))</f>
      </c>
      <c r="K929" s="25" t="s">
        <v>5892</v>
      </c>
      <c r="L929" s="25" t="s">
        <v>4792</v>
      </c>
      <c r="M929" s="25" t="s">
        <v>5893</v>
      </c>
      <c r="N929" s="25" t="s">
        <v>5894</v>
      </c>
    </row>
    <row r="930" ht="20" customHeight="1" spans="1:14" x14ac:dyDescent="0.25">
      <c r="A930" s="21" t="s">
        <v>5895</v>
      </c>
      <c r="B930" s="21" t="s">
        <v>1987</v>
      </c>
      <c r="C930" s="22" t="s">
        <v>4692</v>
      </c>
      <c r="D930" s="30">
        <v>78</v>
      </c>
      <c r="E930" s="31">
        <v>1482</v>
      </c>
      <c r="F930" s="22" t="s">
        <v>3365</v>
      </c>
      <c r="G930" s="21" t="s">
        <v>5889</v>
      </c>
      <c r="H930" s="21" t="s">
        <v>5865</v>
      </c>
      <c r="I930" s="21" t="s">
        <v>5664</v>
      </c>
      <c r="J930" s="21">
        <f>SE(I930="","-",SE(DATA.VALOR(I930)&lt;HOJE(),"VENCIDO",SE(DATA.VALOR(I930)-HOJE()&lt;=30,"CRÍTICO (&lt;=30D)","REGULAR")))</f>
      </c>
      <c r="K930" s="22" t="s">
        <v>5892</v>
      </c>
      <c r="L930" s="22" t="s">
        <v>4792</v>
      </c>
      <c r="M930" s="22" t="s">
        <v>5893</v>
      </c>
      <c r="N930" s="22" t="s">
        <v>5896</v>
      </c>
    </row>
    <row r="931" ht="20" customHeight="1" spans="1:14" s="23" customFormat="1" x14ac:dyDescent="0.25">
      <c r="A931" s="24" t="s">
        <v>5897</v>
      </c>
      <c r="B931" s="24" t="s">
        <v>1987</v>
      </c>
      <c r="C931" s="25" t="s">
        <v>5898</v>
      </c>
      <c r="D931" s="32">
        <v>314</v>
      </c>
      <c r="E931" s="33">
        <v>8785.72</v>
      </c>
      <c r="F931" s="25" t="s">
        <v>3365</v>
      </c>
      <c r="G931" s="24" t="s">
        <v>5899</v>
      </c>
      <c r="H931" s="24" t="s">
        <v>5357</v>
      </c>
      <c r="I931" s="24" t="s">
        <v>5900</v>
      </c>
      <c r="J931" s="24">
        <f>SE(I931="","-",SE(DATA.VALOR(I931)&lt;HOJE(),"VENCIDO",SE(DATA.VALOR(I931)-HOJE()&lt;=30,"CRÍTICO (&lt;=30D)","REGULAR")))</f>
      </c>
      <c r="K931" s="25" t="s">
        <v>5901</v>
      </c>
      <c r="L931" s="25" t="s">
        <v>5902</v>
      </c>
      <c r="M931" s="25" t="s">
        <v>5903</v>
      </c>
      <c r="N931" s="25" t="s">
        <v>5904</v>
      </c>
    </row>
    <row r="932" ht="20" customHeight="1" spans="1:14" x14ac:dyDescent="0.25">
      <c r="A932" s="21" t="s">
        <v>5905</v>
      </c>
      <c r="B932" s="21" t="s">
        <v>1996</v>
      </c>
      <c r="C932" s="22" t="s">
        <v>5906</v>
      </c>
      <c r="D932" s="30">
        <v>1000</v>
      </c>
      <c r="E932" s="31">
        <v>6930</v>
      </c>
      <c r="F932" s="22" t="s">
        <v>3450</v>
      </c>
      <c r="G932" s="21" t="s">
        <v>5907</v>
      </c>
      <c r="H932" s="21" t="s">
        <v>5908</v>
      </c>
      <c r="I932" s="21" t="s">
        <v>5909</v>
      </c>
      <c r="J932" s="21">
        <f>SE(I932="","-",SE(DATA.VALOR(I932)&lt;HOJE(),"VENCIDO",SE(DATA.VALOR(I932)-HOJE()&lt;=30,"CRÍTICO (&lt;=30D)","REGULAR")))</f>
      </c>
      <c r="K932" s="22" t="s">
        <v>5910</v>
      </c>
      <c r="L932" s="22" t="s">
        <v>5911</v>
      </c>
      <c r="M932" s="22" t="s">
        <v>5912</v>
      </c>
      <c r="N932" s="22" t="s">
        <v>5913</v>
      </c>
    </row>
    <row r="933" ht="20" customHeight="1" spans="1:14" s="23" customFormat="1" x14ac:dyDescent="0.25">
      <c r="A933" s="24" t="s">
        <v>5914</v>
      </c>
      <c r="B933" s="24" t="s">
        <v>1996</v>
      </c>
      <c r="C933" s="25" t="s">
        <v>5915</v>
      </c>
      <c r="D933" s="32">
        <v>800</v>
      </c>
      <c r="E933" s="33">
        <v>2120</v>
      </c>
      <c r="F933" s="25" t="s">
        <v>3450</v>
      </c>
      <c r="G933" s="24" t="s">
        <v>5916</v>
      </c>
      <c r="H933" s="24" t="s">
        <v>5917</v>
      </c>
      <c r="I933" s="24" t="s">
        <v>2636</v>
      </c>
      <c r="J933" s="24">
        <f>SE(I933="","-",SE(DATA.VALOR(I933)&lt;HOJE(),"VENCIDO",SE(DATA.VALOR(I933)-HOJE()&lt;=30,"CRÍTICO (&lt;=30D)","REGULAR")))</f>
      </c>
      <c r="K933" s="25" t="s">
        <v>5918</v>
      </c>
      <c r="L933" s="25" t="s">
        <v>5919</v>
      </c>
      <c r="M933" s="25" t="s">
        <v>5920</v>
      </c>
      <c r="N933" s="25" t="s">
        <v>5921</v>
      </c>
    </row>
    <row r="934" ht="20" customHeight="1" spans="1:14" x14ac:dyDescent="0.25">
      <c r="A934" s="21" t="s">
        <v>5922</v>
      </c>
      <c r="B934" s="21" t="s">
        <v>1996</v>
      </c>
      <c r="C934" s="22" t="s">
        <v>5075</v>
      </c>
      <c r="D934" s="30">
        <v>5000</v>
      </c>
      <c r="E934" s="31">
        <v>24650</v>
      </c>
      <c r="F934" s="22" t="s">
        <v>2601</v>
      </c>
      <c r="G934" s="21" t="s">
        <v>5923</v>
      </c>
      <c r="H934" s="21" t="s">
        <v>5924</v>
      </c>
      <c r="I934" s="21" t="s">
        <v>5925</v>
      </c>
      <c r="J934" s="21">
        <f>SE(I934="","-",SE(DATA.VALOR(I934)&lt;HOJE(),"VENCIDO",SE(DATA.VALOR(I934)-HOJE()&lt;=30,"CRÍTICO (&lt;=30D)","REGULAR")))</f>
      </c>
      <c r="K934" s="22" t="s">
        <v>5926</v>
      </c>
      <c r="L934" s="22" t="s">
        <v>5927</v>
      </c>
      <c r="M934" s="22" t="s">
        <v>5928</v>
      </c>
      <c r="N934" s="22" t="s">
        <v>5929</v>
      </c>
    </row>
    <row r="935" ht="20" customHeight="1" spans="1:14" s="23" customFormat="1" x14ac:dyDescent="0.25">
      <c r="A935" s="24" t="s">
        <v>5930</v>
      </c>
      <c r="B935" s="24" t="s">
        <v>1932</v>
      </c>
      <c r="C935" s="25" t="s">
        <v>4305</v>
      </c>
      <c r="D935" s="32">
        <v>112</v>
      </c>
      <c r="E935" s="33">
        <v>380.8</v>
      </c>
      <c r="F935" s="25" t="s">
        <v>4730</v>
      </c>
      <c r="G935" s="24" t="s">
        <v>5931</v>
      </c>
      <c r="H935" s="24" t="s">
        <v>5855</v>
      </c>
      <c r="I935" s="24" t="s">
        <v>2058</v>
      </c>
      <c r="J935" s="24">
        <f>SE(I935="","-",SE(DATA.VALOR(I935)&lt;HOJE(),"VENCIDO",SE(DATA.VALOR(I935)-HOJE()&lt;=30,"CRÍTICO (&lt;=30D)","REGULAR")))</f>
      </c>
      <c r="K935" s="25" t="s">
        <v>5932</v>
      </c>
      <c r="L935" s="25" t="s">
        <v>5933</v>
      </c>
      <c r="M935" s="25" t="s">
        <v>5934</v>
      </c>
      <c r="N935" s="25" t="s">
        <v>5935</v>
      </c>
    </row>
    <row r="936" ht="20" customHeight="1" spans="1:14" x14ac:dyDescent="0.25">
      <c r="A936" s="21" t="s">
        <v>5936</v>
      </c>
      <c r="B936" s="21" t="s">
        <v>1932</v>
      </c>
      <c r="C936" s="22" t="s">
        <v>2940</v>
      </c>
      <c r="D936" s="30">
        <v>56</v>
      </c>
      <c r="E936" s="31">
        <v>168</v>
      </c>
      <c r="F936" s="22" t="s">
        <v>4730</v>
      </c>
      <c r="G936" s="21" t="s">
        <v>5931</v>
      </c>
      <c r="H936" s="21" t="s">
        <v>5855</v>
      </c>
      <c r="I936" s="21" t="s">
        <v>2058</v>
      </c>
      <c r="J936" s="21">
        <f>SE(I936="","-",SE(DATA.VALOR(I936)&lt;HOJE(),"VENCIDO",SE(DATA.VALOR(I936)-HOJE()&lt;=30,"CRÍTICO (&lt;=30D)","REGULAR")))</f>
      </c>
      <c r="K936" s="22" t="s">
        <v>5932</v>
      </c>
      <c r="L936" s="22" t="s">
        <v>5933</v>
      </c>
      <c r="M936" s="22" t="s">
        <v>5934</v>
      </c>
      <c r="N936" s="22" t="s">
        <v>5935</v>
      </c>
    </row>
    <row r="937" ht="20" customHeight="1" spans="1:14" s="23" customFormat="1" x14ac:dyDescent="0.25">
      <c r="A937" s="24" t="s">
        <v>5937</v>
      </c>
      <c r="B937" s="24" t="s">
        <v>1932</v>
      </c>
      <c r="C937" s="25" t="s">
        <v>4338</v>
      </c>
      <c r="D937" s="32">
        <v>75</v>
      </c>
      <c r="E937" s="33">
        <v>337.5</v>
      </c>
      <c r="F937" s="25" t="s">
        <v>4730</v>
      </c>
      <c r="G937" s="24" t="s">
        <v>5931</v>
      </c>
      <c r="H937" s="24" t="s">
        <v>5855</v>
      </c>
      <c r="I937" s="24" t="s">
        <v>2058</v>
      </c>
      <c r="J937" s="24">
        <f>SE(I937="","-",SE(DATA.VALOR(I937)&lt;HOJE(),"VENCIDO",SE(DATA.VALOR(I937)-HOJE()&lt;=30,"CRÍTICO (&lt;=30D)","REGULAR")))</f>
      </c>
      <c r="K937" s="25" t="s">
        <v>5932</v>
      </c>
      <c r="L937" s="25" t="s">
        <v>5933</v>
      </c>
      <c r="M937" s="25" t="s">
        <v>5934</v>
      </c>
      <c r="N937" s="25" t="s">
        <v>5935</v>
      </c>
    </row>
    <row r="938" ht="20" customHeight="1" spans="1:14" x14ac:dyDescent="0.25">
      <c r="A938" s="21" t="s">
        <v>5938</v>
      </c>
      <c r="B938" s="21" t="s">
        <v>1932</v>
      </c>
      <c r="C938" s="22" t="s">
        <v>4318</v>
      </c>
      <c r="D938" s="30">
        <v>162</v>
      </c>
      <c r="E938" s="31">
        <v>680.4</v>
      </c>
      <c r="F938" s="22" t="s">
        <v>4730</v>
      </c>
      <c r="G938" s="21" t="s">
        <v>5931</v>
      </c>
      <c r="H938" s="21" t="s">
        <v>5855</v>
      </c>
      <c r="I938" s="21" t="s">
        <v>2058</v>
      </c>
      <c r="J938" s="21">
        <f>SE(I938="","-",SE(DATA.VALOR(I938)&lt;HOJE(),"VENCIDO",SE(DATA.VALOR(I938)-HOJE()&lt;=30,"CRÍTICO (&lt;=30D)","REGULAR")))</f>
      </c>
      <c r="K938" s="22" t="s">
        <v>5932</v>
      </c>
      <c r="L938" s="22" t="s">
        <v>5933</v>
      </c>
      <c r="M938" s="22" t="s">
        <v>5934</v>
      </c>
      <c r="N938" s="22" t="s">
        <v>5935</v>
      </c>
    </row>
    <row r="939" ht="20" customHeight="1" spans="1:14" s="23" customFormat="1" x14ac:dyDescent="0.25">
      <c r="A939" s="24" t="s">
        <v>5939</v>
      </c>
      <c r="B939" s="24" t="s">
        <v>1932</v>
      </c>
      <c r="C939" s="25" t="s">
        <v>4276</v>
      </c>
      <c r="D939" s="32">
        <v>152</v>
      </c>
      <c r="E939" s="33">
        <v>608</v>
      </c>
      <c r="F939" s="25" t="s">
        <v>4730</v>
      </c>
      <c r="G939" s="24" t="s">
        <v>5931</v>
      </c>
      <c r="H939" s="24" t="s">
        <v>5855</v>
      </c>
      <c r="I939" s="24" t="s">
        <v>2058</v>
      </c>
      <c r="J939" s="24">
        <f>SE(I939="","-",SE(DATA.VALOR(I939)&lt;HOJE(),"VENCIDO",SE(DATA.VALOR(I939)-HOJE()&lt;=30,"CRÍTICO (&lt;=30D)","REGULAR")))</f>
      </c>
      <c r="K939" s="25" t="s">
        <v>5932</v>
      </c>
      <c r="L939" s="25" t="s">
        <v>5933</v>
      </c>
      <c r="M939" s="25" t="s">
        <v>5934</v>
      </c>
      <c r="N939" s="25" t="s">
        <v>5935</v>
      </c>
    </row>
    <row r="940" ht="20" customHeight="1" spans="1:14" x14ac:dyDescent="0.25">
      <c r="A940" s="21" t="s">
        <v>5940</v>
      </c>
      <c r="B940" s="21" t="s">
        <v>1932</v>
      </c>
      <c r="C940" s="22" t="s">
        <v>4369</v>
      </c>
      <c r="D940" s="30">
        <v>156</v>
      </c>
      <c r="E940" s="31">
        <v>483.6</v>
      </c>
      <c r="F940" s="22" t="s">
        <v>4730</v>
      </c>
      <c r="G940" s="21" t="s">
        <v>5931</v>
      </c>
      <c r="H940" s="21" t="s">
        <v>5855</v>
      </c>
      <c r="I940" s="21" t="s">
        <v>2058</v>
      </c>
      <c r="J940" s="21">
        <f>SE(I940="","-",SE(DATA.VALOR(I940)&lt;HOJE(),"VENCIDO",SE(DATA.VALOR(I940)-HOJE()&lt;=30,"CRÍTICO (&lt;=30D)","REGULAR")))</f>
      </c>
      <c r="K940" s="22" t="s">
        <v>5932</v>
      </c>
      <c r="L940" s="22" t="s">
        <v>5933</v>
      </c>
      <c r="M940" s="22" t="s">
        <v>5934</v>
      </c>
      <c r="N940" s="22" t="s">
        <v>5935</v>
      </c>
    </row>
    <row r="941" ht="20" customHeight="1" spans="1:14" s="23" customFormat="1" x14ac:dyDescent="0.25">
      <c r="A941" s="24" t="s">
        <v>5941</v>
      </c>
      <c r="B941" s="24" t="s">
        <v>1932</v>
      </c>
      <c r="C941" s="25" t="s">
        <v>4179</v>
      </c>
      <c r="D941" s="32">
        <v>177</v>
      </c>
      <c r="E941" s="33">
        <v>838.98</v>
      </c>
      <c r="F941" s="25" t="s">
        <v>4730</v>
      </c>
      <c r="G941" s="24" t="s">
        <v>5931</v>
      </c>
      <c r="H941" s="24" t="s">
        <v>5855</v>
      </c>
      <c r="I941" s="24" t="s">
        <v>2058</v>
      </c>
      <c r="J941" s="24">
        <f>SE(I941="","-",SE(DATA.VALOR(I941)&lt;HOJE(),"VENCIDO",SE(DATA.VALOR(I941)-HOJE()&lt;=30,"CRÍTICO (&lt;=30D)","REGULAR")))</f>
      </c>
      <c r="K941" s="25" t="s">
        <v>5932</v>
      </c>
      <c r="L941" s="25" t="s">
        <v>5933</v>
      </c>
      <c r="M941" s="25" t="s">
        <v>5934</v>
      </c>
      <c r="N941" s="25" t="s">
        <v>5935</v>
      </c>
    </row>
    <row r="942" ht="20" customHeight="1" spans="1:14" x14ac:dyDescent="0.25">
      <c r="A942" s="21" t="s">
        <v>5942</v>
      </c>
      <c r="B942" s="21" t="s">
        <v>1932</v>
      </c>
      <c r="C942" s="22" t="s">
        <v>4322</v>
      </c>
      <c r="D942" s="30">
        <v>166</v>
      </c>
      <c r="E942" s="31">
        <v>647.4</v>
      </c>
      <c r="F942" s="22" t="s">
        <v>4730</v>
      </c>
      <c r="G942" s="21" t="s">
        <v>5931</v>
      </c>
      <c r="H942" s="21" t="s">
        <v>5855</v>
      </c>
      <c r="I942" s="21" t="s">
        <v>2058</v>
      </c>
      <c r="J942" s="21">
        <f>SE(I942="","-",SE(DATA.VALOR(I942)&lt;HOJE(),"VENCIDO",SE(DATA.VALOR(I942)-HOJE()&lt;=30,"CRÍTICO (&lt;=30D)","REGULAR")))</f>
      </c>
      <c r="K942" s="22" t="s">
        <v>5932</v>
      </c>
      <c r="L942" s="22" t="s">
        <v>5933</v>
      </c>
      <c r="M942" s="22" t="s">
        <v>5934</v>
      </c>
      <c r="N942" s="22" t="s">
        <v>5935</v>
      </c>
    </row>
    <row r="943" ht="20" customHeight="1" spans="1:14" s="23" customFormat="1" x14ac:dyDescent="0.25">
      <c r="A943" s="24" t="s">
        <v>5943</v>
      </c>
      <c r="B943" s="24" t="s">
        <v>1932</v>
      </c>
      <c r="C943" s="25" t="s">
        <v>2855</v>
      </c>
      <c r="D943" s="32">
        <v>21</v>
      </c>
      <c r="E943" s="33">
        <v>92.4</v>
      </c>
      <c r="F943" s="25" t="s">
        <v>4730</v>
      </c>
      <c r="G943" s="24" t="s">
        <v>5931</v>
      </c>
      <c r="H943" s="24" t="s">
        <v>5855</v>
      </c>
      <c r="I943" s="24" t="s">
        <v>2058</v>
      </c>
      <c r="J943" s="24">
        <f>SE(I943="","-",SE(DATA.VALOR(I943)&lt;HOJE(),"VENCIDO",SE(DATA.VALOR(I943)-HOJE()&lt;=30,"CRÍTICO (&lt;=30D)","REGULAR")))</f>
      </c>
      <c r="K943" s="25" t="s">
        <v>5932</v>
      </c>
      <c r="L943" s="25" t="s">
        <v>5933</v>
      </c>
      <c r="M943" s="25" t="s">
        <v>5934</v>
      </c>
      <c r="N943" s="25" t="s">
        <v>5935</v>
      </c>
    </row>
    <row r="944" ht="20" customHeight="1" spans="1:14" x14ac:dyDescent="0.25">
      <c r="A944" s="21" t="s">
        <v>5944</v>
      </c>
      <c r="B944" s="21" t="s">
        <v>1932</v>
      </c>
      <c r="C944" s="22" t="s">
        <v>4274</v>
      </c>
      <c r="D944" s="30">
        <v>125</v>
      </c>
      <c r="E944" s="31">
        <v>525</v>
      </c>
      <c r="F944" s="22" t="s">
        <v>4730</v>
      </c>
      <c r="G944" s="21" t="s">
        <v>5931</v>
      </c>
      <c r="H944" s="21" t="s">
        <v>5855</v>
      </c>
      <c r="I944" s="21" t="s">
        <v>2058</v>
      </c>
      <c r="J944" s="21">
        <f>SE(I944="","-",SE(DATA.VALOR(I944)&lt;HOJE(),"VENCIDO",SE(DATA.VALOR(I944)-HOJE()&lt;=30,"CRÍTICO (&lt;=30D)","REGULAR")))</f>
      </c>
      <c r="K944" s="22" t="s">
        <v>5932</v>
      </c>
      <c r="L944" s="22" t="s">
        <v>5933</v>
      </c>
      <c r="M944" s="22" t="s">
        <v>5934</v>
      </c>
      <c r="N944" s="22" t="s">
        <v>5935</v>
      </c>
    </row>
    <row r="945" ht="20" customHeight="1" spans="1:14" s="23" customFormat="1" x14ac:dyDescent="0.25">
      <c r="A945" s="24" t="s">
        <v>5945</v>
      </c>
      <c r="B945" s="24" t="s">
        <v>1932</v>
      </c>
      <c r="C945" s="25" t="s">
        <v>4362</v>
      </c>
      <c r="D945" s="32">
        <v>218</v>
      </c>
      <c r="E945" s="33">
        <v>1308</v>
      </c>
      <c r="F945" s="25" t="s">
        <v>4730</v>
      </c>
      <c r="G945" s="24" t="s">
        <v>5931</v>
      </c>
      <c r="H945" s="24" t="s">
        <v>5855</v>
      </c>
      <c r="I945" s="24" t="s">
        <v>2058</v>
      </c>
      <c r="J945" s="24">
        <f>SE(I945="","-",SE(DATA.VALOR(I945)&lt;HOJE(),"VENCIDO",SE(DATA.VALOR(I945)-HOJE()&lt;=30,"CRÍTICO (&lt;=30D)","REGULAR")))</f>
      </c>
      <c r="K945" s="25" t="s">
        <v>5932</v>
      </c>
      <c r="L945" s="25" t="s">
        <v>5933</v>
      </c>
      <c r="M945" s="25" t="s">
        <v>5934</v>
      </c>
      <c r="N945" s="25" t="s">
        <v>5935</v>
      </c>
    </row>
    <row r="946" ht="20" customHeight="1" spans="1:14" x14ac:dyDescent="0.25">
      <c r="A946" s="21" t="s">
        <v>5946</v>
      </c>
      <c r="B946" s="21" t="s">
        <v>1932</v>
      </c>
      <c r="C946" s="22" t="s">
        <v>3883</v>
      </c>
      <c r="D946" s="30">
        <v>90</v>
      </c>
      <c r="E946" s="31">
        <v>540</v>
      </c>
      <c r="F946" s="22" t="s">
        <v>4730</v>
      </c>
      <c r="G946" s="21" t="s">
        <v>5931</v>
      </c>
      <c r="H946" s="21" t="s">
        <v>5855</v>
      </c>
      <c r="I946" s="21" t="s">
        <v>2058</v>
      </c>
      <c r="J946" s="21">
        <f>SE(I946="","-",SE(DATA.VALOR(I946)&lt;HOJE(),"VENCIDO",SE(DATA.VALOR(I946)-HOJE()&lt;=30,"CRÍTICO (&lt;=30D)","REGULAR")))</f>
      </c>
      <c r="K946" s="22" t="s">
        <v>5932</v>
      </c>
      <c r="L946" s="22" t="s">
        <v>5933</v>
      </c>
      <c r="M946" s="22" t="s">
        <v>5934</v>
      </c>
      <c r="N946" s="22" t="s">
        <v>5935</v>
      </c>
    </row>
    <row r="947" ht="20" customHeight="1" spans="1:14" s="23" customFormat="1" x14ac:dyDescent="0.25">
      <c r="A947" s="24" t="s">
        <v>5947</v>
      </c>
      <c r="B947" s="24" t="s">
        <v>1932</v>
      </c>
      <c r="C947" s="25" t="s">
        <v>4327</v>
      </c>
      <c r="D947" s="32">
        <v>33</v>
      </c>
      <c r="E947" s="33">
        <v>180.18</v>
      </c>
      <c r="F947" s="25" t="s">
        <v>4730</v>
      </c>
      <c r="G947" s="24" t="s">
        <v>5931</v>
      </c>
      <c r="H947" s="24" t="s">
        <v>5855</v>
      </c>
      <c r="I947" s="24" t="s">
        <v>2058</v>
      </c>
      <c r="J947" s="24">
        <f>SE(I947="","-",SE(DATA.VALOR(I947)&lt;HOJE(),"VENCIDO",SE(DATA.VALOR(I947)-HOJE()&lt;=30,"CRÍTICO (&lt;=30D)","REGULAR")))</f>
      </c>
      <c r="K947" s="25" t="s">
        <v>5932</v>
      </c>
      <c r="L947" s="25" t="s">
        <v>5933</v>
      </c>
      <c r="M947" s="25" t="s">
        <v>5934</v>
      </c>
      <c r="N947" s="25" t="s">
        <v>5935</v>
      </c>
    </row>
    <row r="948" ht="20" customHeight="1" spans="1:14" x14ac:dyDescent="0.25">
      <c r="A948" s="21" t="s">
        <v>5948</v>
      </c>
      <c r="B948" s="21" t="s">
        <v>2012</v>
      </c>
      <c r="C948" s="22" t="s">
        <v>5949</v>
      </c>
      <c r="D948" s="30">
        <v>280</v>
      </c>
      <c r="E948" s="31">
        <v>1568</v>
      </c>
      <c r="F948" s="22" t="s">
        <v>2561</v>
      </c>
      <c r="G948" s="21" t="s">
        <v>5950</v>
      </c>
      <c r="H948" s="21" t="s">
        <v>5882</v>
      </c>
      <c r="I948" s="21" t="s">
        <v>2320</v>
      </c>
      <c r="J948" s="21">
        <f>SE(I948="","-",SE(DATA.VALOR(I948)&lt;HOJE(),"VENCIDO",SE(DATA.VALOR(I948)-HOJE()&lt;=30,"CRÍTICO (&lt;=30D)","REGULAR")))</f>
      </c>
      <c r="K948" s="22" t="s">
        <v>5951</v>
      </c>
      <c r="L948" s="22" t="s">
        <v>4520</v>
      </c>
      <c r="M948" s="22" t="s">
        <v>5952</v>
      </c>
      <c r="N948" s="22" t="s">
        <v>5953</v>
      </c>
    </row>
    <row r="949" ht="20" customHeight="1" spans="1:14" s="23" customFormat="1" x14ac:dyDescent="0.25">
      <c r="A949" s="24" t="s">
        <v>5954</v>
      </c>
      <c r="B949" s="24" t="s">
        <v>2012</v>
      </c>
      <c r="C949" s="25" t="s">
        <v>4524</v>
      </c>
      <c r="D949" s="32">
        <v>150</v>
      </c>
      <c r="E949" s="33">
        <v>996</v>
      </c>
      <c r="F949" s="25" t="s">
        <v>2561</v>
      </c>
      <c r="G949" s="24" t="s">
        <v>5950</v>
      </c>
      <c r="H949" s="24" t="s">
        <v>5882</v>
      </c>
      <c r="I949" s="24" t="s">
        <v>5955</v>
      </c>
      <c r="J949" s="24">
        <f>SE(I949="","-",SE(DATA.VALOR(I949)&lt;HOJE(),"VENCIDO",SE(DATA.VALOR(I949)-HOJE()&lt;=30,"CRÍTICO (&lt;=30D)","REGULAR")))</f>
      </c>
      <c r="K949" s="25" t="s">
        <v>5951</v>
      </c>
      <c r="L949" s="25" t="s">
        <v>4520</v>
      </c>
      <c r="M949" s="25" t="s">
        <v>5952</v>
      </c>
      <c r="N949" s="25" t="s">
        <v>5956</v>
      </c>
    </row>
    <row r="950" ht="20" customHeight="1" spans="1:14" x14ac:dyDescent="0.25">
      <c r="A950" s="21" t="s">
        <v>5957</v>
      </c>
      <c r="B950" s="21" t="s">
        <v>1900</v>
      </c>
      <c r="C950" s="22" t="s">
        <v>4749</v>
      </c>
      <c r="D950" s="30">
        <v>800</v>
      </c>
      <c r="E950" s="31">
        <v>5584</v>
      </c>
      <c r="F950" s="22" t="s">
        <v>4750</v>
      </c>
      <c r="G950" s="21" t="s">
        <v>5958</v>
      </c>
      <c r="H950" s="21" t="s">
        <v>5959</v>
      </c>
      <c r="I950" s="21" t="s">
        <v>5651</v>
      </c>
      <c r="J950" s="21">
        <f>SE(I950="","-",SE(DATA.VALOR(I950)&lt;HOJE(),"VENCIDO",SE(DATA.VALOR(I950)-HOJE()&lt;=30,"CRÍTICO (&lt;=30D)","REGULAR")))</f>
      </c>
      <c r="K950" s="22" t="s">
        <v>5960</v>
      </c>
      <c r="L950" s="22" t="s">
        <v>5653</v>
      </c>
      <c r="M950" s="22" t="s">
        <v>5961</v>
      </c>
      <c r="N950" s="22" t="s">
        <v>5962</v>
      </c>
    </row>
    <row r="951" ht="20" customHeight="1" spans="1:14" s="23" customFormat="1" x14ac:dyDescent="0.25">
      <c r="A951" s="24" t="s">
        <v>5963</v>
      </c>
      <c r="B951" s="24" t="s">
        <v>2012</v>
      </c>
      <c r="C951" s="25" t="s">
        <v>5657</v>
      </c>
      <c r="D951" s="32">
        <v>81</v>
      </c>
      <c r="E951" s="33">
        <v>996.3</v>
      </c>
      <c r="F951" s="25" t="s">
        <v>4750</v>
      </c>
      <c r="G951" s="24" t="s">
        <v>5964</v>
      </c>
      <c r="H951" s="24" t="s">
        <v>5965</v>
      </c>
      <c r="I951" s="24" t="s">
        <v>5651</v>
      </c>
      <c r="J951" s="24">
        <f>SE(I951="","-",SE(DATA.VALOR(I951)&lt;HOJE(),"VENCIDO",SE(DATA.VALOR(I951)-HOJE()&lt;=30,"CRÍTICO (&lt;=30D)","REGULAR")))</f>
      </c>
      <c r="K951" s="25" t="s">
        <v>5966</v>
      </c>
      <c r="L951" s="25" t="s">
        <v>5967</v>
      </c>
      <c r="M951" s="25" t="s">
        <v>5968</v>
      </c>
      <c r="N951" s="25" t="s">
        <v>5969</v>
      </c>
    </row>
    <row r="952" ht="20" customHeight="1" spans="1:14" x14ac:dyDescent="0.25">
      <c r="A952" s="21" t="s">
        <v>5970</v>
      </c>
      <c r="B952" s="21" t="s">
        <v>2012</v>
      </c>
      <c r="C952" s="22" t="s">
        <v>5662</v>
      </c>
      <c r="D952" s="30">
        <v>417</v>
      </c>
      <c r="E952" s="31">
        <v>2835.6</v>
      </c>
      <c r="F952" s="22" t="s">
        <v>4750</v>
      </c>
      <c r="G952" s="21" t="s">
        <v>5964</v>
      </c>
      <c r="H952" s="21" t="s">
        <v>5959</v>
      </c>
      <c r="I952" s="21" t="s">
        <v>5971</v>
      </c>
      <c r="J952" s="21">
        <f>SE(I952="","-",SE(DATA.VALOR(I952)&lt;HOJE(),"VENCIDO",SE(DATA.VALOR(I952)-HOJE()&lt;=30,"CRÍTICO (&lt;=30D)","REGULAR")))</f>
      </c>
      <c r="K952" s="22" t="s">
        <v>5966</v>
      </c>
      <c r="L952" s="22" t="s">
        <v>5967</v>
      </c>
      <c r="M952" s="22" t="s">
        <v>5968</v>
      </c>
      <c r="N952" s="22" t="s">
        <v>5972</v>
      </c>
    </row>
    <row r="953" ht="20" customHeight="1" spans="1:14" s="23" customFormat="1" x14ac:dyDescent="0.25">
      <c r="A953" s="24" t="s">
        <v>5973</v>
      </c>
      <c r="B953" s="24" t="s">
        <v>2012</v>
      </c>
      <c r="C953" s="25" t="s">
        <v>5648</v>
      </c>
      <c r="D953" s="32">
        <v>98</v>
      </c>
      <c r="E953" s="33">
        <v>931</v>
      </c>
      <c r="F953" s="25" t="s">
        <v>4750</v>
      </c>
      <c r="G953" s="24" t="s">
        <v>5964</v>
      </c>
      <c r="H953" s="24" t="s">
        <v>5974</v>
      </c>
      <c r="I953" s="24" t="s">
        <v>5651</v>
      </c>
      <c r="J953" s="24">
        <f>SE(I953="","-",SE(DATA.VALOR(I953)&lt;HOJE(),"VENCIDO",SE(DATA.VALOR(I953)-HOJE()&lt;=30,"CRÍTICO (&lt;=30D)","REGULAR")))</f>
      </c>
      <c r="K953" s="25" t="s">
        <v>5966</v>
      </c>
      <c r="L953" s="25" t="s">
        <v>5967</v>
      </c>
      <c r="M953" s="25" t="s">
        <v>5968</v>
      </c>
      <c r="N953" s="25" t="s">
        <v>5975</v>
      </c>
    </row>
    <row r="954" ht="20" customHeight="1" spans="1:14" x14ac:dyDescent="0.25">
      <c r="A954" s="21" t="s">
        <v>5976</v>
      </c>
      <c r="B954" s="21" t="s">
        <v>2012</v>
      </c>
      <c r="C954" s="22" t="s">
        <v>4749</v>
      </c>
      <c r="D954" s="30">
        <v>600</v>
      </c>
      <c r="E954" s="31">
        <v>4188</v>
      </c>
      <c r="F954" s="22" t="s">
        <v>4750</v>
      </c>
      <c r="G954" s="21" t="s">
        <v>5977</v>
      </c>
      <c r="H954" s="21" t="s">
        <v>5978</v>
      </c>
      <c r="I954" s="21" t="s">
        <v>5971</v>
      </c>
      <c r="J954" s="21">
        <f>SE(I954="","-",SE(DATA.VALOR(I954)&lt;HOJE(),"VENCIDO",SE(DATA.VALOR(I954)-HOJE()&lt;=30,"CRÍTICO (&lt;=30D)","REGULAR")))</f>
      </c>
      <c r="K954" s="22" t="s">
        <v>5979</v>
      </c>
      <c r="L954" s="22" t="s">
        <v>5653</v>
      </c>
      <c r="M954" s="22" t="s">
        <v>5980</v>
      </c>
      <c r="N954" s="22" t="s">
        <v>5981</v>
      </c>
    </row>
    <row r="955" ht="20" customHeight="1" spans="1:14" s="23" customFormat="1" x14ac:dyDescent="0.25">
      <c r="A955" s="24" t="s">
        <v>5982</v>
      </c>
      <c r="B955" s="24" t="s">
        <v>2012</v>
      </c>
      <c r="C955" s="25" t="s">
        <v>5325</v>
      </c>
      <c r="D955" s="32">
        <v>125</v>
      </c>
      <c r="E955" s="33">
        <v>722.5</v>
      </c>
      <c r="F955" s="25" t="s">
        <v>5326</v>
      </c>
      <c r="G955" s="24" t="s">
        <v>5983</v>
      </c>
      <c r="H955" s="24" t="s">
        <v>5984</v>
      </c>
      <c r="I955" s="24" t="s">
        <v>4718</v>
      </c>
      <c r="J955" s="24">
        <f>SE(I955="","-",SE(DATA.VALOR(I955)&lt;HOJE(),"VENCIDO",SE(DATA.VALOR(I955)-HOJE()&lt;=30,"CRÍTICO (&lt;=30D)","REGULAR")))</f>
      </c>
      <c r="K955" s="25" t="s">
        <v>5985</v>
      </c>
      <c r="L955" s="25" t="s">
        <v>5986</v>
      </c>
      <c r="M955" s="25" t="s">
        <v>5987</v>
      </c>
      <c r="N955" s="25" t="s">
        <v>5988</v>
      </c>
    </row>
    <row r="956" ht="20" customHeight="1" spans="1:14" x14ac:dyDescent="0.25">
      <c r="A956" s="21" t="s">
        <v>5989</v>
      </c>
      <c r="B956" s="21" t="s">
        <v>2012</v>
      </c>
      <c r="C956" s="22" t="s">
        <v>5990</v>
      </c>
      <c r="D956" s="30">
        <v>250</v>
      </c>
      <c r="E956" s="31">
        <v>1195</v>
      </c>
      <c r="F956" s="22" t="s">
        <v>5326</v>
      </c>
      <c r="G956" s="21" t="s">
        <v>5983</v>
      </c>
      <c r="H956" s="21" t="s">
        <v>5991</v>
      </c>
      <c r="I956" s="21" t="s">
        <v>4567</v>
      </c>
      <c r="J956" s="21">
        <f>SE(I956="","-",SE(DATA.VALOR(I956)&lt;HOJE(),"VENCIDO",SE(DATA.VALOR(I956)-HOJE()&lt;=30,"CRÍTICO (&lt;=30D)","REGULAR")))</f>
      </c>
      <c r="K956" s="22" t="s">
        <v>5985</v>
      </c>
      <c r="L956" s="22" t="s">
        <v>5986</v>
      </c>
      <c r="M956" s="22" t="s">
        <v>5987</v>
      </c>
      <c r="N956" s="22" t="s">
        <v>5992</v>
      </c>
    </row>
    <row r="957" ht="20" customHeight="1" spans="1:14" s="23" customFormat="1" x14ac:dyDescent="0.25">
      <c r="A957" s="24" t="s">
        <v>5993</v>
      </c>
      <c r="B957" s="24" t="s">
        <v>2012</v>
      </c>
      <c r="C957" s="25" t="s">
        <v>5335</v>
      </c>
      <c r="D957" s="32">
        <v>300</v>
      </c>
      <c r="E957" s="33">
        <v>1266</v>
      </c>
      <c r="F957" s="25" t="s">
        <v>5326</v>
      </c>
      <c r="G957" s="24" t="s">
        <v>5983</v>
      </c>
      <c r="H957" s="24" t="s">
        <v>5994</v>
      </c>
      <c r="I957" s="24" t="s">
        <v>5995</v>
      </c>
      <c r="J957" s="24">
        <f>SE(I957="","-",SE(DATA.VALOR(I957)&lt;HOJE(),"VENCIDO",SE(DATA.VALOR(I957)-HOJE()&lt;=30,"CRÍTICO (&lt;=30D)","REGULAR")))</f>
      </c>
      <c r="K957" s="25" t="s">
        <v>5985</v>
      </c>
      <c r="L957" s="25" t="s">
        <v>5986</v>
      </c>
      <c r="M957" s="25" t="s">
        <v>5987</v>
      </c>
      <c r="N957" s="25" t="s">
        <v>5996</v>
      </c>
    </row>
    <row r="958" ht="20" customHeight="1" spans="1:14" x14ac:dyDescent="0.25">
      <c r="A958" s="21" t="s">
        <v>5997</v>
      </c>
      <c r="B958" s="21" t="s">
        <v>2012</v>
      </c>
      <c r="C958" s="22" t="s">
        <v>4802</v>
      </c>
      <c r="D958" s="30">
        <v>500</v>
      </c>
      <c r="E958" s="31">
        <v>5500</v>
      </c>
      <c r="F958" s="22" t="s">
        <v>4803</v>
      </c>
      <c r="G958" s="21" t="s">
        <v>5998</v>
      </c>
      <c r="H958" s="21" t="s">
        <v>5999</v>
      </c>
      <c r="I958" s="21" t="s">
        <v>1880</v>
      </c>
      <c r="J958" s="21">
        <f>SE(I958="","-",SE(DATA.VALOR(I958)&lt;HOJE(),"VENCIDO",SE(DATA.VALOR(I958)-HOJE()&lt;=30,"CRÍTICO (&lt;=30D)","REGULAR")))</f>
      </c>
      <c r="K958" s="22" t="s">
        <v>6000</v>
      </c>
      <c r="L958" s="22" t="s">
        <v>5567</v>
      </c>
      <c r="M958" s="22" t="s">
        <v>6001</v>
      </c>
      <c r="N958" s="22" t="s">
        <v>6002</v>
      </c>
    </row>
    <row r="959" ht="20" customHeight="1" spans="1:14" s="23" customFormat="1" x14ac:dyDescent="0.25">
      <c r="A959" s="24" t="s">
        <v>6003</v>
      </c>
      <c r="B959" s="24" t="s">
        <v>1587</v>
      </c>
      <c r="C959" s="25" t="s">
        <v>4749</v>
      </c>
      <c r="D959" s="32">
        <v>770</v>
      </c>
      <c r="E959" s="33">
        <v>5374.6</v>
      </c>
      <c r="F959" s="25" t="s">
        <v>4750</v>
      </c>
      <c r="G959" s="24" t="s">
        <v>6004</v>
      </c>
      <c r="H959" s="24" t="s">
        <v>2996</v>
      </c>
      <c r="I959" s="24" t="s">
        <v>2058</v>
      </c>
      <c r="J959" s="24">
        <f>SE(I959="","-",SE(DATA.VALOR(I959)&lt;HOJE(),"VENCIDO",SE(DATA.VALOR(I959)-HOJE()&lt;=30,"CRÍTICO (&lt;=30D)","REGULAR")))</f>
      </c>
      <c r="K959" s="25" t="s">
        <v>6005</v>
      </c>
      <c r="L959" s="25" t="s">
        <v>5653</v>
      </c>
      <c r="M959" s="25" t="s">
        <v>6006</v>
      </c>
      <c r="N959" s="25" t="s">
        <v>6007</v>
      </c>
    </row>
    <row r="960" ht="20" customHeight="1" spans="1:14" x14ac:dyDescent="0.25">
      <c r="A960" s="21" t="s">
        <v>6008</v>
      </c>
      <c r="B960" s="21" t="s">
        <v>1659</v>
      </c>
      <c r="C960" s="22" t="s">
        <v>5293</v>
      </c>
      <c r="D960" s="30">
        <v>20</v>
      </c>
      <c r="E960" s="31">
        <v>339</v>
      </c>
      <c r="F960" s="22" t="s">
        <v>5236</v>
      </c>
      <c r="G960" s="21" t="s">
        <v>6009</v>
      </c>
      <c r="H960" s="21" t="s">
        <v>6010</v>
      </c>
      <c r="I960" s="21" t="s">
        <v>1778</v>
      </c>
      <c r="J960" s="21">
        <f>SE(I960="","-",SE(DATA.VALOR(I960)&lt;HOJE(),"VENCIDO",SE(DATA.VALOR(I960)-HOJE()&lt;=30,"CRÍTICO (&lt;=30D)","REGULAR")))</f>
      </c>
      <c r="K960" s="22" t="s">
        <v>6011</v>
      </c>
      <c r="L960" s="22" t="s">
        <v>6012</v>
      </c>
      <c r="M960" s="22" t="s">
        <v>6013</v>
      </c>
      <c r="N960" s="22" t="s">
        <v>6014</v>
      </c>
    </row>
    <row r="961" ht="20" customHeight="1" spans="1:14" s="23" customFormat="1" x14ac:dyDescent="0.25">
      <c r="A961" s="24" t="s">
        <v>6015</v>
      </c>
      <c r="B961" s="24" t="s">
        <v>1659</v>
      </c>
      <c r="C961" s="25" t="s">
        <v>5235</v>
      </c>
      <c r="D961" s="32">
        <v>234</v>
      </c>
      <c r="E961" s="33">
        <v>1687.14</v>
      </c>
      <c r="F961" s="25" t="s">
        <v>5236</v>
      </c>
      <c r="G961" s="24" t="s">
        <v>6009</v>
      </c>
      <c r="H961" s="24" t="s">
        <v>6010</v>
      </c>
      <c r="I961" s="24" t="s">
        <v>1778</v>
      </c>
      <c r="J961" s="24">
        <f>SE(I961="","-",SE(DATA.VALOR(I961)&lt;HOJE(),"VENCIDO",SE(DATA.VALOR(I961)-HOJE()&lt;=30,"CRÍTICO (&lt;=30D)","REGULAR")))</f>
      </c>
      <c r="K961" s="25" t="s">
        <v>6011</v>
      </c>
      <c r="L961" s="25" t="s">
        <v>6012</v>
      </c>
      <c r="M961" s="25" t="s">
        <v>6013</v>
      </c>
      <c r="N961" s="25" t="s">
        <v>6016</v>
      </c>
    </row>
    <row r="962" ht="20" customHeight="1" spans="1:14" x14ac:dyDescent="0.25">
      <c r="A962" s="21" t="s">
        <v>6017</v>
      </c>
      <c r="B962" s="21" t="s">
        <v>2048</v>
      </c>
      <c r="C962" s="22" t="s">
        <v>2855</v>
      </c>
      <c r="D962" s="30">
        <v>24</v>
      </c>
      <c r="E962" s="31">
        <v>105.6</v>
      </c>
      <c r="F962" s="22" t="s">
        <v>2856</v>
      </c>
      <c r="G962" s="21" t="s">
        <v>5511</v>
      </c>
      <c r="H962" s="21" t="s">
        <v>6018</v>
      </c>
      <c r="I962" s="21" t="s">
        <v>2105</v>
      </c>
      <c r="J962" s="21">
        <f>SE(I962="","-",SE(DATA.VALOR(I962)&lt;HOJE(),"VENCIDO",SE(DATA.VALOR(I962)-HOJE()&lt;=30,"CRÍTICO (&lt;=30D)","REGULAR")))</f>
      </c>
      <c r="K962" s="22" t="s">
        <v>63</v>
      </c>
      <c r="L962" s="22" t="s">
        <v>6019</v>
      </c>
      <c r="M962" s="22" t="s">
        <v>6020</v>
      </c>
      <c r="N962" s="22" t="s">
        <v>6021</v>
      </c>
    </row>
    <row r="963" ht="20" customHeight="1" spans="1:14" s="23" customFormat="1" x14ac:dyDescent="0.25">
      <c r="A963" s="24" t="s">
        <v>6022</v>
      </c>
      <c r="B963" s="24" t="s">
        <v>2048</v>
      </c>
      <c r="C963" s="25" t="s">
        <v>2935</v>
      </c>
      <c r="D963" s="32">
        <v>42</v>
      </c>
      <c r="E963" s="33">
        <v>243.6</v>
      </c>
      <c r="F963" s="25" t="s">
        <v>2856</v>
      </c>
      <c r="G963" s="24" t="s">
        <v>5511</v>
      </c>
      <c r="H963" s="24" t="s">
        <v>6018</v>
      </c>
      <c r="I963" s="24" t="s">
        <v>2105</v>
      </c>
      <c r="J963" s="24">
        <f>SE(I963="","-",SE(DATA.VALOR(I963)&lt;HOJE(),"VENCIDO",SE(DATA.VALOR(I963)-HOJE()&lt;=30,"CRÍTICO (&lt;=30D)","REGULAR")))</f>
      </c>
      <c r="K963" s="25" t="s">
        <v>63</v>
      </c>
      <c r="L963" s="25" t="s">
        <v>6019</v>
      </c>
      <c r="M963" s="25" t="s">
        <v>6020</v>
      </c>
      <c r="N963" s="25" t="s">
        <v>6021</v>
      </c>
    </row>
    <row r="964" ht="20" customHeight="1" spans="1:14" x14ac:dyDescent="0.25">
      <c r="A964" s="21" t="s">
        <v>6023</v>
      </c>
      <c r="B964" s="21" t="s">
        <v>2048</v>
      </c>
      <c r="C964" s="22" t="s">
        <v>4338</v>
      </c>
      <c r="D964" s="30">
        <v>73</v>
      </c>
      <c r="E964" s="31">
        <v>328.5</v>
      </c>
      <c r="F964" s="22" t="s">
        <v>2856</v>
      </c>
      <c r="G964" s="21" t="s">
        <v>5511</v>
      </c>
      <c r="H964" s="21" t="s">
        <v>6018</v>
      </c>
      <c r="I964" s="21" t="s">
        <v>2105</v>
      </c>
      <c r="J964" s="21">
        <f>SE(I964="","-",SE(DATA.VALOR(I964)&lt;HOJE(),"VENCIDO",SE(DATA.VALOR(I964)-HOJE()&lt;=30,"CRÍTICO (&lt;=30D)","REGULAR")))</f>
      </c>
      <c r="K964" s="22" t="s">
        <v>63</v>
      </c>
      <c r="L964" s="22" t="s">
        <v>6019</v>
      </c>
      <c r="M964" s="22" t="s">
        <v>6020</v>
      </c>
      <c r="N964" s="22" t="s">
        <v>6021</v>
      </c>
    </row>
    <row r="965" ht="20" customHeight="1" spans="1:14" s="23" customFormat="1" x14ac:dyDescent="0.25">
      <c r="A965" s="24" t="s">
        <v>6024</v>
      </c>
      <c r="B965" s="24" t="s">
        <v>2048</v>
      </c>
      <c r="C965" s="25" t="s">
        <v>2940</v>
      </c>
      <c r="D965" s="32">
        <v>48</v>
      </c>
      <c r="E965" s="33">
        <v>144</v>
      </c>
      <c r="F965" s="25" t="s">
        <v>2856</v>
      </c>
      <c r="G965" s="24" t="s">
        <v>5511</v>
      </c>
      <c r="H965" s="24" t="s">
        <v>6018</v>
      </c>
      <c r="I965" s="24" t="s">
        <v>2105</v>
      </c>
      <c r="J965" s="24">
        <f>SE(I965="","-",SE(DATA.VALOR(I965)&lt;HOJE(),"VENCIDO",SE(DATA.VALOR(I965)-HOJE()&lt;=30,"CRÍTICO (&lt;=30D)","REGULAR")))</f>
      </c>
      <c r="K965" s="25" t="s">
        <v>63</v>
      </c>
      <c r="L965" s="25" t="s">
        <v>6019</v>
      </c>
      <c r="M965" s="25" t="s">
        <v>6020</v>
      </c>
      <c r="N965" s="25" t="s">
        <v>6021</v>
      </c>
    </row>
    <row r="966" ht="20" customHeight="1" spans="1:14" x14ac:dyDescent="0.25">
      <c r="A966" s="21" t="s">
        <v>6025</v>
      </c>
      <c r="B966" s="21" t="s">
        <v>2048</v>
      </c>
      <c r="C966" s="22" t="s">
        <v>2855</v>
      </c>
      <c r="D966" s="30">
        <v>24</v>
      </c>
      <c r="E966" s="31">
        <v>105.6</v>
      </c>
      <c r="F966" s="22" t="s">
        <v>2700</v>
      </c>
      <c r="G966" s="21" t="s">
        <v>6026</v>
      </c>
      <c r="H966" s="21" t="s">
        <v>6018</v>
      </c>
      <c r="I966" s="21" t="s">
        <v>2115</v>
      </c>
      <c r="J966" s="21">
        <f>SE(I966="","-",SE(DATA.VALOR(I966)&lt;HOJE(),"VENCIDO",SE(DATA.VALOR(I966)-HOJE()&lt;=30,"CRÍTICO (&lt;=30D)","REGULAR")))</f>
      </c>
      <c r="K966" s="22" t="s">
        <v>6027</v>
      </c>
      <c r="L966" s="22" t="s">
        <v>6028</v>
      </c>
      <c r="M966" s="22" t="s">
        <v>6029</v>
      </c>
      <c r="N966" s="22" t="s">
        <v>6030</v>
      </c>
    </row>
    <row r="967" ht="20" customHeight="1" spans="1:14" s="23" customFormat="1" x14ac:dyDescent="0.25">
      <c r="A967" s="24" t="s">
        <v>6031</v>
      </c>
      <c r="B967" s="24" t="s">
        <v>2048</v>
      </c>
      <c r="C967" s="25" t="s">
        <v>2935</v>
      </c>
      <c r="D967" s="32">
        <v>43</v>
      </c>
      <c r="E967" s="33">
        <v>249.4</v>
      </c>
      <c r="F967" s="25" t="s">
        <v>2700</v>
      </c>
      <c r="G967" s="24" t="s">
        <v>6026</v>
      </c>
      <c r="H967" s="24" t="s">
        <v>6018</v>
      </c>
      <c r="I967" s="24" t="s">
        <v>2115</v>
      </c>
      <c r="J967" s="24">
        <f>SE(I967="","-",SE(DATA.VALOR(I967)&lt;HOJE(),"VENCIDO",SE(DATA.VALOR(I967)-HOJE()&lt;=30,"CRÍTICO (&lt;=30D)","REGULAR")))</f>
      </c>
      <c r="K967" s="25" t="s">
        <v>6027</v>
      </c>
      <c r="L967" s="25" t="s">
        <v>6028</v>
      </c>
      <c r="M967" s="25" t="s">
        <v>6029</v>
      </c>
      <c r="N967" s="25" t="s">
        <v>6030</v>
      </c>
    </row>
    <row r="968" ht="20" customHeight="1" spans="1:14" x14ac:dyDescent="0.25">
      <c r="A968" s="21" t="s">
        <v>6032</v>
      </c>
      <c r="B968" s="21" t="s">
        <v>2048</v>
      </c>
      <c r="C968" s="22" t="s">
        <v>4338</v>
      </c>
      <c r="D968" s="30">
        <v>74</v>
      </c>
      <c r="E968" s="31">
        <v>333</v>
      </c>
      <c r="F968" s="22" t="s">
        <v>2700</v>
      </c>
      <c r="G968" s="21" t="s">
        <v>6026</v>
      </c>
      <c r="H968" s="21" t="s">
        <v>6018</v>
      </c>
      <c r="I968" s="21" t="s">
        <v>2115</v>
      </c>
      <c r="J968" s="21">
        <f>SE(I968="","-",SE(DATA.VALOR(I968)&lt;HOJE(),"VENCIDO",SE(DATA.VALOR(I968)-HOJE()&lt;=30,"CRÍTICO (&lt;=30D)","REGULAR")))</f>
      </c>
      <c r="K968" s="22" t="s">
        <v>6027</v>
      </c>
      <c r="L968" s="22" t="s">
        <v>6028</v>
      </c>
      <c r="M968" s="22" t="s">
        <v>6029</v>
      </c>
      <c r="N968" s="22" t="s">
        <v>6030</v>
      </c>
    </row>
    <row r="969" ht="20" customHeight="1" spans="1:14" s="23" customFormat="1" x14ac:dyDescent="0.25">
      <c r="A969" s="24" t="s">
        <v>6033</v>
      </c>
      <c r="B969" s="24" t="s">
        <v>2048</v>
      </c>
      <c r="C969" s="25" t="s">
        <v>2940</v>
      </c>
      <c r="D969" s="32">
        <v>49</v>
      </c>
      <c r="E969" s="33">
        <v>147</v>
      </c>
      <c r="F969" s="25" t="s">
        <v>2700</v>
      </c>
      <c r="G969" s="24" t="s">
        <v>6026</v>
      </c>
      <c r="H969" s="24" t="s">
        <v>6018</v>
      </c>
      <c r="I969" s="24" t="s">
        <v>2115</v>
      </c>
      <c r="J969" s="24">
        <f>SE(I969="","-",SE(DATA.VALOR(I969)&lt;HOJE(),"VENCIDO",SE(DATA.VALOR(I969)-HOJE()&lt;=30,"CRÍTICO (&lt;=30D)","REGULAR")))</f>
      </c>
      <c r="K969" s="25" t="s">
        <v>6027</v>
      </c>
      <c r="L969" s="25" t="s">
        <v>6028</v>
      </c>
      <c r="M969" s="25" t="s">
        <v>6029</v>
      </c>
      <c r="N969" s="25" t="s">
        <v>6030</v>
      </c>
    </row>
    <row r="970" ht="20" customHeight="1" spans="1:14" x14ac:dyDescent="0.25">
      <c r="A970" s="21" t="s">
        <v>6034</v>
      </c>
      <c r="B970" s="21" t="s">
        <v>2048</v>
      </c>
      <c r="C970" s="22" t="s">
        <v>4276</v>
      </c>
      <c r="D970" s="30">
        <v>152</v>
      </c>
      <c r="E970" s="31">
        <v>608</v>
      </c>
      <c r="F970" s="22" t="s">
        <v>4298</v>
      </c>
      <c r="G970" s="21" t="s">
        <v>2686</v>
      </c>
      <c r="H970" s="21" t="s">
        <v>2996</v>
      </c>
      <c r="I970" s="21" t="s">
        <v>63</v>
      </c>
      <c r="J970" s="21" t="s">
        <v>20</v>
      </c>
      <c r="K970" s="22" t="s">
        <v>6035</v>
      </c>
      <c r="L970" s="22" t="s">
        <v>6036</v>
      </c>
      <c r="M970" s="22" t="s">
        <v>63</v>
      </c>
      <c r="N970" s="22" t="s">
        <v>6037</v>
      </c>
    </row>
    <row r="971" ht="20" customHeight="1" spans="1:14" s="23" customFormat="1" x14ac:dyDescent="0.25">
      <c r="A971" s="24" t="s">
        <v>6038</v>
      </c>
      <c r="B971" s="24" t="s">
        <v>2048</v>
      </c>
      <c r="C971" s="25" t="s">
        <v>4322</v>
      </c>
      <c r="D971" s="32">
        <v>166</v>
      </c>
      <c r="E971" s="33">
        <v>647.4</v>
      </c>
      <c r="F971" s="25" t="s">
        <v>4298</v>
      </c>
      <c r="G971" s="24" t="s">
        <v>2686</v>
      </c>
      <c r="H971" s="24" t="s">
        <v>2996</v>
      </c>
      <c r="I971" s="24" t="s">
        <v>63</v>
      </c>
      <c r="J971" s="24" t="s">
        <v>20</v>
      </c>
      <c r="K971" s="25" t="s">
        <v>6035</v>
      </c>
      <c r="L971" s="25" t="s">
        <v>6036</v>
      </c>
      <c r="M971" s="25" t="s">
        <v>63</v>
      </c>
      <c r="N971" s="25" t="s">
        <v>6037</v>
      </c>
    </row>
    <row r="972" ht="20" customHeight="1" spans="1:14" x14ac:dyDescent="0.25">
      <c r="A972" s="21" t="s">
        <v>6039</v>
      </c>
      <c r="B972" s="21" t="s">
        <v>2048</v>
      </c>
      <c r="C972" s="22" t="s">
        <v>2855</v>
      </c>
      <c r="D972" s="30">
        <v>21</v>
      </c>
      <c r="E972" s="31">
        <v>92.4</v>
      </c>
      <c r="F972" s="22" t="s">
        <v>4298</v>
      </c>
      <c r="G972" s="21" t="s">
        <v>2686</v>
      </c>
      <c r="H972" s="21" t="s">
        <v>6040</v>
      </c>
      <c r="I972" s="21" t="s">
        <v>2430</v>
      </c>
      <c r="J972" s="21">
        <f>SE(I972="","-",SE(DATA.VALOR(I972)&lt;HOJE(),"VENCIDO",SE(DATA.VALOR(I972)-HOJE()&lt;=30,"CRÍTICO (&lt;=30D)","REGULAR")))</f>
      </c>
      <c r="K972" s="22" t="s">
        <v>6035</v>
      </c>
      <c r="L972" s="22" t="s">
        <v>6036</v>
      </c>
      <c r="M972" s="22" t="s">
        <v>6041</v>
      </c>
      <c r="N972" s="22" t="s">
        <v>6037</v>
      </c>
    </row>
    <row r="973" ht="20" customHeight="1" spans="1:14" s="23" customFormat="1" x14ac:dyDescent="0.25">
      <c r="A973" s="24" t="s">
        <v>6042</v>
      </c>
      <c r="B973" s="24" t="s">
        <v>2048</v>
      </c>
      <c r="C973" s="25" t="s">
        <v>3883</v>
      </c>
      <c r="D973" s="32">
        <v>90</v>
      </c>
      <c r="E973" s="33">
        <v>540</v>
      </c>
      <c r="F973" s="25" t="s">
        <v>4298</v>
      </c>
      <c r="G973" s="24" t="s">
        <v>2686</v>
      </c>
      <c r="H973" s="24" t="s">
        <v>2996</v>
      </c>
      <c r="I973" s="24" t="s">
        <v>63</v>
      </c>
      <c r="J973" s="24" t="s">
        <v>20</v>
      </c>
      <c r="K973" s="25" t="s">
        <v>6035</v>
      </c>
      <c r="L973" s="25" t="s">
        <v>6036</v>
      </c>
      <c r="M973" s="25" t="s">
        <v>63</v>
      </c>
      <c r="N973" s="25" t="s">
        <v>6037</v>
      </c>
    </row>
    <row r="974" ht="20" customHeight="1" spans="1:14" x14ac:dyDescent="0.25">
      <c r="A974" s="21" t="s">
        <v>6043</v>
      </c>
      <c r="B974" s="21" t="s">
        <v>2048</v>
      </c>
      <c r="C974" s="22" t="s">
        <v>4327</v>
      </c>
      <c r="D974" s="30">
        <v>33</v>
      </c>
      <c r="E974" s="31">
        <v>180.18</v>
      </c>
      <c r="F974" s="22" t="s">
        <v>4298</v>
      </c>
      <c r="G974" s="21" t="s">
        <v>2686</v>
      </c>
      <c r="H974" s="21" t="s">
        <v>2996</v>
      </c>
      <c r="I974" s="21" t="s">
        <v>63</v>
      </c>
      <c r="J974" s="21" t="s">
        <v>20</v>
      </c>
      <c r="K974" s="22" t="s">
        <v>6035</v>
      </c>
      <c r="L974" s="22" t="s">
        <v>6036</v>
      </c>
      <c r="M974" s="22" t="s">
        <v>63</v>
      </c>
      <c r="N974" s="22" t="s">
        <v>6037</v>
      </c>
    </row>
    <row r="975" ht="20" customHeight="1" spans="1:14" s="23" customFormat="1" x14ac:dyDescent="0.25">
      <c r="A975" s="24" t="s">
        <v>6044</v>
      </c>
      <c r="B975" s="24" t="s">
        <v>2048</v>
      </c>
      <c r="C975" s="25" t="s">
        <v>4362</v>
      </c>
      <c r="D975" s="32">
        <v>218</v>
      </c>
      <c r="E975" s="33">
        <v>1308</v>
      </c>
      <c r="F975" s="25" t="s">
        <v>4298</v>
      </c>
      <c r="G975" s="24" t="s">
        <v>2686</v>
      </c>
      <c r="H975" s="24" t="s">
        <v>2996</v>
      </c>
      <c r="I975" s="24" t="s">
        <v>63</v>
      </c>
      <c r="J975" s="24" t="s">
        <v>20</v>
      </c>
      <c r="K975" s="25" t="s">
        <v>6035</v>
      </c>
      <c r="L975" s="25" t="s">
        <v>6036</v>
      </c>
      <c r="M975" s="25" t="s">
        <v>63</v>
      </c>
      <c r="N975" s="25" t="s">
        <v>6037</v>
      </c>
    </row>
    <row r="976" ht="20" customHeight="1" spans="1:14" x14ac:dyDescent="0.25">
      <c r="A976" s="21" t="s">
        <v>6045</v>
      </c>
      <c r="B976" s="21" t="s">
        <v>2048</v>
      </c>
      <c r="C976" s="22" t="s">
        <v>2940</v>
      </c>
      <c r="D976" s="30">
        <v>60</v>
      </c>
      <c r="E976" s="31">
        <v>180</v>
      </c>
      <c r="F976" s="22" t="s">
        <v>4298</v>
      </c>
      <c r="G976" s="21" t="s">
        <v>2686</v>
      </c>
      <c r="H976" s="21" t="s">
        <v>2996</v>
      </c>
      <c r="I976" s="21" t="s">
        <v>63</v>
      </c>
      <c r="J976" s="21" t="s">
        <v>20</v>
      </c>
      <c r="K976" s="22" t="s">
        <v>6035</v>
      </c>
      <c r="L976" s="22" t="s">
        <v>6036</v>
      </c>
      <c r="M976" s="22" t="s">
        <v>63</v>
      </c>
      <c r="N976" s="22" t="s">
        <v>6037</v>
      </c>
    </row>
    <row r="977" ht="20" customHeight="1" spans="1:14" s="23" customFormat="1" x14ac:dyDescent="0.25">
      <c r="A977" s="24" t="s">
        <v>6046</v>
      </c>
      <c r="B977" s="24" t="s">
        <v>2048</v>
      </c>
      <c r="C977" s="25" t="s">
        <v>4274</v>
      </c>
      <c r="D977" s="32">
        <v>125</v>
      </c>
      <c r="E977" s="33">
        <v>525</v>
      </c>
      <c r="F977" s="25" t="s">
        <v>4298</v>
      </c>
      <c r="G977" s="24" t="s">
        <v>2686</v>
      </c>
      <c r="H977" s="24" t="s">
        <v>2996</v>
      </c>
      <c r="I977" s="24" t="s">
        <v>63</v>
      </c>
      <c r="J977" s="24" t="s">
        <v>20</v>
      </c>
      <c r="K977" s="25" t="s">
        <v>6035</v>
      </c>
      <c r="L977" s="25" t="s">
        <v>6036</v>
      </c>
      <c r="M977" s="25" t="s">
        <v>63</v>
      </c>
      <c r="N977" s="25" t="s">
        <v>6037</v>
      </c>
    </row>
    <row r="978" ht="20" customHeight="1" spans="1:14" x14ac:dyDescent="0.25">
      <c r="A978" s="21" t="s">
        <v>6047</v>
      </c>
      <c r="B978" s="21" t="s">
        <v>2048</v>
      </c>
      <c r="C978" s="22" t="s">
        <v>4338</v>
      </c>
      <c r="D978" s="30">
        <v>75</v>
      </c>
      <c r="E978" s="31">
        <v>337.5</v>
      </c>
      <c r="F978" s="22" t="s">
        <v>4298</v>
      </c>
      <c r="G978" s="21" t="s">
        <v>2686</v>
      </c>
      <c r="H978" s="21" t="s">
        <v>2996</v>
      </c>
      <c r="I978" s="21" t="s">
        <v>63</v>
      </c>
      <c r="J978" s="21" t="s">
        <v>20</v>
      </c>
      <c r="K978" s="22" t="s">
        <v>6035</v>
      </c>
      <c r="L978" s="22" t="s">
        <v>6036</v>
      </c>
      <c r="M978" s="22" t="s">
        <v>63</v>
      </c>
      <c r="N978" s="22" t="s">
        <v>6037</v>
      </c>
    </row>
    <row r="979" ht="20" customHeight="1" spans="1:14" s="23" customFormat="1" x14ac:dyDescent="0.25">
      <c r="A979" s="24" t="s">
        <v>6048</v>
      </c>
      <c r="B979" s="24" t="s">
        <v>2048</v>
      </c>
      <c r="C979" s="25" t="s">
        <v>4305</v>
      </c>
      <c r="D979" s="32">
        <v>93</v>
      </c>
      <c r="E979" s="33">
        <v>316.2</v>
      </c>
      <c r="F979" s="25" t="s">
        <v>4298</v>
      </c>
      <c r="G979" s="24" t="s">
        <v>2686</v>
      </c>
      <c r="H979" s="24" t="s">
        <v>2996</v>
      </c>
      <c r="I979" s="24" t="s">
        <v>63</v>
      </c>
      <c r="J979" s="24" t="s">
        <v>20</v>
      </c>
      <c r="K979" s="25" t="s">
        <v>6035</v>
      </c>
      <c r="L979" s="25" t="s">
        <v>6036</v>
      </c>
      <c r="M979" s="25" t="s">
        <v>63</v>
      </c>
      <c r="N979" s="25" t="s">
        <v>6037</v>
      </c>
    </row>
    <row r="980" ht="20" customHeight="1" spans="1:14" x14ac:dyDescent="0.25">
      <c r="A980" s="21" t="s">
        <v>6049</v>
      </c>
      <c r="B980" s="21" t="s">
        <v>2048</v>
      </c>
      <c r="C980" s="22" t="s">
        <v>4369</v>
      </c>
      <c r="D980" s="30">
        <v>156</v>
      </c>
      <c r="E980" s="31">
        <v>483.6</v>
      </c>
      <c r="F980" s="22" t="s">
        <v>4298</v>
      </c>
      <c r="G980" s="21" t="s">
        <v>2686</v>
      </c>
      <c r="H980" s="21" t="s">
        <v>6050</v>
      </c>
      <c r="I980" s="21" t="s">
        <v>2377</v>
      </c>
      <c r="J980" s="21">
        <f>SE(I980="","-",SE(DATA.VALOR(I980)&lt;HOJE(),"VENCIDO",SE(DATA.VALOR(I980)-HOJE()&lt;=30,"CRÍTICO (&lt;=30D)","REGULAR")))</f>
      </c>
      <c r="K980" s="22" t="s">
        <v>6035</v>
      </c>
      <c r="L980" s="22" t="s">
        <v>6036</v>
      </c>
      <c r="M980" s="22" t="s">
        <v>63</v>
      </c>
      <c r="N980" s="22" t="s">
        <v>6037</v>
      </c>
    </row>
    <row r="981" ht="20" customHeight="1" spans="1:14" s="23" customFormat="1" x14ac:dyDescent="0.25">
      <c r="A981" s="24" t="s">
        <v>6051</v>
      </c>
      <c r="B981" s="24" t="s">
        <v>2048</v>
      </c>
      <c r="C981" s="25" t="s">
        <v>4318</v>
      </c>
      <c r="D981" s="32">
        <v>162</v>
      </c>
      <c r="E981" s="33">
        <v>680.4</v>
      </c>
      <c r="F981" s="25" t="s">
        <v>4298</v>
      </c>
      <c r="G981" s="24" t="s">
        <v>2686</v>
      </c>
      <c r="H981" s="24" t="s">
        <v>2996</v>
      </c>
      <c r="I981" s="24" t="s">
        <v>63</v>
      </c>
      <c r="J981" s="24" t="s">
        <v>20</v>
      </c>
      <c r="K981" s="25" t="s">
        <v>6035</v>
      </c>
      <c r="L981" s="25" t="s">
        <v>6036</v>
      </c>
      <c r="M981" s="25" t="s">
        <v>63</v>
      </c>
      <c r="N981" s="25" t="s">
        <v>6037</v>
      </c>
    </row>
    <row r="982" ht="20" customHeight="1" spans="1:14" x14ac:dyDescent="0.25">
      <c r="A982" s="21" t="s">
        <v>6052</v>
      </c>
      <c r="B982" s="21" t="s">
        <v>2048</v>
      </c>
      <c r="C982" s="22" t="s">
        <v>4179</v>
      </c>
      <c r="D982" s="30">
        <v>177</v>
      </c>
      <c r="E982" s="31">
        <v>838.98</v>
      </c>
      <c r="F982" s="22" t="s">
        <v>4298</v>
      </c>
      <c r="G982" s="21" t="s">
        <v>2686</v>
      </c>
      <c r="H982" s="21" t="s">
        <v>2996</v>
      </c>
      <c r="I982" s="21" t="s">
        <v>63</v>
      </c>
      <c r="J982" s="21" t="s">
        <v>20</v>
      </c>
      <c r="K982" s="22" t="s">
        <v>6035</v>
      </c>
      <c r="L982" s="22" t="s">
        <v>6036</v>
      </c>
      <c r="M982" s="22" t="s">
        <v>63</v>
      </c>
      <c r="N982" s="22" t="s">
        <v>6037</v>
      </c>
    </row>
    <row r="983" ht="20" customHeight="1" spans="1:14" s="23" customFormat="1" x14ac:dyDescent="0.25">
      <c r="A983" s="24" t="s">
        <v>6053</v>
      </c>
      <c r="B983" s="24" t="s">
        <v>6054</v>
      </c>
      <c r="C983" s="25" t="s">
        <v>5293</v>
      </c>
      <c r="D983" s="32">
        <v>20</v>
      </c>
      <c r="E983" s="33">
        <v>339</v>
      </c>
      <c r="F983" s="25" t="s">
        <v>5236</v>
      </c>
      <c r="G983" s="24" t="s">
        <v>6055</v>
      </c>
      <c r="H983" s="24" t="s">
        <v>6056</v>
      </c>
      <c r="I983" s="24" t="s">
        <v>2160</v>
      </c>
      <c r="J983" s="24">
        <f>SE(I983="","-",SE(DATA.VALOR(I983)&lt;HOJE(),"VENCIDO",SE(DATA.VALOR(I983)-HOJE()&lt;=30,"CRÍTICO (&lt;=30D)","REGULAR")))</f>
      </c>
      <c r="K983" s="25" t="s">
        <v>6057</v>
      </c>
      <c r="L983" s="25" t="s">
        <v>6058</v>
      </c>
      <c r="M983" s="25" t="s">
        <v>6059</v>
      </c>
      <c r="N983" s="25" t="s">
        <v>6060</v>
      </c>
    </row>
    <row r="984" ht="20" customHeight="1" spans="1:14" x14ac:dyDescent="0.25">
      <c r="A984" s="21" t="s">
        <v>6061</v>
      </c>
      <c r="B984" s="21" t="s">
        <v>6054</v>
      </c>
      <c r="C984" s="22" t="s">
        <v>5235</v>
      </c>
      <c r="D984" s="30">
        <v>324</v>
      </c>
      <c r="E984" s="31">
        <v>2336.04</v>
      </c>
      <c r="F984" s="22" t="s">
        <v>5236</v>
      </c>
      <c r="G984" s="21" t="s">
        <v>6055</v>
      </c>
      <c r="H984" s="21" t="s">
        <v>6056</v>
      </c>
      <c r="I984" s="21" t="s">
        <v>2160</v>
      </c>
      <c r="J984" s="21">
        <f>SE(I984="","-",SE(DATA.VALOR(I984)&lt;HOJE(),"VENCIDO",SE(DATA.VALOR(I984)-HOJE()&lt;=30,"CRÍTICO (&lt;=30D)","REGULAR")))</f>
      </c>
      <c r="K984" s="22" t="s">
        <v>6057</v>
      </c>
      <c r="L984" s="22" t="s">
        <v>6058</v>
      </c>
      <c r="M984" s="22" t="s">
        <v>6059</v>
      </c>
      <c r="N984" s="22" t="s">
        <v>6062</v>
      </c>
    </row>
    <row r="985" ht="20" customHeight="1" spans="1:14" s="23" customFormat="1" x14ac:dyDescent="0.25">
      <c r="A985" s="24" t="s">
        <v>6063</v>
      </c>
      <c r="B985" s="24" t="s">
        <v>2058</v>
      </c>
      <c r="C985" s="25" t="s">
        <v>4276</v>
      </c>
      <c r="D985" s="32">
        <v>129</v>
      </c>
      <c r="E985" s="33">
        <v>516</v>
      </c>
      <c r="F985" s="25" t="s">
        <v>2734</v>
      </c>
      <c r="G985" s="24" t="s">
        <v>3761</v>
      </c>
      <c r="H985" s="24" t="s">
        <v>6064</v>
      </c>
      <c r="I985" s="24" t="s">
        <v>2119</v>
      </c>
      <c r="J985" s="24">
        <f>SE(I985="","-",SE(DATA.VALOR(I985)&lt;HOJE(),"VENCIDO",SE(DATA.VALOR(I985)-HOJE()&lt;=30,"CRÍTICO (&lt;=30D)","REGULAR")))</f>
      </c>
      <c r="K985" s="25" t="s">
        <v>63</v>
      </c>
      <c r="L985" s="25" t="s">
        <v>6065</v>
      </c>
      <c r="M985" s="25" t="s">
        <v>6066</v>
      </c>
      <c r="N985" s="25" t="s">
        <v>6067</v>
      </c>
    </row>
    <row r="986" ht="20" customHeight="1" spans="1:14" x14ac:dyDescent="0.25">
      <c r="A986" s="21" t="s">
        <v>6068</v>
      </c>
      <c r="B986" s="21" t="s">
        <v>2058</v>
      </c>
      <c r="C986" s="22" t="s">
        <v>4322</v>
      </c>
      <c r="D986" s="30">
        <v>195</v>
      </c>
      <c r="E986" s="31">
        <v>760.5</v>
      </c>
      <c r="F986" s="22" t="s">
        <v>2734</v>
      </c>
      <c r="G986" s="21" t="s">
        <v>3761</v>
      </c>
      <c r="H986" s="21" t="s">
        <v>6018</v>
      </c>
      <c r="I986" s="21" t="s">
        <v>2119</v>
      </c>
      <c r="J986" s="21">
        <f>SE(I986="","-",SE(DATA.VALOR(I986)&lt;HOJE(),"VENCIDO",SE(DATA.VALOR(I986)-HOJE()&lt;=30,"CRÍTICO (&lt;=30D)","REGULAR")))</f>
      </c>
      <c r="K986" s="22" t="s">
        <v>63</v>
      </c>
      <c r="L986" s="22" t="s">
        <v>6065</v>
      </c>
      <c r="M986" s="22" t="s">
        <v>6066</v>
      </c>
      <c r="N986" s="22" t="s">
        <v>6067</v>
      </c>
    </row>
    <row r="987" ht="20" customHeight="1" spans="1:14" s="23" customFormat="1" x14ac:dyDescent="0.25">
      <c r="A987" s="24" t="s">
        <v>6069</v>
      </c>
      <c r="B987" s="24" t="s">
        <v>2058</v>
      </c>
      <c r="C987" s="25" t="s">
        <v>4327</v>
      </c>
      <c r="D987" s="32">
        <v>25</v>
      </c>
      <c r="E987" s="33">
        <v>136.5</v>
      </c>
      <c r="F987" s="25" t="s">
        <v>2734</v>
      </c>
      <c r="G987" s="24" t="s">
        <v>3761</v>
      </c>
      <c r="H987" s="24" t="s">
        <v>6018</v>
      </c>
      <c r="I987" s="24" t="s">
        <v>2119</v>
      </c>
      <c r="J987" s="24">
        <f>SE(I987="","-",SE(DATA.VALOR(I987)&lt;HOJE(),"VENCIDO",SE(DATA.VALOR(I987)-HOJE()&lt;=30,"CRÍTICO (&lt;=30D)","REGULAR")))</f>
      </c>
      <c r="K987" s="25" t="s">
        <v>63</v>
      </c>
      <c r="L987" s="25" t="s">
        <v>6065</v>
      </c>
      <c r="M987" s="25" t="s">
        <v>6066</v>
      </c>
      <c r="N987" s="25" t="s">
        <v>6067</v>
      </c>
    </row>
    <row r="988" ht="20" customHeight="1" spans="1:14" x14ac:dyDescent="0.25">
      <c r="A988" s="21" t="s">
        <v>6070</v>
      </c>
      <c r="B988" s="21" t="s">
        <v>2058</v>
      </c>
      <c r="C988" s="22" t="s">
        <v>4274</v>
      </c>
      <c r="D988" s="30">
        <v>143</v>
      </c>
      <c r="E988" s="31">
        <v>600.6</v>
      </c>
      <c r="F988" s="22" t="s">
        <v>2734</v>
      </c>
      <c r="G988" s="21" t="s">
        <v>3761</v>
      </c>
      <c r="H988" s="21" t="s">
        <v>6018</v>
      </c>
      <c r="I988" s="21" t="s">
        <v>2119</v>
      </c>
      <c r="J988" s="21">
        <f>SE(I988="","-",SE(DATA.VALOR(I988)&lt;HOJE(),"VENCIDO",SE(DATA.VALOR(I988)-HOJE()&lt;=30,"CRÍTICO (&lt;=30D)","REGULAR")))</f>
      </c>
      <c r="K988" s="22" t="s">
        <v>63</v>
      </c>
      <c r="L988" s="22" t="s">
        <v>6065</v>
      </c>
      <c r="M988" s="22" t="s">
        <v>6066</v>
      </c>
      <c r="N988" s="22" t="s">
        <v>6067</v>
      </c>
    </row>
    <row r="989" ht="20" customHeight="1" spans="1:14" s="23" customFormat="1" x14ac:dyDescent="0.25">
      <c r="A989" s="24" t="s">
        <v>6071</v>
      </c>
      <c r="B989" s="24" t="s">
        <v>2058</v>
      </c>
      <c r="C989" s="25" t="s">
        <v>4318</v>
      </c>
      <c r="D989" s="32">
        <v>163</v>
      </c>
      <c r="E989" s="33">
        <v>684.6</v>
      </c>
      <c r="F989" s="25" t="s">
        <v>2734</v>
      </c>
      <c r="G989" s="24" t="s">
        <v>3761</v>
      </c>
      <c r="H989" s="24" t="s">
        <v>6018</v>
      </c>
      <c r="I989" s="24" t="s">
        <v>2119</v>
      </c>
      <c r="J989" s="24">
        <f>SE(I989="","-",SE(DATA.VALOR(I989)&lt;HOJE(),"VENCIDO",SE(DATA.VALOR(I989)-HOJE()&lt;=30,"CRÍTICO (&lt;=30D)","REGULAR")))</f>
      </c>
      <c r="K989" s="25" t="s">
        <v>63</v>
      </c>
      <c r="L989" s="25" t="s">
        <v>6065</v>
      </c>
      <c r="M989" s="25" t="s">
        <v>6066</v>
      </c>
      <c r="N989" s="25" t="s">
        <v>6067</v>
      </c>
    </row>
    <row r="990" ht="20" customHeight="1" spans="1:14" x14ac:dyDescent="0.25">
      <c r="A990" s="21" t="s">
        <v>6072</v>
      </c>
      <c r="B990" s="21" t="s">
        <v>2058</v>
      </c>
      <c r="C990" s="22" t="s">
        <v>4179</v>
      </c>
      <c r="D990" s="30">
        <v>351</v>
      </c>
      <c r="E990" s="31">
        <v>1663.74</v>
      </c>
      <c r="F990" s="22" t="s">
        <v>2734</v>
      </c>
      <c r="G990" s="21" t="s">
        <v>3761</v>
      </c>
      <c r="H990" s="21" t="s">
        <v>6018</v>
      </c>
      <c r="I990" s="21" t="s">
        <v>2119</v>
      </c>
      <c r="J990" s="21">
        <f>SE(I990="","-",SE(DATA.VALOR(I990)&lt;HOJE(),"VENCIDO",SE(DATA.VALOR(I990)-HOJE()&lt;=30,"CRÍTICO (&lt;=30D)","REGULAR")))</f>
      </c>
      <c r="K990" s="22" t="s">
        <v>63</v>
      </c>
      <c r="L990" s="22" t="s">
        <v>6065</v>
      </c>
      <c r="M990" s="22" t="s">
        <v>6066</v>
      </c>
      <c r="N990" s="22" t="s">
        <v>6067</v>
      </c>
    </row>
    <row r="991" ht="20" customHeight="1" spans="1:14" s="23" customFormat="1" x14ac:dyDescent="0.25">
      <c r="A991" s="24" t="s">
        <v>6073</v>
      </c>
      <c r="B991" s="24" t="s">
        <v>2058</v>
      </c>
      <c r="C991" s="25" t="s">
        <v>4305</v>
      </c>
      <c r="D991" s="32">
        <v>97</v>
      </c>
      <c r="E991" s="33">
        <v>329.8</v>
      </c>
      <c r="F991" s="25" t="s">
        <v>2734</v>
      </c>
      <c r="G991" s="24" t="s">
        <v>3761</v>
      </c>
      <c r="H991" s="24" t="s">
        <v>6018</v>
      </c>
      <c r="I991" s="24" t="s">
        <v>2119</v>
      </c>
      <c r="J991" s="24">
        <f>SE(I991="","-",SE(DATA.VALOR(I991)&lt;HOJE(),"VENCIDO",SE(DATA.VALOR(I991)-HOJE()&lt;=30,"CRÍTICO (&lt;=30D)","REGULAR")))</f>
      </c>
      <c r="K991" s="25" t="s">
        <v>63</v>
      </c>
      <c r="L991" s="25" t="s">
        <v>6065</v>
      </c>
      <c r="M991" s="25" t="s">
        <v>6066</v>
      </c>
      <c r="N991" s="25" t="s">
        <v>6067</v>
      </c>
    </row>
    <row r="992" ht="20" customHeight="1" spans="1:14" x14ac:dyDescent="0.25">
      <c r="A992" s="21" t="s">
        <v>6074</v>
      </c>
      <c r="B992" s="21" t="s">
        <v>2058</v>
      </c>
      <c r="C992" s="22" t="s">
        <v>2940</v>
      </c>
      <c r="D992" s="30">
        <v>80</v>
      </c>
      <c r="E992" s="31">
        <v>240</v>
      </c>
      <c r="F992" s="22" t="s">
        <v>2734</v>
      </c>
      <c r="G992" s="21" t="s">
        <v>3761</v>
      </c>
      <c r="H992" s="21" t="s">
        <v>6018</v>
      </c>
      <c r="I992" s="21" t="s">
        <v>2119</v>
      </c>
      <c r="J992" s="21">
        <f>SE(I992="","-",SE(DATA.VALOR(I992)&lt;HOJE(),"VENCIDO",SE(DATA.VALOR(I992)-HOJE()&lt;=30,"CRÍTICO (&lt;=30D)","REGULAR")))</f>
      </c>
      <c r="K992" s="22" t="s">
        <v>63</v>
      </c>
      <c r="L992" s="22" t="s">
        <v>6065</v>
      </c>
      <c r="M992" s="22" t="s">
        <v>6066</v>
      </c>
      <c r="N992" s="22" t="s">
        <v>6067</v>
      </c>
    </row>
    <row r="993" ht="20" customHeight="1" spans="1:14" s="23" customFormat="1" x14ac:dyDescent="0.25">
      <c r="A993" s="24" t="s">
        <v>6075</v>
      </c>
      <c r="B993" s="24" t="s">
        <v>1859</v>
      </c>
      <c r="C993" s="25" t="s">
        <v>4516</v>
      </c>
      <c r="D993" s="32">
        <v>280</v>
      </c>
      <c r="E993" s="33">
        <v>1568</v>
      </c>
      <c r="F993" s="25" t="s">
        <v>2561</v>
      </c>
      <c r="G993" s="24" t="s">
        <v>5678</v>
      </c>
      <c r="H993" s="24" t="s">
        <v>5679</v>
      </c>
      <c r="I993" s="24" t="s">
        <v>2115</v>
      </c>
      <c r="J993" s="24">
        <f>SE(I993="","-",SE(DATA.VALOR(I993)&lt;HOJE(),"VENCIDO",SE(DATA.VALOR(I993)-HOJE()&lt;=30,"CRÍTICO (&lt;=30D)","REGULAR")))</f>
      </c>
      <c r="K993" s="25" t="s">
        <v>5680</v>
      </c>
      <c r="L993" s="25" t="s">
        <v>4520</v>
      </c>
      <c r="M993" s="25" t="s">
        <v>5681</v>
      </c>
      <c r="N993" s="25" t="s">
        <v>6076</v>
      </c>
    </row>
    <row r="994" ht="20" customHeight="1" spans="1:14" x14ac:dyDescent="0.25">
      <c r="A994" s="21" t="s">
        <v>6077</v>
      </c>
      <c r="B994" s="21" t="s">
        <v>2015</v>
      </c>
      <c r="C994" s="22" t="s">
        <v>6078</v>
      </c>
      <c r="D994" s="30">
        <v>570</v>
      </c>
      <c r="E994" s="31">
        <v>1014.6</v>
      </c>
      <c r="F994" s="22" t="s">
        <v>5605</v>
      </c>
      <c r="G994" s="21" t="s">
        <v>6079</v>
      </c>
      <c r="H994" s="21" t="s">
        <v>6080</v>
      </c>
      <c r="I994" s="21" t="s">
        <v>2232</v>
      </c>
      <c r="J994" s="21">
        <f>SE(I994="","-",SE(DATA.VALOR(I994)&lt;HOJE(),"VENCIDO",SE(DATA.VALOR(I994)-HOJE()&lt;=30,"CRÍTICO (&lt;=30D)","REGULAR")))</f>
      </c>
      <c r="K994" s="22" t="s">
        <v>6081</v>
      </c>
      <c r="L994" s="22" t="s">
        <v>6082</v>
      </c>
      <c r="M994" s="22" t="s">
        <v>6083</v>
      </c>
      <c r="N994" s="22" t="s">
        <v>6084</v>
      </c>
    </row>
    <row r="995" ht="20" customHeight="1" spans="1:14" s="23" customFormat="1" x14ac:dyDescent="0.25">
      <c r="A995" s="24" t="s">
        <v>6085</v>
      </c>
      <c r="B995" s="24" t="s">
        <v>2048</v>
      </c>
      <c r="C995" s="25" t="s">
        <v>4585</v>
      </c>
      <c r="D995" s="32">
        <v>300</v>
      </c>
      <c r="E995" s="33">
        <v>3000</v>
      </c>
      <c r="F995" s="25" t="s">
        <v>4586</v>
      </c>
      <c r="G995" s="24" t="s">
        <v>6086</v>
      </c>
      <c r="H995" s="24" t="s">
        <v>6087</v>
      </c>
      <c r="I995" s="24" t="s">
        <v>3549</v>
      </c>
      <c r="J995" s="24">
        <f>SE(I995="","-",SE(DATA.VALOR(I995)&lt;HOJE(),"VENCIDO",SE(DATA.VALOR(I995)-HOJE()&lt;=30,"CRÍTICO (&lt;=30D)","REGULAR")))</f>
      </c>
      <c r="K995" s="25" t="s">
        <v>6088</v>
      </c>
      <c r="L995" s="25" t="s">
        <v>4591</v>
      </c>
      <c r="M995" s="25" t="s">
        <v>6089</v>
      </c>
      <c r="N995" s="25" t="s">
        <v>6090</v>
      </c>
    </row>
    <row r="996" ht="20" customHeight="1" spans="1:14" x14ac:dyDescent="0.25">
      <c r="A996" s="21" t="s">
        <v>6091</v>
      </c>
      <c r="B996" s="21" t="s">
        <v>2058</v>
      </c>
      <c r="C996" s="22" t="s">
        <v>4318</v>
      </c>
      <c r="D996" s="30">
        <v>181</v>
      </c>
      <c r="E996" s="31">
        <v>760.2</v>
      </c>
      <c r="F996" s="22" t="s">
        <v>2796</v>
      </c>
      <c r="G996" s="21" t="s">
        <v>6092</v>
      </c>
      <c r="H996" s="21" t="s">
        <v>2996</v>
      </c>
      <c r="I996" s="21" t="s">
        <v>63</v>
      </c>
      <c r="J996" s="21" t="s">
        <v>20</v>
      </c>
      <c r="K996" s="22" t="s">
        <v>63</v>
      </c>
      <c r="L996" s="22" t="s">
        <v>63</v>
      </c>
      <c r="M996" s="22" t="s">
        <v>63</v>
      </c>
      <c r="N996" s="22" t="s">
        <v>6093</v>
      </c>
    </row>
    <row r="997" ht="20" customHeight="1" spans="1:14" s="23" customFormat="1" x14ac:dyDescent="0.25">
      <c r="A997" s="24" t="s">
        <v>6094</v>
      </c>
      <c r="B997" s="24" t="s">
        <v>2058</v>
      </c>
      <c r="C997" s="25" t="s">
        <v>4179</v>
      </c>
      <c r="D997" s="32">
        <v>147</v>
      </c>
      <c r="E997" s="33">
        <v>696.78</v>
      </c>
      <c r="F997" s="25" t="s">
        <v>2796</v>
      </c>
      <c r="G997" s="24" t="s">
        <v>6092</v>
      </c>
      <c r="H997" s="24" t="s">
        <v>2996</v>
      </c>
      <c r="I997" s="24" t="s">
        <v>63</v>
      </c>
      <c r="J997" s="24" t="s">
        <v>20</v>
      </c>
      <c r="K997" s="25" t="s">
        <v>63</v>
      </c>
      <c r="L997" s="25" t="s">
        <v>63</v>
      </c>
      <c r="M997" s="25" t="s">
        <v>63</v>
      </c>
      <c r="N997" s="25" t="s">
        <v>6093</v>
      </c>
    </row>
    <row r="998" ht="20" customHeight="1" spans="1:14" x14ac:dyDescent="0.25">
      <c r="A998" s="21" t="s">
        <v>6095</v>
      </c>
      <c r="B998" s="21" t="s">
        <v>2048</v>
      </c>
      <c r="C998" s="22" t="s">
        <v>5156</v>
      </c>
      <c r="D998" s="30">
        <v>10000</v>
      </c>
      <c r="E998" s="31">
        <v>3190</v>
      </c>
      <c r="F998" s="22" t="s">
        <v>5147</v>
      </c>
      <c r="G998" s="21" t="s">
        <v>6096</v>
      </c>
      <c r="H998" s="21" t="s">
        <v>2996</v>
      </c>
      <c r="I998" s="21" t="s">
        <v>6097</v>
      </c>
      <c r="J998" s="21">
        <f>SE(I998="","-",SE(DATA.VALOR(I998)&lt;HOJE(),"VENCIDO",SE(DATA.VALOR(I998)-HOJE()&lt;=30,"CRÍTICO (&lt;=30D)","REGULAR")))</f>
      </c>
      <c r="K998" s="22" t="s">
        <v>6098</v>
      </c>
      <c r="L998" s="22" t="s">
        <v>5885</v>
      </c>
      <c r="M998" s="22" t="s">
        <v>6099</v>
      </c>
      <c r="N998" s="22" t="s">
        <v>6100</v>
      </c>
    </row>
    <row r="999" ht="20" customHeight="1" spans="1:14" s="23" customFormat="1" x14ac:dyDescent="0.25">
      <c r="A999" s="24" t="s">
        <v>6101</v>
      </c>
      <c r="B999" s="24" t="s">
        <v>2569</v>
      </c>
      <c r="C999" s="25" t="s">
        <v>3303</v>
      </c>
      <c r="D999" s="32">
        <v>650</v>
      </c>
      <c r="E999" s="33">
        <v>1196</v>
      </c>
      <c r="F999" s="25" t="s">
        <v>2616</v>
      </c>
      <c r="G999" s="24" t="s">
        <v>3272</v>
      </c>
      <c r="H999" s="24" t="s">
        <v>6102</v>
      </c>
      <c r="I999" s="24" t="s">
        <v>65</v>
      </c>
      <c r="J999" s="24">
        <f>SE(I999="","-",SE(DATA.VALOR(I999)&lt;HOJE(),"VENCIDO",SE(DATA.VALOR(I999)-HOJE()&lt;=30,"CRÍTICO (&lt;=30D)","REGULAR")))</f>
      </c>
      <c r="K999" s="25" t="s">
        <v>6103</v>
      </c>
      <c r="L999" s="25" t="s">
        <v>63</v>
      </c>
      <c r="M999" s="25" t="s">
        <v>3274</v>
      </c>
      <c r="N999" s="25" t="s">
        <v>6104</v>
      </c>
    </row>
    <row r="1000" ht="20" customHeight="1" spans="1:14" x14ac:dyDescent="0.25">
      <c r="A1000" s="21" t="s">
        <v>6105</v>
      </c>
      <c r="B1000" s="21" t="s">
        <v>2569</v>
      </c>
      <c r="C1000" s="22" t="s">
        <v>3271</v>
      </c>
      <c r="D1000" s="30">
        <v>300</v>
      </c>
      <c r="E1000" s="31">
        <v>486</v>
      </c>
      <c r="F1000" s="22" t="s">
        <v>2616</v>
      </c>
      <c r="G1000" s="21" t="s">
        <v>3272</v>
      </c>
      <c r="H1000" s="21" t="s">
        <v>6102</v>
      </c>
      <c r="I1000" s="21" t="s">
        <v>65</v>
      </c>
      <c r="J1000" s="21">
        <f>SE(I1000="","-",SE(DATA.VALOR(I1000)&lt;HOJE(),"VENCIDO",SE(DATA.VALOR(I1000)-HOJE()&lt;=30,"CRÍTICO (&lt;=30D)","REGULAR")))</f>
      </c>
      <c r="K1000" s="22" t="s">
        <v>6103</v>
      </c>
      <c r="L1000" s="22" t="s">
        <v>63</v>
      </c>
      <c r="M1000" s="22" t="s">
        <v>6106</v>
      </c>
      <c r="N1000" s="22" t="s">
        <v>6107</v>
      </c>
    </row>
    <row r="1001" ht="20" customHeight="1" spans="1:14" s="23" customFormat="1" x14ac:dyDescent="0.25">
      <c r="A1001" s="24" t="s">
        <v>6108</v>
      </c>
      <c r="B1001" s="24" t="s">
        <v>2105</v>
      </c>
      <c r="C1001" s="25" t="s">
        <v>3784</v>
      </c>
      <c r="D1001" s="32">
        <v>1400</v>
      </c>
      <c r="E1001" s="33">
        <v>7560</v>
      </c>
      <c r="F1001" s="25" t="s">
        <v>2652</v>
      </c>
      <c r="G1001" s="24" t="s">
        <v>6109</v>
      </c>
      <c r="H1001" s="24" t="s">
        <v>6110</v>
      </c>
      <c r="I1001" s="24" t="s">
        <v>2160</v>
      </c>
      <c r="J1001" s="24">
        <f>SE(I1001="","-",SE(DATA.VALOR(I1001)&lt;HOJE(),"VENCIDO",SE(DATA.VALOR(I1001)-HOJE()&lt;=30,"CRÍTICO (&lt;=30D)","REGULAR")))</f>
      </c>
      <c r="K1001" s="25" t="s">
        <v>63</v>
      </c>
      <c r="L1001" s="25" t="s">
        <v>63</v>
      </c>
      <c r="M1001" s="25" t="s">
        <v>6111</v>
      </c>
      <c r="N1001" s="25" t="s">
        <v>6112</v>
      </c>
    </row>
    <row r="1002" ht="20" customHeight="1" spans="1:14" x14ac:dyDescent="0.25">
      <c r="A1002" s="21" t="s">
        <v>6113</v>
      </c>
      <c r="B1002" s="21" t="s">
        <v>2119</v>
      </c>
      <c r="C1002" s="22" t="s">
        <v>4276</v>
      </c>
      <c r="D1002" s="30">
        <v>142</v>
      </c>
      <c r="E1002" s="31">
        <v>568</v>
      </c>
      <c r="F1002" s="22" t="s">
        <v>4374</v>
      </c>
      <c r="G1002" s="21" t="s">
        <v>6114</v>
      </c>
      <c r="H1002" s="21" t="s">
        <v>6115</v>
      </c>
      <c r="I1002" s="21" t="s">
        <v>2058</v>
      </c>
      <c r="J1002" s="21">
        <f>SE(I1002="","-",SE(DATA.VALOR(I1002)&lt;HOJE(),"VENCIDO",SE(DATA.VALOR(I1002)-HOJE()&lt;=30,"CRÍTICO (&lt;=30D)","REGULAR")))</f>
      </c>
      <c r="K1002" s="22" t="s">
        <v>6116</v>
      </c>
      <c r="L1002" s="22" t="s">
        <v>6117</v>
      </c>
      <c r="M1002" s="22" t="s">
        <v>6041</v>
      </c>
      <c r="N1002" s="22" t="s">
        <v>6118</v>
      </c>
    </row>
    <row r="1003" ht="20" customHeight="1" spans="1:14" s="23" customFormat="1" x14ac:dyDescent="0.25">
      <c r="A1003" s="24" t="s">
        <v>6119</v>
      </c>
      <c r="B1003" s="24" t="s">
        <v>2119</v>
      </c>
      <c r="C1003" s="25" t="s">
        <v>4274</v>
      </c>
      <c r="D1003" s="32">
        <v>130</v>
      </c>
      <c r="E1003" s="33">
        <v>546</v>
      </c>
      <c r="F1003" s="25" t="s">
        <v>4374</v>
      </c>
      <c r="G1003" s="24" t="s">
        <v>6114</v>
      </c>
      <c r="H1003" s="24" t="s">
        <v>6115</v>
      </c>
      <c r="I1003" s="24" t="s">
        <v>2058</v>
      </c>
      <c r="J1003" s="24">
        <f>SE(I1003="","-",SE(DATA.VALOR(I1003)&lt;HOJE(),"VENCIDO",SE(DATA.VALOR(I1003)-HOJE()&lt;=30,"CRÍTICO (&lt;=30D)","REGULAR")))</f>
      </c>
      <c r="K1003" s="25" t="s">
        <v>6116</v>
      </c>
      <c r="L1003" s="25" t="s">
        <v>6117</v>
      </c>
      <c r="M1003" s="25" t="s">
        <v>6041</v>
      </c>
      <c r="N1003" s="25" t="s">
        <v>6118</v>
      </c>
    </row>
    <row r="1004" ht="20" customHeight="1" spans="1:14" x14ac:dyDescent="0.25">
      <c r="A1004" s="21" t="s">
        <v>6120</v>
      </c>
      <c r="B1004" s="21" t="s">
        <v>2119</v>
      </c>
      <c r="C1004" s="22" t="s">
        <v>4266</v>
      </c>
      <c r="D1004" s="30">
        <v>108</v>
      </c>
      <c r="E1004" s="31">
        <v>345.6</v>
      </c>
      <c r="F1004" s="22" t="s">
        <v>4374</v>
      </c>
      <c r="G1004" s="21" t="s">
        <v>6114</v>
      </c>
      <c r="H1004" s="21" t="s">
        <v>6115</v>
      </c>
      <c r="I1004" s="21" t="s">
        <v>2058</v>
      </c>
      <c r="J1004" s="21">
        <f>SE(I1004="","-",SE(DATA.VALOR(I1004)&lt;HOJE(),"VENCIDO",SE(DATA.VALOR(I1004)-HOJE()&lt;=30,"CRÍTICO (&lt;=30D)","REGULAR")))</f>
      </c>
      <c r="K1004" s="22" t="s">
        <v>6116</v>
      </c>
      <c r="L1004" s="22" t="s">
        <v>6117</v>
      </c>
      <c r="M1004" s="22" t="s">
        <v>6041</v>
      </c>
      <c r="N1004" s="22" t="s">
        <v>6118</v>
      </c>
    </row>
    <row r="1005" ht="20" customHeight="1" spans="1:14" s="23" customFormat="1" x14ac:dyDescent="0.25">
      <c r="A1005" s="24" t="s">
        <v>6121</v>
      </c>
      <c r="B1005" s="24" t="s">
        <v>2119</v>
      </c>
      <c r="C1005" s="25" t="s">
        <v>4318</v>
      </c>
      <c r="D1005" s="32">
        <v>139</v>
      </c>
      <c r="E1005" s="33">
        <v>583.8</v>
      </c>
      <c r="F1005" s="25" t="s">
        <v>4374</v>
      </c>
      <c r="G1005" s="24" t="s">
        <v>6114</v>
      </c>
      <c r="H1005" s="24" t="s">
        <v>6115</v>
      </c>
      <c r="I1005" s="24" t="s">
        <v>2058</v>
      </c>
      <c r="J1005" s="24">
        <f>SE(I1005="","-",SE(DATA.VALOR(I1005)&lt;HOJE(),"VENCIDO",SE(DATA.VALOR(I1005)-HOJE()&lt;=30,"CRÍTICO (&lt;=30D)","REGULAR")))</f>
      </c>
      <c r="K1005" s="25" t="s">
        <v>6116</v>
      </c>
      <c r="L1005" s="25" t="s">
        <v>6117</v>
      </c>
      <c r="M1005" s="25" t="s">
        <v>6041</v>
      </c>
      <c r="N1005" s="25" t="s">
        <v>6118</v>
      </c>
    </row>
    <row r="1006" ht="20" customHeight="1" spans="1:14" x14ac:dyDescent="0.25">
      <c r="A1006" s="21" t="s">
        <v>6122</v>
      </c>
      <c r="B1006" s="21" t="s">
        <v>2119</v>
      </c>
      <c r="C1006" s="22" t="s">
        <v>4179</v>
      </c>
      <c r="D1006" s="30">
        <v>173</v>
      </c>
      <c r="E1006" s="31">
        <v>820.02</v>
      </c>
      <c r="F1006" s="22" t="s">
        <v>4374</v>
      </c>
      <c r="G1006" s="21" t="s">
        <v>6114</v>
      </c>
      <c r="H1006" s="21" t="s">
        <v>6115</v>
      </c>
      <c r="I1006" s="21" t="s">
        <v>2386</v>
      </c>
      <c r="J1006" s="21">
        <f>SE(I1006="","-",SE(DATA.VALOR(I1006)&lt;HOJE(),"VENCIDO",SE(DATA.VALOR(I1006)-HOJE()&lt;=30,"CRÍTICO (&lt;=30D)","REGULAR")))</f>
      </c>
      <c r="K1006" s="22" t="s">
        <v>6116</v>
      </c>
      <c r="L1006" s="22" t="s">
        <v>6117</v>
      </c>
      <c r="M1006" s="22" t="s">
        <v>6041</v>
      </c>
      <c r="N1006" s="22" t="s">
        <v>6118</v>
      </c>
    </row>
    <row r="1007" ht="20" customHeight="1" spans="1:14" s="23" customFormat="1" x14ac:dyDescent="0.25">
      <c r="A1007" s="24" t="s">
        <v>6123</v>
      </c>
      <c r="B1007" s="24" t="s">
        <v>2119</v>
      </c>
      <c r="C1007" s="25" t="s">
        <v>2940</v>
      </c>
      <c r="D1007" s="32">
        <v>100</v>
      </c>
      <c r="E1007" s="33">
        <v>300</v>
      </c>
      <c r="F1007" s="25" t="s">
        <v>4374</v>
      </c>
      <c r="G1007" s="24" t="s">
        <v>6114</v>
      </c>
      <c r="H1007" s="24" t="s">
        <v>6124</v>
      </c>
      <c r="I1007" s="24" t="s">
        <v>5358</v>
      </c>
      <c r="J1007" s="24">
        <f>SE(I1007="","-",SE(DATA.VALOR(I1007)&lt;HOJE(),"VENCIDO",SE(DATA.VALOR(I1007)-HOJE()&lt;=30,"CRÍTICO (&lt;=30D)","REGULAR")))</f>
      </c>
      <c r="K1007" s="25" t="s">
        <v>6116</v>
      </c>
      <c r="L1007" s="25" t="s">
        <v>6117</v>
      </c>
      <c r="M1007" s="25" t="s">
        <v>63</v>
      </c>
      <c r="N1007" s="25" t="s">
        <v>6118</v>
      </c>
    </row>
    <row r="1008" ht="20" customHeight="1" spans="1:14" x14ac:dyDescent="0.25">
      <c r="A1008" s="21" t="s">
        <v>6125</v>
      </c>
      <c r="B1008" s="21" t="s">
        <v>2130</v>
      </c>
      <c r="C1008" s="22" t="s">
        <v>6126</v>
      </c>
      <c r="D1008" s="30">
        <v>300</v>
      </c>
      <c r="E1008" s="31">
        <v>3288</v>
      </c>
      <c r="F1008" s="22" t="s">
        <v>4624</v>
      </c>
      <c r="G1008" s="21" t="s">
        <v>6127</v>
      </c>
      <c r="H1008" s="21" t="s">
        <v>6128</v>
      </c>
      <c r="I1008" s="21" t="s">
        <v>6129</v>
      </c>
      <c r="J1008" s="21">
        <f>SE(I1008="","-",SE(DATA.VALOR(I1008)&lt;HOJE(),"VENCIDO",SE(DATA.VALOR(I1008)-HOJE()&lt;=30,"CRÍTICO (&lt;=30D)","REGULAR")))</f>
      </c>
      <c r="K1008" s="22" t="s">
        <v>6130</v>
      </c>
      <c r="L1008" s="22" t="s">
        <v>5448</v>
      </c>
      <c r="M1008" s="22" t="s">
        <v>6131</v>
      </c>
      <c r="N1008" s="22" t="s">
        <v>6132</v>
      </c>
    </row>
    <row r="1009" ht="20" customHeight="1" spans="1:14" s="23" customFormat="1" x14ac:dyDescent="0.25">
      <c r="A1009" s="24" t="s">
        <v>6133</v>
      </c>
      <c r="B1009" s="24" t="s">
        <v>1970</v>
      </c>
      <c r="C1009" s="25" t="s">
        <v>2940</v>
      </c>
      <c r="D1009" s="32">
        <v>69.2</v>
      </c>
      <c r="E1009" s="33">
        <v>207.6</v>
      </c>
      <c r="F1009" s="25" t="s">
        <v>2757</v>
      </c>
      <c r="G1009" s="24" t="s">
        <v>2797</v>
      </c>
      <c r="H1009" s="24" t="s">
        <v>6115</v>
      </c>
      <c r="I1009" s="24" t="s">
        <v>2058</v>
      </c>
      <c r="J1009" s="24">
        <f>SE(I1009="","-",SE(DATA.VALOR(I1009)&lt;HOJE(),"VENCIDO",SE(DATA.VALOR(I1009)-HOJE()&lt;=30,"CRÍTICO (&lt;=30D)","REGULAR")))</f>
      </c>
      <c r="K1009" s="25" t="s">
        <v>5866</v>
      </c>
      <c r="L1009" s="25" t="s">
        <v>5867</v>
      </c>
      <c r="M1009" s="25" t="s">
        <v>6041</v>
      </c>
      <c r="N1009" s="25" t="s">
        <v>6134</v>
      </c>
    </row>
    <row r="1010" ht="20" customHeight="1" spans="1:14" x14ac:dyDescent="0.25">
      <c r="A1010" s="21" t="s">
        <v>6135</v>
      </c>
      <c r="B1010" s="21" t="s">
        <v>1970</v>
      </c>
      <c r="C1010" s="22" t="s">
        <v>4369</v>
      </c>
      <c r="D1010" s="30">
        <v>159.3</v>
      </c>
      <c r="E1010" s="31">
        <v>493.83</v>
      </c>
      <c r="F1010" s="22" t="s">
        <v>2757</v>
      </c>
      <c r="G1010" s="21" t="s">
        <v>2797</v>
      </c>
      <c r="H1010" s="21" t="s">
        <v>6115</v>
      </c>
      <c r="I1010" s="21" t="s">
        <v>2386</v>
      </c>
      <c r="J1010" s="21">
        <f>SE(I1010="","-",SE(DATA.VALOR(I1010)&lt;HOJE(),"VENCIDO",SE(DATA.VALOR(I1010)-HOJE()&lt;=30,"CRÍTICO (&lt;=30D)","REGULAR")))</f>
      </c>
      <c r="K1010" s="22" t="s">
        <v>5866</v>
      </c>
      <c r="L1010" s="22" t="s">
        <v>5867</v>
      </c>
      <c r="M1010" s="22" t="s">
        <v>6041</v>
      </c>
      <c r="N1010" s="22" t="s">
        <v>6136</v>
      </c>
    </row>
    <row r="1011" ht="20" customHeight="1" spans="1:14" s="23" customFormat="1" x14ac:dyDescent="0.25">
      <c r="A1011" s="24" t="s">
        <v>6137</v>
      </c>
      <c r="B1011" s="24" t="s">
        <v>1970</v>
      </c>
      <c r="C1011" s="25" t="s">
        <v>4266</v>
      </c>
      <c r="D1011" s="32">
        <v>102.3</v>
      </c>
      <c r="E1011" s="33">
        <v>327.36</v>
      </c>
      <c r="F1011" s="25" t="s">
        <v>2757</v>
      </c>
      <c r="G1011" s="24" t="s">
        <v>2797</v>
      </c>
      <c r="H1011" s="24" t="s">
        <v>6138</v>
      </c>
      <c r="I1011" s="24" t="s">
        <v>2058</v>
      </c>
      <c r="J1011" s="24">
        <f>SE(I1011="","-",SE(DATA.VALOR(I1011)&lt;HOJE(),"VENCIDO",SE(DATA.VALOR(I1011)-HOJE()&lt;=30,"CRÍTICO (&lt;=30D)","REGULAR")))</f>
      </c>
      <c r="K1011" s="25" t="s">
        <v>5866</v>
      </c>
      <c r="L1011" s="25" t="s">
        <v>5867</v>
      </c>
      <c r="M1011" s="25" t="s">
        <v>6041</v>
      </c>
      <c r="N1011" s="25" t="s">
        <v>6139</v>
      </c>
    </row>
    <row r="1012" ht="20" customHeight="1" spans="1:14" x14ac:dyDescent="0.25">
      <c r="A1012" s="21" t="s">
        <v>6140</v>
      </c>
      <c r="B1012" s="21" t="s">
        <v>1970</v>
      </c>
      <c r="C1012" s="22" t="s">
        <v>4274</v>
      </c>
      <c r="D1012" s="30">
        <v>163.8</v>
      </c>
      <c r="E1012" s="31">
        <v>687.96</v>
      </c>
      <c r="F1012" s="22" t="s">
        <v>2757</v>
      </c>
      <c r="G1012" s="21" t="s">
        <v>2797</v>
      </c>
      <c r="H1012" s="21" t="s">
        <v>6138</v>
      </c>
      <c r="I1012" s="21" t="s">
        <v>2058</v>
      </c>
      <c r="J1012" s="21">
        <f>SE(I1012="","-",SE(DATA.VALOR(I1012)&lt;HOJE(),"VENCIDO",SE(DATA.VALOR(I1012)-HOJE()&lt;=30,"CRÍTICO (&lt;=30D)","REGULAR")))</f>
      </c>
      <c r="K1012" s="22" t="s">
        <v>5866</v>
      </c>
      <c r="L1012" s="22" t="s">
        <v>5867</v>
      </c>
      <c r="M1012" s="22" t="s">
        <v>6041</v>
      </c>
      <c r="N1012" s="22" t="s">
        <v>6141</v>
      </c>
    </row>
    <row r="1013" ht="20" customHeight="1" spans="1:14" s="23" customFormat="1" x14ac:dyDescent="0.25">
      <c r="A1013" s="24" t="s">
        <v>6142</v>
      </c>
      <c r="B1013" s="24" t="s">
        <v>2130</v>
      </c>
      <c r="C1013" s="25" t="s">
        <v>5161</v>
      </c>
      <c r="D1013" s="32">
        <v>200</v>
      </c>
      <c r="E1013" s="33">
        <v>12706</v>
      </c>
      <c r="F1013" s="25" t="s">
        <v>4660</v>
      </c>
      <c r="G1013" s="24" t="s">
        <v>3564</v>
      </c>
      <c r="H1013" s="24" t="s">
        <v>6143</v>
      </c>
      <c r="I1013" s="24" t="s">
        <v>6144</v>
      </c>
      <c r="J1013" s="24">
        <f>SE(I1013="","-",SE(DATA.VALOR(I1013)&lt;HOJE(),"VENCIDO",SE(DATA.VALOR(I1013)-HOJE()&lt;=30,"CRÍTICO (&lt;=30D)","REGULAR")))</f>
      </c>
      <c r="K1013" s="25" t="s">
        <v>6145</v>
      </c>
      <c r="L1013" s="25" t="s">
        <v>4665</v>
      </c>
      <c r="M1013" s="25" t="s">
        <v>6146</v>
      </c>
      <c r="N1013" s="25" t="s">
        <v>6147</v>
      </c>
    </row>
    <row r="1014" ht="20" customHeight="1" spans="1:14" x14ac:dyDescent="0.25">
      <c r="A1014" s="21" t="s">
        <v>6148</v>
      </c>
      <c r="B1014" s="21" t="s">
        <v>2119</v>
      </c>
      <c r="C1014" s="22" t="s">
        <v>4717</v>
      </c>
      <c r="D1014" s="30">
        <v>324</v>
      </c>
      <c r="E1014" s="31">
        <v>1681.56</v>
      </c>
      <c r="F1014" s="22" t="s">
        <v>4709</v>
      </c>
      <c r="G1014" s="21" t="s">
        <v>6149</v>
      </c>
      <c r="H1014" s="21" t="s">
        <v>6150</v>
      </c>
      <c r="I1014" s="21" t="s">
        <v>6151</v>
      </c>
      <c r="J1014" s="21">
        <f>SE(I1014="","-",SE(DATA.VALOR(I1014)&lt;HOJE(),"VENCIDO",SE(DATA.VALOR(I1014)-HOJE()&lt;=30,"CRÍTICO (&lt;=30D)","REGULAR")))</f>
      </c>
      <c r="K1014" s="22" t="s">
        <v>6152</v>
      </c>
      <c r="L1014" s="22" t="s">
        <v>4713</v>
      </c>
      <c r="M1014" s="22" t="s">
        <v>6153</v>
      </c>
      <c r="N1014" s="22" t="s">
        <v>6154</v>
      </c>
    </row>
    <row r="1015" ht="20" customHeight="1" spans="1:14" s="23" customFormat="1" x14ac:dyDescent="0.25">
      <c r="A1015" s="24" t="s">
        <v>6155</v>
      </c>
      <c r="B1015" s="24" t="s">
        <v>2148</v>
      </c>
      <c r="C1015" s="25" t="s">
        <v>5063</v>
      </c>
      <c r="D1015" s="32">
        <v>151</v>
      </c>
      <c r="E1015" s="33">
        <v>770.1</v>
      </c>
      <c r="F1015" s="25" t="s">
        <v>5052</v>
      </c>
      <c r="G1015" s="24" t="s">
        <v>6156</v>
      </c>
      <c r="H1015" s="24" t="s">
        <v>6157</v>
      </c>
      <c r="I1015" s="24" t="s">
        <v>2386</v>
      </c>
      <c r="J1015" s="24">
        <f>SE(I1015="","-",SE(DATA.VALOR(I1015)&lt;HOJE(),"VENCIDO",SE(DATA.VALOR(I1015)-HOJE()&lt;=30,"CRÍTICO (&lt;=30D)","REGULAR")))</f>
      </c>
      <c r="K1015" s="25" t="s">
        <v>6158</v>
      </c>
      <c r="L1015" s="25" t="s">
        <v>6159</v>
      </c>
      <c r="M1015" s="25" t="s">
        <v>6160</v>
      </c>
      <c r="N1015" s="25" t="s">
        <v>6161</v>
      </c>
    </row>
    <row r="1016" ht="20" customHeight="1" spans="1:14" x14ac:dyDescent="0.25">
      <c r="A1016" s="21" t="s">
        <v>6162</v>
      </c>
      <c r="B1016" s="21" t="s">
        <v>2148</v>
      </c>
      <c r="C1016" s="22" t="s">
        <v>4362</v>
      </c>
      <c r="D1016" s="30">
        <v>201</v>
      </c>
      <c r="E1016" s="31">
        <v>1206</v>
      </c>
      <c r="F1016" s="22" t="s">
        <v>5052</v>
      </c>
      <c r="G1016" s="21" t="s">
        <v>6156</v>
      </c>
      <c r="H1016" s="21" t="s">
        <v>6157</v>
      </c>
      <c r="I1016" s="21" t="s">
        <v>2386</v>
      </c>
      <c r="J1016" s="21">
        <f>SE(I1016="","-",SE(DATA.VALOR(I1016)&lt;HOJE(),"VENCIDO",SE(DATA.VALOR(I1016)-HOJE()&lt;=30,"CRÍTICO (&lt;=30D)","REGULAR")))</f>
      </c>
      <c r="K1016" s="22" t="s">
        <v>6158</v>
      </c>
      <c r="L1016" s="22" t="s">
        <v>6159</v>
      </c>
      <c r="M1016" s="22" t="s">
        <v>6160</v>
      </c>
      <c r="N1016" s="22" t="s">
        <v>6161</v>
      </c>
    </row>
    <row r="1017" ht="20" customHeight="1" spans="1:14" s="23" customFormat="1" x14ac:dyDescent="0.25">
      <c r="A1017" s="24" t="s">
        <v>6163</v>
      </c>
      <c r="B1017" s="24" t="s">
        <v>2148</v>
      </c>
      <c r="C1017" s="25" t="s">
        <v>4266</v>
      </c>
      <c r="D1017" s="32">
        <v>72</v>
      </c>
      <c r="E1017" s="33">
        <v>230.4</v>
      </c>
      <c r="F1017" s="25" t="s">
        <v>5052</v>
      </c>
      <c r="G1017" s="24" t="s">
        <v>6156</v>
      </c>
      <c r="H1017" s="24" t="s">
        <v>6157</v>
      </c>
      <c r="I1017" s="24" t="s">
        <v>2386</v>
      </c>
      <c r="J1017" s="24">
        <f>SE(I1017="","-",SE(DATA.VALOR(I1017)&lt;HOJE(),"VENCIDO",SE(DATA.VALOR(I1017)-HOJE()&lt;=30,"CRÍTICO (&lt;=30D)","REGULAR")))</f>
      </c>
      <c r="K1017" s="25" t="s">
        <v>6158</v>
      </c>
      <c r="L1017" s="25" t="s">
        <v>6159</v>
      </c>
      <c r="M1017" s="25" t="s">
        <v>6160</v>
      </c>
      <c r="N1017" s="25" t="s">
        <v>6161</v>
      </c>
    </row>
    <row r="1018" ht="20" customHeight="1" spans="1:14" x14ac:dyDescent="0.25">
      <c r="A1018" s="21" t="s">
        <v>6164</v>
      </c>
      <c r="B1018" s="21" t="s">
        <v>2148</v>
      </c>
      <c r="C1018" s="22" t="s">
        <v>4327</v>
      </c>
      <c r="D1018" s="30">
        <v>37</v>
      </c>
      <c r="E1018" s="31">
        <v>202.02</v>
      </c>
      <c r="F1018" s="22" t="s">
        <v>5052</v>
      </c>
      <c r="G1018" s="21" t="s">
        <v>6156</v>
      </c>
      <c r="H1018" s="21" t="s">
        <v>6157</v>
      </c>
      <c r="I1018" s="21" t="s">
        <v>2386</v>
      </c>
      <c r="J1018" s="21">
        <f>SE(I1018="","-",SE(DATA.VALOR(I1018)&lt;HOJE(),"VENCIDO",SE(DATA.VALOR(I1018)-HOJE()&lt;=30,"CRÍTICO (&lt;=30D)","REGULAR")))</f>
      </c>
      <c r="K1018" s="22" t="s">
        <v>6158</v>
      </c>
      <c r="L1018" s="22" t="s">
        <v>6159</v>
      </c>
      <c r="M1018" s="22" t="s">
        <v>6160</v>
      </c>
      <c r="N1018" s="22" t="s">
        <v>6161</v>
      </c>
    </row>
    <row r="1019" ht="20" customHeight="1" spans="1:14" s="23" customFormat="1" x14ac:dyDescent="0.25">
      <c r="A1019" s="24" t="s">
        <v>6165</v>
      </c>
      <c r="B1019" s="24" t="s">
        <v>2148</v>
      </c>
      <c r="C1019" s="25" t="s">
        <v>2940</v>
      </c>
      <c r="D1019" s="32">
        <v>56</v>
      </c>
      <c r="E1019" s="33">
        <v>168</v>
      </c>
      <c r="F1019" s="25" t="s">
        <v>5052</v>
      </c>
      <c r="G1019" s="24" t="s">
        <v>6156</v>
      </c>
      <c r="H1019" s="24" t="s">
        <v>6157</v>
      </c>
      <c r="I1019" s="24" t="s">
        <v>2386</v>
      </c>
      <c r="J1019" s="24">
        <f>SE(I1019="","-",SE(DATA.VALOR(I1019)&lt;HOJE(),"VENCIDO",SE(DATA.VALOR(I1019)-HOJE()&lt;=30,"CRÍTICO (&lt;=30D)","REGULAR")))</f>
      </c>
      <c r="K1019" s="25" t="s">
        <v>6158</v>
      </c>
      <c r="L1019" s="25" t="s">
        <v>6159</v>
      </c>
      <c r="M1019" s="25" t="s">
        <v>6160</v>
      </c>
      <c r="N1019" s="25" t="s">
        <v>6161</v>
      </c>
    </row>
    <row r="1020" ht="20" customHeight="1" spans="1:14" x14ac:dyDescent="0.25">
      <c r="A1020" s="21" t="s">
        <v>6166</v>
      </c>
      <c r="B1020" s="21" t="s">
        <v>2148</v>
      </c>
      <c r="C1020" s="22" t="s">
        <v>4274</v>
      </c>
      <c r="D1020" s="30">
        <v>75</v>
      </c>
      <c r="E1020" s="31">
        <v>315</v>
      </c>
      <c r="F1020" s="22" t="s">
        <v>5052</v>
      </c>
      <c r="G1020" s="21" t="s">
        <v>6156</v>
      </c>
      <c r="H1020" s="21" t="s">
        <v>6157</v>
      </c>
      <c r="I1020" s="21" t="s">
        <v>2386</v>
      </c>
      <c r="J1020" s="21">
        <f>SE(I1020="","-",SE(DATA.VALOR(I1020)&lt;HOJE(),"VENCIDO",SE(DATA.VALOR(I1020)-HOJE()&lt;=30,"CRÍTICO (&lt;=30D)","REGULAR")))</f>
      </c>
      <c r="K1020" s="22" t="s">
        <v>6158</v>
      </c>
      <c r="L1020" s="22" t="s">
        <v>6159</v>
      </c>
      <c r="M1020" s="22" t="s">
        <v>6160</v>
      </c>
      <c r="N1020" s="22" t="s">
        <v>6161</v>
      </c>
    </row>
    <row r="1021" ht="20" customHeight="1" spans="1:14" s="23" customFormat="1" x14ac:dyDescent="0.25">
      <c r="A1021" s="24" t="s">
        <v>6167</v>
      </c>
      <c r="B1021" s="24" t="s">
        <v>2148</v>
      </c>
      <c r="C1021" s="25" t="s">
        <v>3890</v>
      </c>
      <c r="D1021" s="32">
        <v>67</v>
      </c>
      <c r="E1021" s="33">
        <v>335</v>
      </c>
      <c r="F1021" s="25" t="s">
        <v>5052</v>
      </c>
      <c r="G1021" s="24" t="s">
        <v>6156</v>
      </c>
      <c r="H1021" s="24" t="s">
        <v>6157</v>
      </c>
      <c r="I1021" s="24" t="s">
        <v>2386</v>
      </c>
      <c r="J1021" s="24">
        <f>SE(I1021="","-",SE(DATA.VALOR(I1021)&lt;HOJE(),"VENCIDO",SE(DATA.VALOR(I1021)-HOJE()&lt;=30,"CRÍTICO (&lt;=30D)","REGULAR")))</f>
      </c>
      <c r="K1021" s="25" t="s">
        <v>6158</v>
      </c>
      <c r="L1021" s="25" t="s">
        <v>6159</v>
      </c>
      <c r="M1021" s="25" t="s">
        <v>6160</v>
      </c>
      <c r="N1021" s="25" t="s">
        <v>6161</v>
      </c>
    </row>
    <row r="1022" ht="20" customHeight="1" spans="1:14" x14ac:dyDescent="0.25">
      <c r="A1022" s="21" t="s">
        <v>6168</v>
      </c>
      <c r="B1022" s="21" t="s">
        <v>2148</v>
      </c>
      <c r="C1022" s="22" t="s">
        <v>4305</v>
      </c>
      <c r="D1022" s="30">
        <v>108</v>
      </c>
      <c r="E1022" s="31">
        <v>367.2</v>
      </c>
      <c r="F1022" s="22" t="s">
        <v>5052</v>
      </c>
      <c r="G1022" s="21" t="s">
        <v>6156</v>
      </c>
      <c r="H1022" s="21" t="s">
        <v>6157</v>
      </c>
      <c r="I1022" s="21" t="s">
        <v>2386</v>
      </c>
      <c r="J1022" s="21">
        <f>SE(I1022="","-",SE(DATA.VALOR(I1022)&lt;HOJE(),"VENCIDO",SE(DATA.VALOR(I1022)-HOJE()&lt;=30,"CRÍTICO (&lt;=30D)","REGULAR")))</f>
      </c>
      <c r="K1022" s="22" t="s">
        <v>6158</v>
      </c>
      <c r="L1022" s="22" t="s">
        <v>6159</v>
      </c>
      <c r="M1022" s="22" t="s">
        <v>6160</v>
      </c>
      <c r="N1022" s="22" t="s">
        <v>6161</v>
      </c>
    </row>
    <row r="1023" ht="20" customHeight="1" spans="1:14" s="23" customFormat="1" x14ac:dyDescent="0.25">
      <c r="A1023" s="24" t="s">
        <v>6169</v>
      </c>
      <c r="B1023" s="24" t="s">
        <v>2148</v>
      </c>
      <c r="C1023" s="25" t="s">
        <v>5063</v>
      </c>
      <c r="D1023" s="32">
        <v>104</v>
      </c>
      <c r="E1023" s="33">
        <v>530.4</v>
      </c>
      <c r="F1023" s="25" t="s">
        <v>2717</v>
      </c>
      <c r="G1023" s="24" t="s">
        <v>6170</v>
      </c>
      <c r="H1023" s="24" t="s">
        <v>6171</v>
      </c>
      <c r="I1023" s="24" t="s">
        <v>2377</v>
      </c>
      <c r="J1023" s="24">
        <f>SE(I1023="","-",SE(DATA.VALOR(I1023)&lt;HOJE(),"VENCIDO",SE(DATA.VALOR(I1023)-HOJE()&lt;=30,"CRÍTICO (&lt;=30D)","REGULAR")))</f>
      </c>
      <c r="K1023" s="25" t="s">
        <v>6172</v>
      </c>
      <c r="L1023" s="25" t="s">
        <v>6173</v>
      </c>
      <c r="M1023" s="25" t="s">
        <v>6174</v>
      </c>
      <c r="N1023" s="25" t="s">
        <v>6175</v>
      </c>
    </row>
    <row r="1024" ht="20" customHeight="1" spans="1:14" x14ac:dyDescent="0.25">
      <c r="A1024" s="21" t="s">
        <v>6176</v>
      </c>
      <c r="B1024" s="21" t="s">
        <v>2148</v>
      </c>
      <c r="C1024" s="22" t="s">
        <v>4362</v>
      </c>
      <c r="D1024" s="30">
        <v>104</v>
      </c>
      <c r="E1024" s="31">
        <v>624</v>
      </c>
      <c r="F1024" s="22" t="s">
        <v>2717</v>
      </c>
      <c r="G1024" s="21" t="s">
        <v>6170</v>
      </c>
      <c r="H1024" s="21" t="s">
        <v>6171</v>
      </c>
      <c r="I1024" s="21" t="s">
        <v>6054</v>
      </c>
      <c r="J1024" s="21">
        <f>SE(I1024="","-",SE(DATA.VALOR(I1024)&lt;HOJE(),"VENCIDO",SE(DATA.VALOR(I1024)-HOJE()&lt;=30,"CRÍTICO (&lt;=30D)","REGULAR")))</f>
      </c>
      <c r="K1024" s="22" t="s">
        <v>6172</v>
      </c>
      <c r="L1024" s="22" t="s">
        <v>6173</v>
      </c>
      <c r="M1024" s="22" t="s">
        <v>6174</v>
      </c>
      <c r="N1024" s="22" t="s">
        <v>6175</v>
      </c>
    </row>
    <row r="1025" ht="20" customHeight="1" spans="1:14" s="23" customFormat="1" x14ac:dyDescent="0.25">
      <c r="A1025" s="24" t="s">
        <v>6177</v>
      </c>
      <c r="B1025" s="24" t="s">
        <v>2148</v>
      </c>
      <c r="C1025" s="25" t="s">
        <v>4274</v>
      </c>
      <c r="D1025" s="32">
        <v>82</v>
      </c>
      <c r="E1025" s="33">
        <v>344.4</v>
      </c>
      <c r="F1025" s="25" t="s">
        <v>2717</v>
      </c>
      <c r="G1025" s="24" t="s">
        <v>6170</v>
      </c>
      <c r="H1025" s="24" t="s">
        <v>6171</v>
      </c>
      <c r="I1025" s="24" t="s">
        <v>2377</v>
      </c>
      <c r="J1025" s="24">
        <f>SE(I1025="","-",SE(DATA.VALOR(I1025)&lt;HOJE(),"VENCIDO",SE(DATA.VALOR(I1025)-HOJE()&lt;=30,"CRÍTICO (&lt;=30D)","REGULAR")))</f>
      </c>
      <c r="K1025" s="25" t="s">
        <v>6172</v>
      </c>
      <c r="L1025" s="25" t="s">
        <v>6173</v>
      </c>
      <c r="M1025" s="25" t="s">
        <v>6174</v>
      </c>
      <c r="N1025" s="25" t="s">
        <v>6175</v>
      </c>
    </row>
    <row r="1026" ht="20" customHeight="1" spans="1:14" x14ac:dyDescent="0.25">
      <c r="A1026" s="21" t="s">
        <v>6178</v>
      </c>
      <c r="B1026" s="21" t="s">
        <v>2160</v>
      </c>
      <c r="C1026" s="22" t="s">
        <v>2940</v>
      </c>
      <c r="D1026" s="30">
        <v>74</v>
      </c>
      <c r="E1026" s="31">
        <v>222</v>
      </c>
      <c r="F1026" s="22" t="s">
        <v>4642</v>
      </c>
      <c r="G1026" s="21" t="s">
        <v>6179</v>
      </c>
      <c r="H1026" s="21" t="s">
        <v>6157</v>
      </c>
      <c r="I1026" s="21" t="s">
        <v>2386</v>
      </c>
      <c r="J1026" s="21">
        <f>SE(I1026="","-",SE(DATA.VALOR(I1026)&lt;HOJE(),"VENCIDO",SE(DATA.VALOR(I1026)-HOJE()&lt;=30,"CRÍTICO (&lt;=30D)","REGULAR")))</f>
      </c>
      <c r="K1026" s="22" t="s">
        <v>63</v>
      </c>
      <c r="L1026" s="22" t="s">
        <v>63</v>
      </c>
      <c r="M1026" s="22" t="s">
        <v>6180</v>
      </c>
      <c r="N1026" s="22" t="s">
        <v>6181</v>
      </c>
    </row>
    <row r="1027" ht="20" customHeight="1" spans="1:14" s="23" customFormat="1" x14ac:dyDescent="0.25">
      <c r="A1027" s="24" t="s">
        <v>6182</v>
      </c>
      <c r="B1027" s="24" t="s">
        <v>2160</v>
      </c>
      <c r="C1027" s="25" t="s">
        <v>4266</v>
      </c>
      <c r="D1027" s="32">
        <v>99</v>
      </c>
      <c r="E1027" s="33">
        <v>316.8</v>
      </c>
      <c r="F1027" s="25" t="s">
        <v>4642</v>
      </c>
      <c r="G1027" s="24" t="s">
        <v>6179</v>
      </c>
      <c r="H1027" s="24" t="s">
        <v>6157</v>
      </c>
      <c r="I1027" s="24" t="s">
        <v>2386</v>
      </c>
      <c r="J1027" s="24">
        <f>SE(I1027="","-",SE(DATA.VALOR(I1027)&lt;HOJE(),"VENCIDO",SE(DATA.VALOR(I1027)-HOJE()&lt;=30,"CRÍTICO (&lt;=30D)","REGULAR")))</f>
      </c>
      <c r="K1027" s="25" t="s">
        <v>63</v>
      </c>
      <c r="L1027" s="25" t="s">
        <v>63</v>
      </c>
      <c r="M1027" s="25" t="s">
        <v>6180</v>
      </c>
      <c r="N1027" s="25" t="s">
        <v>6181</v>
      </c>
    </row>
    <row r="1028" ht="20" customHeight="1" spans="1:14" x14ac:dyDescent="0.25">
      <c r="A1028" s="21" t="s">
        <v>6183</v>
      </c>
      <c r="B1028" s="21" t="s">
        <v>2149</v>
      </c>
      <c r="C1028" s="22" t="s">
        <v>4276</v>
      </c>
      <c r="D1028" s="30">
        <v>152</v>
      </c>
      <c r="E1028" s="31">
        <v>608</v>
      </c>
      <c r="F1028" s="22" t="s">
        <v>2685</v>
      </c>
      <c r="G1028" s="21" t="s">
        <v>6184</v>
      </c>
      <c r="H1028" s="21" t="s">
        <v>6185</v>
      </c>
      <c r="I1028" s="21" t="s">
        <v>2401</v>
      </c>
      <c r="J1028" s="21">
        <f>SE(I1028="","-",SE(DATA.VALOR(I1028)&lt;HOJE(),"VENCIDO",SE(DATA.VALOR(I1028)-HOJE()&lt;=30,"CRÍTICO (&lt;=30D)","REGULAR")))</f>
      </c>
      <c r="K1028" s="22" t="s">
        <v>6186</v>
      </c>
      <c r="L1028" s="22" t="s">
        <v>6187</v>
      </c>
      <c r="M1028" s="22" t="s">
        <v>6188</v>
      </c>
      <c r="N1028" s="22" t="s">
        <v>6189</v>
      </c>
    </row>
    <row r="1029" ht="20" customHeight="1" spans="1:14" s="23" customFormat="1" x14ac:dyDescent="0.25">
      <c r="A1029" s="24" t="s">
        <v>6190</v>
      </c>
      <c r="B1029" s="24" t="s">
        <v>2149</v>
      </c>
      <c r="C1029" s="25" t="s">
        <v>4274</v>
      </c>
      <c r="D1029" s="32">
        <v>125</v>
      </c>
      <c r="E1029" s="33">
        <v>525</v>
      </c>
      <c r="F1029" s="25" t="s">
        <v>2685</v>
      </c>
      <c r="G1029" s="24" t="s">
        <v>6184</v>
      </c>
      <c r="H1029" s="24" t="s">
        <v>6185</v>
      </c>
      <c r="I1029" s="24" t="s">
        <v>2401</v>
      </c>
      <c r="J1029" s="24">
        <f>SE(I1029="","-",SE(DATA.VALOR(I1029)&lt;HOJE(),"VENCIDO",SE(DATA.VALOR(I1029)-HOJE()&lt;=30,"CRÍTICO (&lt;=30D)","REGULAR")))</f>
      </c>
      <c r="K1029" s="25" t="s">
        <v>6186</v>
      </c>
      <c r="L1029" s="25" t="s">
        <v>6187</v>
      </c>
      <c r="M1029" s="25" t="s">
        <v>6188</v>
      </c>
      <c r="N1029" s="25" t="s">
        <v>6189</v>
      </c>
    </row>
    <row r="1030" ht="20" customHeight="1" spans="1:14" x14ac:dyDescent="0.25">
      <c r="A1030" s="21" t="s">
        <v>6191</v>
      </c>
      <c r="B1030" s="21" t="s">
        <v>2149</v>
      </c>
      <c r="C1030" s="22" t="s">
        <v>4266</v>
      </c>
      <c r="D1030" s="30">
        <v>97</v>
      </c>
      <c r="E1030" s="31">
        <v>310.4</v>
      </c>
      <c r="F1030" s="22" t="s">
        <v>2685</v>
      </c>
      <c r="G1030" s="21" t="s">
        <v>6184</v>
      </c>
      <c r="H1030" s="21" t="s">
        <v>6185</v>
      </c>
      <c r="I1030" s="21" t="s">
        <v>2401</v>
      </c>
      <c r="J1030" s="21">
        <f>SE(I1030="","-",SE(DATA.VALOR(I1030)&lt;HOJE(),"VENCIDO",SE(DATA.VALOR(I1030)-HOJE()&lt;=30,"CRÍTICO (&lt;=30D)","REGULAR")))</f>
      </c>
      <c r="K1030" s="22" t="s">
        <v>6186</v>
      </c>
      <c r="L1030" s="22" t="s">
        <v>6187</v>
      </c>
      <c r="M1030" s="22" t="s">
        <v>6188</v>
      </c>
      <c r="N1030" s="22" t="s">
        <v>6189</v>
      </c>
    </row>
    <row r="1031" ht="20" customHeight="1" spans="1:14" s="23" customFormat="1" x14ac:dyDescent="0.25">
      <c r="A1031" s="24" t="s">
        <v>6192</v>
      </c>
      <c r="B1031" s="24" t="s">
        <v>2149</v>
      </c>
      <c r="C1031" s="25" t="s">
        <v>2940</v>
      </c>
      <c r="D1031" s="32">
        <v>60</v>
      </c>
      <c r="E1031" s="33">
        <v>180</v>
      </c>
      <c r="F1031" s="25" t="s">
        <v>2685</v>
      </c>
      <c r="G1031" s="24" t="s">
        <v>6184</v>
      </c>
      <c r="H1031" s="24" t="s">
        <v>6185</v>
      </c>
      <c r="I1031" s="24" t="s">
        <v>2401</v>
      </c>
      <c r="J1031" s="24">
        <f>SE(I1031="","-",SE(DATA.VALOR(I1031)&lt;HOJE(),"VENCIDO",SE(DATA.VALOR(I1031)-HOJE()&lt;=30,"CRÍTICO (&lt;=30D)","REGULAR")))</f>
      </c>
      <c r="K1031" s="25" t="s">
        <v>6186</v>
      </c>
      <c r="L1031" s="25" t="s">
        <v>6187</v>
      </c>
      <c r="M1031" s="25" t="s">
        <v>6188</v>
      </c>
      <c r="N1031" s="25" t="s">
        <v>6189</v>
      </c>
    </row>
    <row r="1032" ht="20" customHeight="1" spans="1:14" x14ac:dyDescent="0.25">
      <c r="A1032" s="21" t="s">
        <v>6193</v>
      </c>
      <c r="B1032" s="21" t="s">
        <v>2149</v>
      </c>
      <c r="C1032" s="22" t="s">
        <v>4305</v>
      </c>
      <c r="D1032" s="30">
        <v>118</v>
      </c>
      <c r="E1032" s="31">
        <v>401.2</v>
      </c>
      <c r="F1032" s="22" t="s">
        <v>5252</v>
      </c>
      <c r="G1032" s="21" t="s">
        <v>6194</v>
      </c>
      <c r="H1032" s="21" t="s">
        <v>6157</v>
      </c>
      <c r="I1032" s="21" t="s">
        <v>2386</v>
      </c>
      <c r="J1032" s="21">
        <f>SE(I1032="","-",SE(DATA.VALOR(I1032)&lt;HOJE(),"VENCIDO",SE(DATA.VALOR(I1032)-HOJE()&lt;=30,"CRÍTICO (&lt;=30D)","REGULAR")))</f>
      </c>
      <c r="K1032" s="22" t="s">
        <v>63</v>
      </c>
      <c r="L1032" s="22" t="s">
        <v>63</v>
      </c>
      <c r="M1032" s="22" t="s">
        <v>6195</v>
      </c>
      <c r="N1032" s="22" t="s">
        <v>6196</v>
      </c>
    </row>
    <row r="1033" ht="20" customHeight="1" spans="1:14" s="23" customFormat="1" x14ac:dyDescent="0.25">
      <c r="A1033" s="24" t="s">
        <v>6197</v>
      </c>
      <c r="B1033" s="24" t="s">
        <v>2149</v>
      </c>
      <c r="C1033" s="25" t="s">
        <v>4327</v>
      </c>
      <c r="D1033" s="32">
        <v>37</v>
      </c>
      <c r="E1033" s="33">
        <v>202.02</v>
      </c>
      <c r="F1033" s="25" t="s">
        <v>5252</v>
      </c>
      <c r="G1033" s="24" t="s">
        <v>6194</v>
      </c>
      <c r="H1033" s="24" t="s">
        <v>6157</v>
      </c>
      <c r="I1033" s="24" t="s">
        <v>2386</v>
      </c>
      <c r="J1033" s="24">
        <f>SE(I1033="","-",SE(DATA.VALOR(I1033)&lt;HOJE(),"VENCIDO",SE(DATA.VALOR(I1033)-HOJE()&lt;=30,"CRÍTICO (&lt;=30D)","REGULAR")))</f>
      </c>
      <c r="K1033" s="25" t="s">
        <v>63</v>
      </c>
      <c r="L1033" s="25" t="s">
        <v>63</v>
      </c>
      <c r="M1033" s="25" t="s">
        <v>6195</v>
      </c>
      <c r="N1033" s="25" t="s">
        <v>6196</v>
      </c>
    </row>
    <row r="1034" ht="20" customHeight="1" spans="1:14" x14ac:dyDescent="0.25">
      <c r="A1034" s="21" t="s">
        <v>6198</v>
      </c>
      <c r="B1034" s="21" t="s">
        <v>2149</v>
      </c>
      <c r="C1034" s="22" t="s">
        <v>2855</v>
      </c>
      <c r="D1034" s="30">
        <v>24</v>
      </c>
      <c r="E1034" s="31">
        <v>105.6</v>
      </c>
      <c r="F1034" s="22" t="s">
        <v>5252</v>
      </c>
      <c r="G1034" s="21" t="s">
        <v>6194</v>
      </c>
      <c r="H1034" s="21" t="s">
        <v>6157</v>
      </c>
      <c r="I1034" s="21" t="s">
        <v>2386</v>
      </c>
      <c r="J1034" s="21">
        <f>SE(I1034="","-",SE(DATA.VALOR(I1034)&lt;HOJE(),"VENCIDO",SE(DATA.VALOR(I1034)-HOJE()&lt;=30,"CRÍTICO (&lt;=30D)","REGULAR")))</f>
      </c>
      <c r="K1034" s="22" t="s">
        <v>63</v>
      </c>
      <c r="L1034" s="22" t="s">
        <v>63</v>
      </c>
      <c r="M1034" s="22" t="s">
        <v>63</v>
      </c>
      <c r="N1034" s="22" t="s">
        <v>6196</v>
      </c>
    </row>
    <row r="1035" ht="20" customHeight="1" spans="1:14" s="23" customFormat="1" x14ac:dyDescent="0.25">
      <c r="A1035" s="24" t="s">
        <v>6199</v>
      </c>
      <c r="B1035" s="24" t="s">
        <v>2149</v>
      </c>
      <c r="C1035" s="25" t="s">
        <v>4274</v>
      </c>
      <c r="D1035" s="32">
        <v>138</v>
      </c>
      <c r="E1035" s="33">
        <v>579.6</v>
      </c>
      <c r="F1035" s="25" t="s">
        <v>5252</v>
      </c>
      <c r="G1035" s="24" t="s">
        <v>6194</v>
      </c>
      <c r="H1035" s="24" t="s">
        <v>6157</v>
      </c>
      <c r="I1035" s="24" t="s">
        <v>2386</v>
      </c>
      <c r="J1035" s="24">
        <f>SE(I1035="","-",SE(DATA.VALOR(I1035)&lt;HOJE(),"VENCIDO",SE(DATA.VALOR(I1035)-HOJE()&lt;=30,"CRÍTICO (&lt;=30D)","REGULAR")))</f>
      </c>
      <c r="K1035" s="25" t="s">
        <v>63</v>
      </c>
      <c r="L1035" s="25" t="s">
        <v>63</v>
      </c>
      <c r="M1035" s="25" t="s">
        <v>6195</v>
      </c>
      <c r="N1035" s="25" t="s">
        <v>6196</v>
      </c>
    </row>
    <row r="1036" ht="20" customHeight="1" spans="1:14" x14ac:dyDescent="0.25">
      <c r="A1036" s="21" t="s">
        <v>6200</v>
      </c>
      <c r="B1036" s="21" t="s">
        <v>2149</v>
      </c>
      <c r="C1036" s="22" t="s">
        <v>2940</v>
      </c>
      <c r="D1036" s="30">
        <v>64</v>
      </c>
      <c r="E1036" s="31">
        <v>217.6</v>
      </c>
      <c r="F1036" s="22" t="s">
        <v>5252</v>
      </c>
      <c r="G1036" s="21" t="s">
        <v>6194</v>
      </c>
      <c r="H1036" s="21" t="s">
        <v>6157</v>
      </c>
      <c r="I1036" s="21" t="s">
        <v>2386</v>
      </c>
      <c r="J1036" s="21">
        <f>SE(I1036="","-",SE(DATA.VALOR(I1036)&lt;HOJE(),"VENCIDO",SE(DATA.VALOR(I1036)-HOJE()&lt;=30,"CRÍTICO (&lt;=30D)","REGULAR")))</f>
      </c>
      <c r="K1036" s="22" t="s">
        <v>63</v>
      </c>
      <c r="L1036" s="22" t="s">
        <v>63</v>
      </c>
      <c r="M1036" s="22" t="s">
        <v>6195</v>
      </c>
      <c r="N1036" s="22" t="s">
        <v>6196</v>
      </c>
    </row>
    <row r="1037" ht="20" customHeight="1" spans="1:14" s="23" customFormat="1" x14ac:dyDescent="0.25">
      <c r="A1037" s="24" t="s">
        <v>6201</v>
      </c>
      <c r="B1037" s="24" t="s">
        <v>2149</v>
      </c>
      <c r="C1037" s="25" t="s">
        <v>4266</v>
      </c>
      <c r="D1037" s="32">
        <v>150</v>
      </c>
      <c r="E1037" s="33">
        <v>480</v>
      </c>
      <c r="F1037" s="25" t="s">
        <v>5252</v>
      </c>
      <c r="G1037" s="24" t="s">
        <v>6194</v>
      </c>
      <c r="H1037" s="24" t="s">
        <v>6202</v>
      </c>
      <c r="I1037" s="24" t="s">
        <v>2386</v>
      </c>
      <c r="J1037" s="24">
        <f>SE(I1037="","-",SE(DATA.VALOR(I1037)&lt;HOJE(),"VENCIDO",SE(DATA.VALOR(I1037)-HOJE()&lt;=30,"CRÍTICO (&lt;=30D)","REGULAR")))</f>
      </c>
      <c r="K1037" s="25" t="s">
        <v>63</v>
      </c>
      <c r="L1037" s="25" t="s">
        <v>63</v>
      </c>
      <c r="M1037" s="25" t="s">
        <v>6195</v>
      </c>
      <c r="N1037" s="25" t="s">
        <v>6196</v>
      </c>
    </row>
    <row r="1038" ht="20" customHeight="1" spans="1:14" x14ac:dyDescent="0.25">
      <c r="A1038" s="21" t="s">
        <v>6203</v>
      </c>
      <c r="B1038" s="21" t="s">
        <v>2058</v>
      </c>
      <c r="C1038" s="22" t="s">
        <v>4274</v>
      </c>
      <c r="D1038" s="30">
        <v>143</v>
      </c>
      <c r="E1038" s="31">
        <v>600.6</v>
      </c>
      <c r="F1038" s="22" t="s">
        <v>2734</v>
      </c>
      <c r="G1038" s="21" t="s">
        <v>3745</v>
      </c>
      <c r="H1038" s="21" t="s">
        <v>6056</v>
      </c>
      <c r="I1038" s="21" t="s">
        <v>2130</v>
      </c>
      <c r="J1038" s="21">
        <f>SE(I1038="","-",SE(DATA.VALOR(I1038)&lt;HOJE(),"VENCIDO",SE(DATA.VALOR(I1038)-HOJE()&lt;=30,"CRÍTICO (&lt;=30D)","REGULAR")))</f>
      </c>
      <c r="K1038" s="22" t="s">
        <v>63</v>
      </c>
      <c r="L1038" s="22" t="s">
        <v>63</v>
      </c>
      <c r="M1038" s="22" t="s">
        <v>6204</v>
      </c>
      <c r="N1038" s="22" t="s">
        <v>6205</v>
      </c>
    </row>
    <row r="1039" ht="20" customHeight="1" spans="1:14" s="23" customFormat="1" x14ac:dyDescent="0.25">
      <c r="A1039" s="24" t="s">
        <v>6206</v>
      </c>
      <c r="B1039" s="24" t="s">
        <v>2058</v>
      </c>
      <c r="C1039" s="25" t="s">
        <v>4318</v>
      </c>
      <c r="D1039" s="32">
        <v>163</v>
      </c>
      <c r="E1039" s="33">
        <v>684.6</v>
      </c>
      <c r="F1039" s="25" t="s">
        <v>2734</v>
      </c>
      <c r="G1039" s="24" t="s">
        <v>3745</v>
      </c>
      <c r="H1039" s="24" t="s">
        <v>6056</v>
      </c>
      <c r="I1039" s="24" t="s">
        <v>2130</v>
      </c>
      <c r="J1039" s="24">
        <f>SE(I1039="","-",SE(DATA.VALOR(I1039)&lt;HOJE(),"VENCIDO",SE(DATA.VALOR(I1039)-HOJE()&lt;=30,"CRÍTICO (&lt;=30D)","REGULAR")))</f>
      </c>
      <c r="K1039" s="25" t="s">
        <v>63</v>
      </c>
      <c r="L1039" s="25" t="s">
        <v>63</v>
      </c>
      <c r="M1039" s="25" t="s">
        <v>6204</v>
      </c>
      <c r="N1039" s="25" t="s">
        <v>6205</v>
      </c>
    </row>
    <row r="1040" ht="20" customHeight="1" spans="1:14" x14ac:dyDescent="0.25">
      <c r="A1040" s="21" t="s">
        <v>6207</v>
      </c>
      <c r="B1040" s="21" t="s">
        <v>2058</v>
      </c>
      <c r="C1040" s="22" t="s">
        <v>4179</v>
      </c>
      <c r="D1040" s="30">
        <v>351</v>
      </c>
      <c r="E1040" s="31">
        <v>1663.74</v>
      </c>
      <c r="F1040" s="22" t="s">
        <v>2734</v>
      </c>
      <c r="G1040" s="21" t="s">
        <v>3745</v>
      </c>
      <c r="H1040" s="21" t="s">
        <v>6056</v>
      </c>
      <c r="I1040" s="21" t="s">
        <v>2130</v>
      </c>
      <c r="J1040" s="21">
        <f>SE(I1040="","-",SE(DATA.VALOR(I1040)&lt;HOJE(),"VENCIDO",SE(DATA.VALOR(I1040)-HOJE()&lt;=30,"CRÍTICO (&lt;=30D)","REGULAR")))</f>
      </c>
      <c r="K1040" s="22" t="s">
        <v>63</v>
      </c>
      <c r="L1040" s="22" t="s">
        <v>63</v>
      </c>
      <c r="M1040" s="22" t="s">
        <v>6204</v>
      </c>
      <c r="N1040" s="22" t="s">
        <v>6205</v>
      </c>
    </row>
    <row r="1041" ht="20" customHeight="1" spans="1:14" s="23" customFormat="1" x14ac:dyDescent="0.25">
      <c r="A1041" s="24" t="s">
        <v>6208</v>
      </c>
      <c r="B1041" s="24" t="s">
        <v>2058</v>
      </c>
      <c r="C1041" s="25" t="s">
        <v>4305</v>
      </c>
      <c r="D1041" s="32">
        <v>97</v>
      </c>
      <c r="E1041" s="33">
        <v>329.8</v>
      </c>
      <c r="F1041" s="25" t="s">
        <v>2734</v>
      </c>
      <c r="G1041" s="24" t="s">
        <v>3745</v>
      </c>
      <c r="H1041" s="24" t="s">
        <v>6056</v>
      </c>
      <c r="I1041" s="24" t="s">
        <v>2130</v>
      </c>
      <c r="J1041" s="24">
        <f>SE(I1041="","-",SE(DATA.VALOR(I1041)&lt;HOJE(),"VENCIDO",SE(DATA.VALOR(I1041)-HOJE()&lt;=30,"CRÍTICO (&lt;=30D)","REGULAR")))</f>
      </c>
      <c r="K1041" s="25" t="s">
        <v>63</v>
      </c>
      <c r="L1041" s="25" t="s">
        <v>63</v>
      </c>
      <c r="M1041" s="25" t="s">
        <v>6204</v>
      </c>
      <c r="N1041" s="25" t="s">
        <v>6205</v>
      </c>
    </row>
    <row r="1042" ht="20" customHeight="1" spans="1:14" x14ac:dyDescent="0.25">
      <c r="A1042" s="21" t="s">
        <v>6209</v>
      </c>
      <c r="B1042" s="21" t="s">
        <v>2058</v>
      </c>
      <c r="C1042" s="22" t="s">
        <v>2940</v>
      </c>
      <c r="D1042" s="30">
        <v>70</v>
      </c>
      <c r="E1042" s="31">
        <v>210</v>
      </c>
      <c r="F1042" s="22" t="s">
        <v>2734</v>
      </c>
      <c r="G1042" s="21" t="s">
        <v>3745</v>
      </c>
      <c r="H1042" s="21" t="s">
        <v>6056</v>
      </c>
      <c r="I1042" s="21" t="s">
        <v>2130</v>
      </c>
      <c r="J1042" s="21">
        <f>SE(I1042="","-",SE(DATA.VALOR(I1042)&lt;HOJE(),"VENCIDO",SE(DATA.VALOR(I1042)-HOJE()&lt;=30,"CRÍTICO (&lt;=30D)","REGULAR")))</f>
      </c>
      <c r="K1042" s="22" t="s">
        <v>63</v>
      </c>
      <c r="L1042" s="22" t="s">
        <v>63</v>
      </c>
      <c r="M1042" s="22" t="s">
        <v>6204</v>
      </c>
      <c r="N1042" s="22" t="s">
        <v>6205</v>
      </c>
    </row>
    <row r="1043" ht="20" customHeight="1" spans="1:14" s="23" customFormat="1" x14ac:dyDescent="0.25">
      <c r="A1043" s="24" t="s">
        <v>6210</v>
      </c>
      <c r="B1043" s="24" t="s">
        <v>2200</v>
      </c>
      <c r="C1043" s="25" t="s">
        <v>6078</v>
      </c>
      <c r="D1043" s="32">
        <v>860</v>
      </c>
      <c r="E1043" s="33">
        <v>1530.8</v>
      </c>
      <c r="F1043" s="25" t="s">
        <v>5605</v>
      </c>
      <c r="G1043" s="24" t="s">
        <v>6211</v>
      </c>
      <c r="H1043" s="24" t="s">
        <v>6185</v>
      </c>
      <c r="I1043" s="24" t="s">
        <v>2401</v>
      </c>
      <c r="J1043" s="24">
        <f>SE(I1043="","-",SE(DATA.VALOR(I1043)&lt;HOJE(),"VENCIDO",SE(DATA.VALOR(I1043)-HOJE()&lt;=30,"CRÍTICO (&lt;=30D)","REGULAR")))</f>
      </c>
      <c r="K1043" s="25" t="s">
        <v>6212</v>
      </c>
      <c r="L1043" s="25" t="s">
        <v>6213</v>
      </c>
      <c r="M1043" s="25" t="s">
        <v>6214</v>
      </c>
      <c r="N1043" s="25" t="s">
        <v>6215</v>
      </c>
    </row>
    <row r="1044" ht="20" customHeight="1" spans="1:14" x14ac:dyDescent="0.25">
      <c r="A1044" s="21" t="s">
        <v>6216</v>
      </c>
      <c r="B1044" s="21" t="s">
        <v>2200</v>
      </c>
      <c r="C1044" s="22" t="s">
        <v>5949</v>
      </c>
      <c r="D1044" s="30">
        <v>300</v>
      </c>
      <c r="E1044" s="31">
        <v>1680</v>
      </c>
      <c r="F1044" s="22" t="s">
        <v>2561</v>
      </c>
      <c r="G1044" s="21" t="s">
        <v>6217</v>
      </c>
      <c r="H1044" s="21" t="s">
        <v>6218</v>
      </c>
      <c r="I1044" s="21" t="s">
        <v>6219</v>
      </c>
      <c r="J1044" s="21">
        <f>SE(I1044="","-",SE(DATA.VALOR(I1044)&lt;HOJE(),"VENCIDO",SE(DATA.VALOR(I1044)-HOJE()&lt;=30,"CRÍTICO (&lt;=30D)","REGULAR")))</f>
      </c>
      <c r="K1044" s="22" t="s">
        <v>6220</v>
      </c>
      <c r="L1044" s="22" t="s">
        <v>4520</v>
      </c>
      <c r="M1044" s="22" t="s">
        <v>6221</v>
      </c>
      <c r="N1044" s="22" t="s">
        <v>6222</v>
      </c>
    </row>
    <row r="1045" ht="20" customHeight="1" spans="1:14" s="23" customFormat="1" x14ac:dyDescent="0.25">
      <c r="A1045" s="24" t="s">
        <v>6223</v>
      </c>
      <c r="B1045" s="24" t="s">
        <v>2200</v>
      </c>
      <c r="C1045" s="25" t="s">
        <v>4524</v>
      </c>
      <c r="D1045" s="32">
        <v>150</v>
      </c>
      <c r="E1045" s="33">
        <v>996</v>
      </c>
      <c r="F1045" s="25" t="s">
        <v>2561</v>
      </c>
      <c r="G1045" s="24" t="s">
        <v>6217</v>
      </c>
      <c r="H1045" s="24" t="s">
        <v>5493</v>
      </c>
      <c r="I1045" s="24" t="s">
        <v>6219</v>
      </c>
      <c r="J1045" s="24">
        <f>SE(I1045="","-",SE(DATA.VALOR(I1045)&lt;HOJE(),"VENCIDO",SE(DATA.VALOR(I1045)-HOJE()&lt;=30,"CRÍTICO (&lt;=30D)","REGULAR")))</f>
      </c>
      <c r="K1045" s="25" t="s">
        <v>6220</v>
      </c>
      <c r="L1045" s="25" t="s">
        <v>4520</v>
      </c>
      <c r="M1045" s="25" t="s">
        <v>6221</v>
      </c>
      <c r="N1045" s="25" t="s">
        <v>6224</v>
      </c>
    </row>
    <row r="1046" ht="20" customHeight="1" spans="1:14" x14ac:dyDescent="0.25">
      <c r="A1046" s="21" t="s">
        <v>6225</v>
      </c>
      <c r="B1046" s="21" t="s">
        <v>2200</v>
      </c>
      <c r="C1046" s="22" t="s">
        <v>5898</v>
      </c>
      <c r="D1046" s="30">
        <v>283</v>
      </c>
      <c r="E1046" s="31">
        <v>7918.34</v>
      </c>
      <c r="F1046" s="22" t="s">
        <v>3365</v>
      </c>
      <c r="G1046" s="21" t="s">
        <v>6226</v>
      </c>
      <c r="H1046" s="21" t="s">
        <v>6171</v>
      </c>
      <c r="I1046" s="21" t="s">
        <v>5651</v>
      </c>
      <c r="J1046" s="21">
        <f>SE(I1046="","-",SE(DATA.VALOR(I1046)&lt;HOJE(),"VENCIDO",SE(DATA.VALOR(I1046)-HOJE()&lt;=30,"CRÍTICO (&lt;=30D)","REGULAR")))</f>
      </c>
      <c r="K1046" s="22" t="s">
        <v>6227</v>
      </c>
      <c r="L1046" s="22" t="s">
        <v>6228</v>
      </c>
      <c r="M1046" s="22" t="s">
        <v>6229</v>
      </c>
      <c r="N1046" s="22" t="s">
        <v>6230</v>
      </c>
    </row>
    <row r="1047" ht="20" customHeight="1" spans="1:14" s="23" customFormat="1" x14ac:dyDescent="0.25">
      <c r="A1047" s="24" t="s">
        <v>6231</v>
      </c>
      <c r="B1047" s="24" t="s">
        <v>2160</v>
      </c>
      <c r="C1047" s="25" t="s">
        <v>4692</v>
      </c>
      <c r="D1047" s="32">
        <v>73</v>
      </c>
      <c r="E1047" s="33">
        <v>1387</v>
      </c>
      <c r="F1047" s="25" t="s">
        <v>3365</v>
      </c>
      <c r="G1047" s="24" t="s">
        <v>6232</v>
      </c>
      <c r="H1047" s="24" t="s">
        <v>2158</v>
      </c>
      <c r="I1047" s="24" t="s">
        <v>2386</v>
      </c>
      <c r="J1047" s="24">
        <f>SE(I1047="","-",SE(DATA.VALOR(I1047)&lt;HOJE(),"VENCIDO",SE(DATA.VALOR(I1047)-HOJE()&lt;=30,"CRÍTICO (&lt;=30D)","REGULAR")))</f>
      </c>
      <c r="K1047" s="25" t="s">
        <v>6233</v>
      </c>
      <c r="L1047" s="25" t="s">
        <v>4792</v>
      </c>
      <c r="M1047" s="25" t="s">
        <v>6195</v>
      </c>
      <c r="N1047" s="25" t="s">
        <v>6234</v>
      </c>
    </row>
    <row r="1048" ht="20" customHeight="1" spans="1:14" x14ac:dyDescent="0.25">
      <c r="A1048" s="21" t="s">
        <v>6235</v>
      </c>
      <c r="B1048" s="21" t="s">
        <v>1651</v>
      </c>
      <c r="C1048" s="22" t="s">
        <v>5319</v>
      </c>
      <c r="D1048" s="30">
        <v>0</v>
      </c>
      <c r="E1048" s="31">
        <v>0</v>
      </c>
      <c r="F1048" s="22" t="s">
        <v>2685</v>
      </c>
      <c r="G1048" s="21" t="s">
        <v>5284</v>
      </c>
      <c r="H1048" s="21" t="s">
        <v>2996</v>
      </c>
      <c r="I1048" s="21" t="s">
        <v>63</v>
      </c>
      <c r="J1048" s="21" t="s">
        <v>20</v>
      </c>
      <c r="K1048" s="22" t="s">
        <v>5285</v>
      </c>
      <c r="L1048" s="22" t="s">
        <v>5286</v>
      </c>
      <c r="M1048" s="22" t="s">
        <v>63</v>
      </c>
      <c r="N1048" s="22" t="s">
        <v>6236</v>
      </c>
    </row>
    <row r="1049" ht="20" customHeight="1" spans="1:14" s="23" customFormat="1" x14ac:dyDescent="0.25">
      <c r="A1049" s="24" t="s">
        <v>6237</v>
      </c>
      <c r="B1049" s="24" t="s">
        <v>2200</v>
      </c>
      <c r="C1049" s="25" t="s">
        <v>4284</v>
      </c>
      <c r="D1049" s="32">
        <v>321.5</v>
      </c>
      <c r="E1049" s="33">
        <v>964.5</v>
      </c>
      <c r="F1049" s="25" t="s">
        <v>3230</v>
      </c>
      <c r="G1049" s="24" t="s">
        <v>6238</v>
      </c>
      <c r="H1049" s="24" t="s">
        <v>6202</v>
      </c>
      <c r="I1049" s="24" t="s">
        <v>2352</v>
      </c>
      <c r="J1049" s="24">
        <f>SE(I1049="","-",SE(DATA.VALOR(I1049)&lt;HOJE(),"VENCIDO",SE(DATA.VALOR(I1049)-HOJE()&lt;=30,"CRÍTICO (&lt;=30D)","REGULAR")))</f>
      </c>
      <c r="K1049" s="25" t="s">
        <v>6239</v>
      </c>
      <c r="L1049" s="25" t="s">
        <v>6240</v>
      </c>
      <c r="M1049" s="25" t="s">
        <v>6241</v>
      </c>
      <c r="N1049" s="25" t="s">
        <v>6242</v>
      </c>
    </row>
    <row r="1050" ht="20" customHeight="1" spans="1:14" x14ac:dyDescent="0.25">
      <c r="A1050" s="21" t="s">
        <v>6243</v>
      </c>
      <c r="B1050" s="21" t="s">
        <v>2200</v>
      </c>
      <c r="C1050" s="22" t="s">
        <v>2935</v>
      </c>
      <c r="D1050" s="30">
        <v>40</v>
      </c>
      <c r="E1050" s="31">
        <v>232</v>
      </c>
      <c r="F1050" s="22" t="s">
        <v>3230</v>
      </c>
      <c r="G1050" s="21" t="s">
        <v>6238</v>
      </c>
      <c r="H1050" s="21" t="s">
        <v>6202</v>
      </c>
      <c r="I1050" s="21" t="s">
        <v>2352</v>
      </c>
      <c r="J1050" s="21">
        <f>SE(I1050="","-",SE(DATA.VALOR(I1050)&lt;HOJE(),"VENCIDO",SE(DATA.VALOR(I1050)-HOJE()&lt;=30,"CRÍTICO (&lt;=30D)","REGULAR")))</f>
      </c>
      <c r="K1050" s="22" t="s">
        <v>6239</v>
      </c>
      <c r="L1050" s="22" t="s">
        <v>6240</v>
      </c>
      <c r="M1050" s="22" t="s">
        <v>6241</v>
      </c>
      <c r="N1050" s="22" t="s">
        <v>6242</v>
      </c>
    </row>
    <row r="1051" ht="20" customHeight="1" spans="1:14" s="23" customFormat="1" x14ac:dyDescent="0.25">
      <c r="A1051" s="24" t="s">
        <v>6244</v>
      </c>
      <c r="B1051" s="24" t="s">
        <v>2200</v>
      </c>
      <c r="C1051" s="25" t="s">
        <v>4284</v>
      </c>
      <c r="D1051" s="32">
        <v>312.5</v>
      </c>
      <c r="E1051" s="33">
        <v>937.5</v>
      </c>
      <c r="F1051" s="25" t="s">
        <v>3220</v>
      </c>
      <c r="G1051" s="24" t="s">
        <v>6245</v>
      </c>
      <c r="H1051" s="24" t="s">
        <v>6246</v>
      </c>
      <c r="I1051" s="24" t="s">
        <v>2337</v>
      </c>
      <c r="J1051" s="24">
        <f>SE(I1051="","-",SE(DATA.VALOR(I1051)&lt;HOJE(),"VENCIDO",SE(DATA.VALOR(I1051)-HOJE()&lt;=30,"CRÍTICO (&lt;=30D)","REGULAR")))</f>
      </c>
      <c r="K1051" s="25" t="s">
        <v>6247</v>
      </c>
      <c r="L1051" s="25" t="s">
        <v>6248</v>
      </c>
      <c r="M1051" s="25" t="s">
        <v>63</v>
      </c>
      <c r="N1051" s="25" t="s">
        <v>6249</v>
      </c>
    </row>
    <row r="1052" ht="20" customHeight="1" spans="1:14" x14ac:dyDescent="0.25">
      <c r="A1052" s="21" t="s">
        <v>6250</v>
      </c>
      <c r="B1052" s="21" t="s">
        <v>2200</v>
      </c>
      <c r="C1052" s="22" t="s">
        <v>2935</v>
      </c>
      <c r="D1052" s="30">
        <v>40</v>
      </c>
      <c r="E1052" s="31">
        <v>232</v>
      </c>
      <c r="F1052" s="22" t="s">
        <v>3220</v>
      </c>
      <c r="G1052" s="21" t="s">
        <v>6245</v>
      </c>
      <c r="H1052" s="21" t="s">
        <v>6246</v>
      </c>
      <c r="I1052" s="21" t="s">
        <v>2337</v>
      </c>
      <c r="J1052" s="21">
        <f>SE(I1052="","-",SE(DATA.VALOR(I1052)&lt;HOJE(),"VENCIDO",SE(DATA.VALOR(I1052)-HOJE()&lt;=30,"CRÍTICO (&lt;=30D)","REGULAR")))</f>
      </c>
      <c r="K1052" s="22" t="s">
        <v>6247</v>
      </c>
      <c r="L1052" s="22" t="s">
        <v>6248</v>
      </c>
      <c r="M1052" s="22" t="s">
        <v>63</v>
      </c>
      <c r="N1052" s="22" t="s">
        <v>6249</v>
      </c>
    </row>
    <row r="1053" ht="20" customHeight="1" spans="1:14" s="23" customFormat="1" x14ac:dyDescent="0.25">
      <c r="A1053" s="24" t="s">
        <v>6251</v>
      </c>
      <c r="B1053" s="24" t="s">
        <v>2200</v>
      </c>
      <c r="C1053" s="25" t="s">
        <v>3883</v>
      </c>
      <c r="D1053" s="32">
        <v>90</v>
      </c>
      <c r="E1053" s="33">
        <v>540</v>
      </c>
      <c r="F1053" s="25" t="s">
        <v>2643</v>
      </c>
      <c r="G1053" s="24" t="s">
        <v>6252</v>
      </c>
      <c r="H1053" s="24" t="s">
        <v>6202</v>
      </c>
      <c r="I1053" s="24" t="s">
        <v>2352</v>
      </c>
      <c r="J1053" s="24">
        <f>SE(I1053="","-",SE(DATA.VALOR(I1053)&lt;HOJE(),"VENCIDO",SE(DATA.VALOR(I1053)-HOJE()&lt;=30,"CRÍTICO (&lt;=30D)","REGULAR")))</f>
      </c>
      <c r="K1053" s="25" t="s">
        <v>6253</v>
      </c>
      <c r="L1053" s="25" t="s">
        <v>6254</v>
      </c>
      <c r="M1053" s="25" t="s">
        <v>6255</v>
      </c>
      <c r="N1053" s="25" t="s">
        <v>6256</v>
      </c>
    </row>
    <row r="1054" ht="20" customHeight="1" spans="1:14" x14ac:dyDescent="0.25">
      <c r="A1054" s="21" t="s">
        <v>6257</v>
      </c>
      <c r="B1054" s="21" t="s">
        <v>2200</v>
      </c>
      <c r="C1054" s="22" t="s">
        <v>3890</v>
      </c>
      <c r="D1054" s="30">
        <v>225</v>
      </c>
      <c r="E1054" s="31">
        <v>1125</v>
      </c>
      <c r="F1054" s="22" t="s">
        <v>2643</v>
      </c>
      <c r="G1054" s="21" t="s">
        <v>6252</v>
      </c>
      <c r="H1054" s="21" t="s">
        <v>6202</v>
      </c>
      <c r="I1054" s="21" t="s">
        <v>2550</v>
      </c>
      <c r="J1054" s="21">
        <f>SE(I1054="","-",SE(DATA.VALOR(I1054)&lt;HOJE(),"VENCIDO",SE(DATA.VALOR(I1054)-HOJE()&lt;=30,"CRÍTICO (&lt;=30D)","REGULAR")))</f>
      </c>
      <c r="K1054" s="22" t="s">
        <v>6253</v>
      </c>
      <c r="L1054" s="22" t="s">
        <v>6254</v>
      </c>
      <c r="M1054" s="22" t="s">
        <v>6255</v>
      </c>
      <c r="N1054" s="22" t="s">
        <v>6256</v>
      </c>
    </row>
    <row r="1055" ht="20" customHeight="1" spans="1:14" s="23" customFormat="1" x14ac:dyDescent="0.25">
      <c r="A1055" s="24" t="s">
        <v>6258</v>
      </c>
      <c r="B1055" s="24" t="s">
        <v>2149</v>
      </c>
      <c r="C1055" s="25" t="s">
        <v>6259</v>
      </c>
      <c r="D1055" s="32">
        <v>450</v>
      </c>
      <c r="E1055" s="33">
        <v>6525</v>
      </c>
      <c r="F1055" s="25" t="s">
        <v>2898</v>
      </c>
      <c r="G1055" s="24" t="s">
        <v>6260</v>
      </c>
      <c r="H1055" s="24" t="s">
        <v>6261</v>
      </c>
      <c r="I1055" s="24" t="s">
        <v>6262</v>
      </c>
      <c r="J1055" s="24">
        <f>SE(I1055="","-",SE(DATA.VALOR(I1055)&lt;HOJE(),"VENCIDO",SE(DATA.VALOR(I1055)-HOJE()&lt;=30,"CRÍTICO (&lt;=30D)","REGULAR")))</f>
      </c>
      <c r="K1055" s="25" t="s">
        <v>63</v>
      </c>
      <c r="L1055" s="25" t="s">
        <v>63</v>
      </c>
      <c r="M1055" s="25" t="s">
        <v>6263</v>
      </c>
      <c r="N1055" s="25" t="s">
        <v>6264</v>
      </c>
    </row>
    <row r="1056" ht="20" customHeight="1" spans="1:14" x14ac:dyDescent="0.25">
      <c r="A1056" s="21" t="s">
        <v>6265</v>
      </c>
      <c r="B1056" s="21" t="s">
        <v>2149</v>
      </c>
      <c r="C1056" s="22" t="s">
        <v>6266</v>
      </c>
      <c r="D1056" s="30">
        <v>450</v>
      </c>
      <c r="E1056" s="31">
        <v>1296</v>
      </c>
      <c r="F1056" s="22" t="s">
        <v>2898</v>
      </c>
      <c r="G1056" s="21" t="s">
        <v>6260</v>
      </c>
      <c r="H1056" s="21" t="s">
        <v>6267</v>
      </c>
      <c r="I1056" s="21" t="s">
        <v>6268</v>
      </c>
      <c r="J1056" s="21">
        <f>SE(I1056="","-",SE(DATA.VALOR(I1056)&lt;HOJE(),"VENCIDO",SE(DATA.VALOR(I1056)-HOJE()&lt;=30,"CRÍTICO (&lt;=30D)","REGULAR")))</f>
      </c>
      <c r="K1056" s="22" t="s">
        <v>63</v>
      </c>
      <c r="L1056" s="22" t="s">
        <v>63</v>
      </c>
      <c r="M1056" s="22" t="s">
        <v>6263</v>
      </c>
      <c r="N1056" s="22" t="s">
        <v>6269</v>
      </c>
    </row>
    <row r="1057" ht="20" customHeight="1" spans="1:14" s="23" customFormat="1" x14ac:dyDescent="0.25">
      <c r="A1057" s="24" t="s">
        <v>6270</v>
      </c>
      <c r="B1057" s="24" t="s">
        <v>2149</v>
      </c>
      <c r="C1057" s="25" t="s">
        <v>6271</v>
      </c>
      <c r="D1057" s="32">
        <v>150</v>
      </c>
      <c r="E1057" s="33">
        <v>544.5</v>
      </c>
      <c r="F1057" s="25" t="s">
        <v>2898</v>
      </c>
      <c r="G1057" s="24" t="s">
        <v>6260</v>
      </c>
      <c r="H1057" s="24" t="s">
        <v>5698</v>
      </c>
      <c r="I1057" s="24" t="s">
        <v>6272</v>
      </c>
      <c r="J1057" s="24">
        <f>SE(I1057="","-",SE(DATA.VALOR(I1057)&lt;HOJE(),"VENCIDO",SE(DATA.VALOR(I1057)-HOJE()&lt;=30,"CRÍTICO (&lt;=30D)","REGULAR")))</f>
      </c>
      <c r="K1057" s="25" t="s">
        <v>63</v>
      </c>
      <c r="L1057" s="25" t="s">
        <v>63</v>
      </c>
      <c r="M1057" s="25" t="s">
        <v>6263</v>
      </c>
      <c r="N1057" s="25" t="s">
        <v>6273</v>
      </c>
    </row>
    <row r="1058" ht="20" customHeight="1" spans="1:14" x14ac:dyDescent="0.25">
      <c r="A1058" s="21" t="s">
        <v>6274</v>
      </c>
      <c r="B1058" s="21" t="s">
        <v>2149</v>
      </c>
      <c r="C1058" s="22" t="s">
        <v>6275</v>
      </c>
      <c r="D1058" s="30">
        <v>1500</v>
      </c>
      <c r="E1058" s="31">
        <v>4320</v>
      </c>
      <c r="F1058" s="22" t="s">
        <v>2898</v>
      </c>
      <c r="G1058" s="21" t="s">
        <v>6260</v>
      </c>
      <c r="H1058" s="21" t="s">
        <v>6276</v>
      </c>
      <c r="I1058" s="21" t="s">
        <v>5337</v>
      </c>
      <c r="J1058" s="21">
        <f>SE(I1058="","-",SE(DATA.VALOR(I1058)&lt;HOJE(),"VENCIDO",SE(DATA.VALOR(I1058)-HOJE()&lt;=30,"CRÍTICO (&lt;=30D)","REGULAR")))</f>
      </c>
      <c r="K1058" s="22" t="s">
        <v>63</v>
      </c>
      <c r="L1058" s="22" t="s">
        <v>63</v>
      </c>
      <c r="M1058" s="22" t="s">
        <v>6263</v>
      </c>
      <c r="N1058" s="22" t="s">
        <v>6277</v>
      </c>
    </row>
    <row r="1059" ht="20" customHeight="1" spans="1:14" s="23" customFormat="1" x14ac:dyDescent="0.25">
      <c r="A1059" s="24" t="s">
        <v>6278</v>
      </c>
      <c r="B1059" s="24" t="s">
        <v>2149</v>
      </c>
      <c r="C1059" s="25" t="s">
        <v>5721</v>
      </c>
      <c r="D1059" s="32">
        <v>100</v>
      </c>
      <c r="E1059" s="33">
        <v>170</v>
      </c>
      <c r="F1059" s="25" t="s">
        <v>2898</v>
      </c>
      <c r="G1059" s="24" t="s">
        <v>6260</v>
      </c>
      <c r="H1059" s="24" t="s">
        <v>6279</v>
      </c>
      <c r="I1059" s="24" t="s">
        <v>6280</v>
      </c>
      <c r="J1059" s="24">
        <f>SE(I1059="","-",SE(DATA.VALOR(I1059)&lt;HOJE(),"VENCIDO",SE(DATA.VALOR(I1059)-HOJE()&lt;=30,"CRÍTICO (&lt;=30D)","REGULAR")))</f>
      </c>
      <c r="K1059" s="25" t="s">
        <v>63</v>
      </c>
      <c r="L1059" s="25" t="s">
        <v>63</v>
      </c>
      <c r="M1059" s="25" t="s">
        <v>6263</v>
      </c>
      <c r="N1059" s="25" t="s">
        <v>6281</v>
      </c>
    </row>
    <row r="1060" ht="20" customHeight="1" spans="1:14" x14ac:dyDescent="0.25">
      <c r="A1060" s="21" t="s">
        <v>6282</v>
      </c>
      <c r="B1060" s="21" t="s">
        <v>2149</v>
      </c>
      <c r="C1060" s="22" t="s">
        <v>5727</v>
      </c>
      <c r="D1060" s="30">
        <v>100</v>
      </c>
      <c r="E1060" s="31">
        <v>226</v>
      </c>
      <c r="F1060" s="22" t="s">
        <v>2898</v>
      </c>
      <c r="G1060" s="21" t="s">
        <v>6260</v>
      </c>
      <c r="H1060" s="21" t="s">
        <v>5698</v>
      </c>
      <c r="I1060" s="21" t="s">
        <v>5728</v>
      </c>
      <c r="J1060" s="21">
        <f>SE(I1060="","-",SE(DATA.VALOR(I1060)&lt;HOJE(),"VENCIDO",SE(DATA.VALOR(I1060)-HOJE()&lt;=30,"CRÍTICO (&lt;=30D)","REGULAR")))</f>
      </c>
      <c r="K1060" s="22" t="s">
        <v>63</v>
      </c>
      <c r="L1060" s="22" t="s">
        <v>63</v>
      </c>
      <c r="M1060" s="22" t="s">
        <v>6263</v>
      </c>
      <c r="N1060" s="22" t="s">
        <v>6283</v>
      </c>
    </row>
    <row r="1061" ht="20" customHeight="1" spans="1:14" s="23" customFormat="1" x14ac:dyDescent="0.25">
      <c r="A1061" s="24" t="s">
        <v>6284</v>
      </c>
      <c r="B1061" s="24" t="s">
        <v>2149</v>
      </c>
      <c r="C1061" s="25" t="s">
        <v>4573</v>
      </c>
      <c r="D1061" s="32">
        <v>100</v>
      </c>
      <c r="E1061" s="33">
        <v>9647</v>
      </c>
      <c r="F1061" s="25" t="s">
        <v>2898</v>
      </c>
      <c r="G1061" s="24" t="s">
        <v>6260</v>
      </c>
      <c r="H1061" s="24" t="s">
        <v>6285</v>
      </c>
      <c r="I1061" s="24" t="s">
        <v>6286</v>
      </c>
      <c r="J1061" s="24">
        <f>SE(I1061="","-",SE(DATA.VALOR(I1061)&lt;HOJE(),"VENCIDO",SE(DATA.VALOR(I1061)-HOJE()&lt;=30,"CRÍTICO (&lt;=30D)","REGULAR")))</f>
      </c>
      <c r="K1061" s="25" t="s">
        <v>63</v>
      </c>
      <c r="L1061" s="25" t="s">
        <v>63</v>
      </c>
      <c r="M1061" s="25" t="s">
        <v>6263</v>
      </c>
      <c r="N1061" s="25" t="s">
        <v>6287</v>
      </c>
    </row>
    <row r="1062" ht="20" customHeight="1" spans="1:14" x14ac:dyDescent="0.25">
      <c r="A1062" s="21" t="s">
        <v>6288</v>
      </c>
      <c r="B1062" s="21" t="s">
        <v>2149</v>
      </c>
      <c r="C1062" s="22" t="s">
        <v>2515</v>
      </c>
      <c r="D1062" s="30">
        <v>200</v>
      </c>
      <c r="E1062" s="31">
        <v>940</v>
      </c>
      <c r="F1062" s="22" t="s">
        <v>2898</v>
      </c>
      <c r="G1062" s="21" t="s">
        <v>6260</v>
      </c>
      <c r="H1062" s="21" t="s">
        <v>5698</v>
      </c>
      <c r="I1062" s="21" t="s">
        <v>5733</v>
      </c>
      <c r="J1062" s="21">
        <f>SE(I1062="","-",SE(DATA.VALOR(I1062)&lt;HOJE(),"VENCIDO",SE(DATA.VALOR(I1062)-HOJE()&lt;=30,"CRÍTICO (&lt;=30D)","REGULAR")))</f>
      </c>
      <c r="K1062" s="22" t="s">
        <v>63</v>
      </c>
      <c r="L1062" s="22" t="s">
        <v>63</v>
      </c>
      <c r="M1062" s="22" t="s">
        <v>6263</v>
      </c>
      <c r="N1062" s="22" t="s">
        <v>6289</v>
      </c>
    </row>
    <row r="1063" ht="20" customHeight="1" spans="1:14" s="23" customFormat="1" x14ac:dyDescent="0.25">
      <c r="A1063" s="24" t="s">
        <v>6290</v>
      </c>
      <c r="B1063" s="24" t="s">
        <v>2204</v>
      </c>
      <c r="C1063" s="25" t="s">
        <v>5161</v>
      </c>
      <c r="D1063" s="32">
        <v>50</v>
      </c>
      <c r="E1063" s="33">
        <v>3176.5</v>
      </c>
      <c r="F1063" s="25" t="s">
        <v>4660</v>
      </c>
      <c r="G1063" s="24" t="s">
        <v>6291</v>
      </c>
      <c r="H1063" s="24" t="s">
        <v>6292</v>
      </c>
      <c r="I1063" s="24" t="s">
        <v>6293</v>
      </c>
      <c r="J1063" s="24">
        <f>SE(I1063="","-",SE(DATA.VALOR(I1063)&lt;HOJE(),"VENCIDO",SE(DATA.VALOR(I1063)-HOJE()&lt;=30,"CRÍTICO (&lt;=30D)","REGULAR")))</f>
      </c>
      <c r="K1063" s="25" t="s">
        <v>6294</v>
      </c>
      <c r="L1063" s="25" t="s">
        <v>4665</v>
      </c>
      <c r="M1063" s="25" t="s">
        <v>6295</v>
      </c>
      <c r="N1063" s="25" t="s">
        <v>6296</v>
      </c>
    </row>
    <row r="1064" ht="20" customHeight="1" spans="1:14" x14ac:dyDescent="0.25">
      <c r="A1064" s="21" t="s">
        <v>6297</v>
      </c>
      <c r="B1064" s="21" t="s">
        <v>2204</v>
      </c>
      <c r="C1064" s="22" t="s">
        <v>4659</v>
      </c>
      <c r="D1064" s="30">
        <v>1500</v>
      </c>
      <c r="E1064" s="31">
        <v>7545</v>
      </c>
      <c r="F1064" s="22" t="s">
        <v>4660</v>
      </c>
      <c r="G1064" s="21" t="s">
        <v>6291</v>
      </c>
      <c r="H1064" s="21" t="s">
        <v>6298</v>
      </c>
      <c r="I1064" s="21" t="s">
        <v>6299</v>
      </c>
      <c r="J1064" s="21">
        <f>SE(I1064="","-",SE(DATA.VALOR(I1064)&lt;HOJE(),"VENCIDO",SE(DATA.VALOR(I1064)-HOJE()&lt;=30,"CRÍTICO (&lt;=30D)","REGULAR")))</f>
      </c>
      <c r="K1064" s="22" t="s">
        <v>6294</v>
      </c>
      <c r="L1064" s="22" t="s">
        <v>4665</v>
      </c>
      <c r="M1064" s="22" t="s">
        <v>6295</v>
      </c>
      <c r="N1064" s="22" t="s">
        <v>6300</v>
      </c>
    </row>
    <row r="1065" ht="20" customHeight="1" spans="1:14" s="23" customFormat="1" x14ac:dyDescent="0.25">
      <c r="A1065" s="24" t="s">
        <v>6301</v>
      </c>
      <c r="B1065" s="24" t="s">
        <v>2204</v>
      </c>
      <c r="C1065" s="25" t="s">
        <v>4674</v>
      </c>
      <c r="D1065" s="32">
        <v>600</v>
      </c>
      <c r="E1065" s="33">
        <v>7188</v>
      </c>
      <c r="F1065" s="25" t="s">
        <v>4660</v>
      </c>
      <c r="G1065" s="24" t="s">
        <v>6291</v>
      </c>
      <c r="H1065" s="24" t="s">
        <v>6302</v>
      </c>
      <c r="I1065" s="24" t="s">
        <v>5861</v>
      </c>
      <c r="J1065" s="24">
        <f>SE(I1065="","-",SE(DATA.VALOR(I1065)&lt;HOJE(),"VENCIDO",SE(DATA.VALOR(I1065)-HOJE()&lt;=30,"CRÍTICO (&lt;=30D)","REGULAR")))</f>
      </c>
      <c r="K1065" s="25" t="s">
        <v>6294</v>
      </c>
      <c r="L1065" s="25" t="s">
        <v>4665</v>
      </c>
      <c r="M1065" s="25" t="s">
        <v>6295</v>
      </c>
      <c r="N1065" s="25" t="s">
        <v>6303</v>
      </c>
    </row>
    <row r="1066" ht="20" customHeight="1" spans="1:14" x14ac:dyDescent="0.25">
      <c r="A1066" s="21" t="s">
        <v>6304</v>
      </c>
      <c r="B1066" s="21" t="s">
        <v>2631</v>
      </c>
      <c r="C1066" s="22" t="s">
        <v>2679</v>
      </c>
      <c r="D1066" s="30">
        <v>140.63</v>
      </c>
      <c r="E1066" s="31">
        <v>506.27</v>
      </c>
      <c r="F1066" s="22" t="s">
        <v>3024</v>
      </c>
      <c r="G1066" s="21" t="s">
        <v>988</v>
      </c>
      <c r="H1066" s="21" t="s">
        <v>6305</v>
      </c>
      <c r="I1066" s="21" t="s">
        <v>2654</v>
      </c>
      <c r="J1066" s="21">
        <f>SE(I1066="","-",SE(DATA.VALOR(I1066)&lt;HOJE(),"VENCIDO",SE(DATA.VALOR(I1066)-HOJE()&lt;=30,"CRÍTICO (&lt;=30D)","REGULAR")))</f>
      </c>
      <c r="K1066" s="22" t="s">
        <v>63</v>
      </c>
      <c r="L1066" s="22" t="s">
        <v>63</v>
      </c>
      <c r="M1066" s="22" t="s">
        <v>3026</v>
      </c>
      <c r="N1066" s="22" t="s">
        <v>6306</v>
      </c>
    </row>
    <row r="1067" ht="20" customHeight="1" spans="1:14" s="23" customFormat="1" x14ac:dyDescent="0.25">
      <c r="A1067" s="24" t="s">
        <v>6307</v>
      </c>
      <c r="B1067" s="24" t="s">
        <v>2631</v>
      </c>
      <c r="C1067" s="25" t="s">
        <v>2679</v>
      </c>
      <c r="D1067" s="32">
        <v>187.5</v>
      </c>
      <c r="E1067" s="33">
        <v>993.75</v>
      </c>
      <c r="F1067" s="25" t="s">
        <v>3024</v>
      </c>
      <c r="G1067" s="24" t="s">
        <v>988</v>
      </c>
      <c r="H1067" s="24" t="s">
        <v>6305</v>
      </c>
      <c r="I1067" s="24" t="s">
        <v>2654</v>
      </c>
      <c r="J1067" s="24">
        <f>SE(I1067="","-",SE(DATA.VALOR(I1067)&lt;HOJE(),"VENCIDO",SE(DATA.VALOR(I1067)-HOJE()&lt;=30,"CRÍTICO (&lt;=30D)","REGULAR")))</f>
      </c>
      <c r="K1067" s="25" t="s">
        <v>63</v>
      </c>
      <c r="L1067" s="25" t="s">
        <v>63</v>
      </c>
      <c r="M1067" s="25" t="s">
        <v>3026</v>
      </c>
      <c r="N1067" s="25" t="s">
        <v>6308</v>
      </c>
    </row>
    <row r="1068" ht="20" customHeight="1" spans="1:14" x14ac:dyDescent="0.25">
      <c r="A1068" s="21" t="s">
        <v>6309</v>
      </c>
      <c r="B1068" s="21" t="s">
        <v>2631</v>
      </c>
      <c r="C1068" s="22" t="s">
        <v>2679</v>
      </c>
      <c r="D1068" s="30">
        <v>33.33</v>
      </c>
      <c r="E1068" s="31">
        <v>182.65</v>
      </c>
      <c r="F1068" s="22" t="s">
        <v>3024</v>
      </c>
      <c r="G1068" s="21" t="s">
        <v>988</v>
      </c>
      <c r="H1068" s="21" t="s">
        <v>6305</v>
      </c>
      <c r="I1068" s="21" t="s">
        <v>2654</v>
      </c>
      <c r="J1068" s="21">
        <f>SE(I1068="","-",SE(DATA.VALOR(I1068)&lt;HOJE(),"VENCIDO",SE(DATA.VALOR(I1068)-HOJE()&lt;=30,"CRÍTICO (&lt;=30D)","REGULAR")))</f>
      </c>
      <c r="K1068" s="22" t="s">
        <v>63</v>
      </c>
      <c r="L1068" s="22" t="s">
        <v>63</v>
      </c>
      <c r="M1068" s="22" t="s">
        <v>3026</v>
      </c>
      <c r="N1068" s="22" t="s">
        <v>6310</v>
      </c>
    </row>
    <row r="1069" ht="20" customHeight="1" spans="1:14" s="23" customFormat="1" x14ac:dyDescent="0.25">
      <c r="A1069" s="24" t="s">
        <v>6311</v>
      </c>
      <c r="B1069" s="24" t="s">
        <v>2937</v>
      </c>
      <c r="C1069" s="25" t="s">
        <v>3173</v>
      </c>
      <c r="D1069" s="32">
        <v>73.9</v>
      </c>
      <c r="E1069" s="33">
        <v>232.78</v>
      </c>
      <c r="F1069" s="25" t="s">
        <v>2796</v>
      </c>
      <c r="G1069" s="24" t="s">
        <v>3498</v>
      </c>
      <c r="H1069" s="24" t="s">
        <v>6312</v>
      </c>
      <c r="I1069" s="24" t="s">
        <v>3163</v>
      </c>
      <c r="J1069" s="24">
        <f>SE(I1069="","-",SE(DATA.VALOR(I1069)&lt;HOJE(),"VENCIDO",SE(DATA.VALOR(I1069)-HOJE()&lt;=30,"CRÍTICO (&lt;=30D)","REGULAR")))</f>
      </c>
      <c r="K1069" s="25" t="s">
        <v>63</v>
      </c>
      <c r="L1069" s="25" t="s">
        <v>63</v>
      </c>
      <c r="M1069" s="25" t="s">
        <v>6313</v>
      </c>
      <c r="N1069" s="25" t="s">
        <v>6314</v>
      </c>
    </row>
    <row r="1070" ht="20" customHeight="1" spans="1:14" x14ac:dyDescent="0.25">
      <c r="A1070" s="21" t="s">
        <v>6315</v>
      </c>
      <c r="B1070" s="21" t="s">
        <v>2937</v>
      </c>
      <c r="C1070" s="22" t="s">
        <v>4318</v>
      </c>
      <c r="D1070" s="30">
        <v>149.3</v>
      </c>
      <c r="E1070" s="31">
        <v>507.62</v>
      </c>
      <c r="F1070" s="22" t="s">
        <v>2796</v>
      </c>
      <c r="G1070" s="21" t="s">
        <v>3498</v>
      </c>
      <c r="H1070" s="21" t="s">
        <v>6312</v>
      </c>
      <c r="I1070" s="21" t="s">
        <v>3163</v>
      </c>
      <c r="J1070" s="21">
        <f>SE(I1070="","-",SE(DATA.VALOR(I1070)&lt;HOJE(),"VENCIDO",SE(DATA.VALOR(I1070)-HOJE()&lt;=30,"CRÍTICO (&lt;=30D)","REGULAR")))</f>
      </c>
      <c r="K1070" s="22" t="s">
        <v>63</v>
      </c>
      <c r="L1070" s="22" t="s">
        <v>63</v>
      </c>
      <c r="M1070" s="22" t="s">
        <v>6316</v>
      </c>
      <c r="N1070" s="22" t="s">
        <v>6317</v>
      </c>
    </row>
    <row r="1071" ht="20" customHeight="1" spans="1:14" s="23" customFormat="1" x14ac:dyDescent="0.25">
      <c r="A1071" s="24" t="s">
        <v>6318</v>
      </c>
      <c r="B1071" s="24" t="s">
        <v>2937</v>
      </c>
      <c r="C1071" s="25" t="s">
        <v>4179</v>
      </c>
      <c r="D1071" s="32">
        <v>218.75</v>
      </c>
      <c r="E1071" s="33">
        <v>1290.62</v>
      </c>
      <c r="F1071" s="25" t="s">
        <v>2796</v>
      </c>
      <c r="G1071" s="24" t="s">
        <v>3498</v>
      </c>
      <c r="H1071" s="24" t="s">
        <v>6319</v>
      </c>
      <c r="I1071" s="24" t="s">
        <v>3163</v>
      </c>
      <c r="J1071" s="24">
        <f>SE(I1071="","-",SE(DATA.VALOR(I1071)&lt;HOJE(),"VENCIDO",SE(DATA.VALOR(I1071)-HOJE()&lt;=30,"CRÍTICO (&lt;=30D)","REGULAR")))</f>
      </c>
      <c r="K1071" s="25" t="s">
        <v>63</v>
      </c>
      <c r="L1071" s="25" t="s">
        <v>63</v>
      </c>
      <c r="M1071" s="25" t="s">
        <v>6320</v>
      </c>
      <c r="N1071" s="25" t="s">
        <v>6321</v>
      </c>
    </row>
    <row r="1072" ht="20" customHeight="1" spans="1:14" x14ac:dyDescent="0.25">
      <c r="A1072" s="21" t="s">
        <v>6322</v>
      </c>
      <c r="B1072" s="21" t="s">
        <v>2937</v>
      </c>
      <c r="C1072" s="22" t="s">
        <v>3570</v>
      </c>
      <c r="D1072" s="30">
        <v>36.6</v>
      </c>
      <c r="E1072" s="31">
        <v>146.4</v>
      </c>
      <c r="F1072" s="22" t="s">
        <v>2796</v>
      </c>
      <c r="G1072" s="21" t="s">
        <v>3498</v>
      </c>
      <c r="H1072" s="21" t="s">
        <v>6323</v>
      </c>
      <c r="I1072" s="21" t="s">
        <v>3163</v>
      </c>
      <c r="J1072" s="21">
        <f>SE(I1072="","-",SE(DATA.VALOR(I1072)&lt;HOJE(),"VENCIDO",SE(DATA.VALOR(I1072)-HOJE()&lt;=30,"CRÍTICO (&lt;=30D)","REGULAR")))</f>
      </c>
      <c r="K1072" s="22" t="s">
        <v>63</v>
      </c>
      <c r="L1072" s="22" t="s">
        <v>63</v>
      </c>
      <c r="M1072" s="22" t="s">
        <v>6324</v>
      </c>
      <c r="N1072" s="22" t="s">
        <v>6325</v>
      </c>
    </row>
    <row r="1073" ht="20" customHeight="1" spans="1:14" s="23" customFormat="1" x14ac:dyDescent="0.25">
      <c r="A1073" s="24" t="s">
        <v>6326</v>
      </c>
      <c r="B1073" s="24" t="s">
        <v>184</v>
      </c>
      <c r="C1073" s="25" t="s">
        <v>2935</v>
      </c>
      <c r="D1073" s="32">
        <v>43</v>
      </c>
      <c r="E1073" s="33">
        <v>232.2</v>
      </c>
      <c r="F1073" s="25" t="s">
        <v>2700</v>
      </c>
      <c r="G1073" s="24" t="s">
        <v>3512</v>
      </c>
      <c r="H1073" s="24" t="s">
        <v>6327</v>
      </c>
      <c r="I1073" s="24" t="s">
        <v>367</v>
      </c>
      <c r="J1073" s="24">
        <f>SE(I1073="","-",SE(DATA.VALOR(I1073)&lt;HOJE(),"VENCIDO",SE(DATA.VALOR(I1073)-HOJE()&lt;=30,"CRÍTICO (&lt;=30D)","REGULAR")))</f>
      </c>
      <c r="K1073" s="25" t="s">
        <v>63</v>
      </c>
      <c r="L1073" s="25" t="s">
        <v>63</v>
      </c>
      <c r="M1073" s="25" t="s">
        <v>6328</v>
      </c>
      <c r="N1073" s="25" t="s">
        <v>6329</v>
      </c>
    </row>
    <row r="1074" ht="20" customHeight="1" spans="1:14" x14ac:dyDescent="0.25">
      <c r="A1074" s="21" t="s">
        <v>6330</v>
      </c>
      <c r="B1074" s="21" t="s">
        <v>184</v>
      </c>
      <c r="C1074" s="22" t="s">
        <v>2855</v>
      </c>
      <c r="D1074" s="30">
        <v>40</v>
      </c>
      <c r="E1074" s="31">
        <v>160</v>
      </c>
      <c r="F1074" s="22" t="s">
        <v>2700</v>
      </c>
      <c r="G1074" s="21" t="s">
        <v>3512</v>
      </c>
      <c r="H1074" s="21" t="s">
        <v>6327</v>
      </c>
      <c r="I1074" s="21" t="s">
        <v>367</v>
      </c>
      <c r="J1074" s="21">
        <f>SE(I1074="","-",SE(DATA.VALOR(I1074)&lt;HOJE(),"VENCIDO",SE(DATA.VALOR(I1074)-HOJE()&lt;=30,"CRÍTICO (&lt;=30D)","REGULAR")))</f>
      </c>
      <c r="K1074" s="22" t="s">
        <v>63</v>
      </c>
      <c r="L1074" s="22" t="s">
        <v>63</v>
      </c>
      <c r="M1074" s="22" t="s">
        <v>6331</v>
      </c>
      <c r="N1074" s="22" t="s">
        <v>6332</v>
      </c>
    </row>
    <row r="1075" ht="20" customHeight="1" spans="1:14" s="23" customFormat="1" x14ac:dyDescent="0.25">
      <c r="A1075" s="24" t="s">
        <v>6333</v>
      </c>
      <c r="B1075" s="24" t="s">
        <v>184</v>
      </c>
      <c r="C1075" s="25" t="s">
        <v>2709</v>
      </c>
      <c r="D1075" s="32">
        <v>206</v>
      </c>
      <c r="E1075" s="33">
        <v>762.2</v>
      </c>
      <c r="F1075" s="25" t="s">
        <v>2700</v>
      </c>
      <c r="G1075" s="24" t="s">
        <v>3512</v>
      </c>
      <c r="H1075" s="24" t="s">
        <v>6327</v>
      </c>
      <c r="I1075" s="24" t="s">
        <v>367</v>
      </c>
      <c r="J1075" s="24">
        <f>SE(I1075="","-",SE(DATA.VALOR(I1075)&lt;HOJE(),"VENCIDO",SE(DATA.VALOR(I1075)-HOJE()&lt;=30,"CRÍTICO (&lt;=30D)","REGULAR")))</f>
      </c>
      <c r="K1075" s="25" t="s">
        <v>63</v>
      </c>
      <c r="L1075" s="25" t="s">
        <v>63</v>
      </c>
      <c r="M1075" s="25" t="s">
        <v>6334</v>
      </c>
      <c r="N1075" s="25" t="s">
        <v>6335</v>
      </c>
    </row>
    <row r="1076" ht="20" customHeight="1" spans="1:14" x14ac:dyDescent="0.25">
      <c r="A1076" s="21" t="s">
        <v>6336</v>
      </c>
      <c r="B1076" s="21" t="s">
        <v>184</v>
      </c>
      <c r="C1076" s="22" t="s">
        <v>6337</v>
      </c>
      <c r="D1076" s="30">
        <v>268</v>
      </c>
      <c r="E1076" s="31">
        <v>1005</v>
      </c>
      <c r="F1076" s="22" t="s">
        <v>2700</v>
      </c>
      <c r="G1076" s="21" t="s">
        <v>3512</v>
      </c>
      <c r="H1076" s="21" t="s">
        <v>6327</v>
      </c>
      <c r="I1076" s="21" t="s">
        <v>367</v>
      </c>
      <c r="J1076" s="21">
        <f>SE(I1076="","-",SE(DATA.VALOR(I1076)&lt;HOJE(),"VENCIDO",SE(DATA.VALOR(I1076)-HOJE()&lt;=30,"CRÍTICO (&lt;=30D)","REGULAR")))</f>
      </c>
      <c r="K1076" s="22" t="s">
        <v>63</v>
      </c>
      <c r="L1076" s="22" t="s">
        <v>63</v>
      </c>
      <c r="M1076" s="22" t="s">
        <v>6338</v>
      </c>
      <c r="N1076" s="22" t="s">
        <v>6339</v>
      </c>
    </row>
    <row r="1077" ht="20" customHeight="1" spans="1:14" s="23" customFormat="1" x14ac:dyDescent="0.25">
      <c r="A1077" s="24" t="s">
        <v>6340</v>
      </c>
      <c r="B1077" s="24" t="s">
        <v>92</v>
      </c>
      <c r="C1077" s="25" t="s">
        <v>63</v>
      </c>
      <c r="D1077" s="32">
        <v>37.5</v>
      </c>
      <c r="E1077" s="33">
        <v>150</v>
      </c>
      <c r="F1077" s="25" t="s">
        <v>2774</v>
      </c>
      <c r="G1077" s="24" t="s">
        <v>4894</v>
      </c>
      <c r="H1077" s="24" t="s">
        <v>2996</v>
      </c>
      <c r="I1077" s="24" t="s">
        <v>63</v>
      </c>
      <c r="J1077" s="24" t="s">
        <v>20</v>
      </c>
      <c r="K1077" s="25" t="s">
        <v>4895</v>
      </c>
      <c r="L1077" s="25" t="s">
        <v>2777</v>
      </c>
      <c r="M1077" s="25" t="s">
        <v>63</v>
      </c>
      <c r="N1077" s="25" t="s">
        <v>6341</v>
      </c>
    </row>
    <row r="1078" ht="20" customHeight="1" spans="1:14" x14ac:dyDescent="0.25">
      <c r="A1078" s="21" t="s">
        <v>6342</v>
      </c>
      <c r="B1078" s="21" t="s">
        <v>2232</v>
      </c>
      <c r="C1078" s="22" t="s">
        <v>6343</v>
      </c>
      <c r="D1078" s="30">
        <v>2000</v>
      </c>
      <c r="E1078" s="31">
        <v>52960</v>
      </c>
      <c r="F1078" s="22" t="s">
        <v>2607</v>
      </c>
      <c r="G1078" s="21" t="s">
        <v>6344</v>
      </c>
      <c r="H1078" s="21" t="s">
        <v>6345</v>
      </c>
      <c r="I1078" s="21" t="s">
        <v>6346</v>
      </c>
      <c r="J1078" s="21">
        <f>SE(I1078="","-",SE(DATA.VALOR(I1078)&lt;HOJE(),"VENCIDO",SE(DATA.VALOR(I1078)-HOJE()&lt;=30,"CRÍTICO (&lt;=30D)","REGULAR")))</f>
      </c>
      <c r="K1078" s="22" t="s">
        <v>6347</v>
      </c>
      <c r="L1078" s="22" t="s">
        <v>6348</v>
      </c>
      <c r="M1078" s="22" t="s">
        <v>6349</v>
      </c>
      <c r="N1078" s="22" t="s">
        <v>6350</v>
      </c>
    </row>
    <row r="1079" ht="20" customHeight="1" spans="1:14" s="23" customFormat="1" x14ac:dyDescent="0.25">
      <c r="A1079" s="24" t="s">
        <v>6351</v>
      </c>
      <c r="B1079" s="24" t="s">
        <v>3123</v>
      </c>
      <c r="C1079" s="25" t="s">
        <v>4338</v>
      </c>
      <c r="D1079" s="32">
        <v>175</v>
      </c>
      <c r="E1079" s="33">
        <v>647.5</v>
      </c>
      <c r="F1079" s="25" t="s">
        <v>3100</v>
      </c>
      <c r="G1079" s="24" t="s">
        <v>6352</v>
      </c>
      <c r="H1079" s="24" t="s">
        <v>3158</v>
      </c>
      <c r="I1079" s="24" t="s">
        <v>116</v>
      </c>
      <c r="J1079" s="24">
        <f>SE(I1079="","-",SE(DATA.VALOR(I1079)&lt;HOJE(),"VENCIDO",SE(DATA.VALOR(I1079)-HOJE()&lt;=30,"CRÍTICO (&lt;=30D)","REGULAR")))</f>
      </c>
      <c r="K1079" s="25" t="s">
        <v>6353</v>
      </c>
      <c r="L1079" s="25" t="s">
        <v>3103</v>
      </c>
      <c r="M1079" s="25" t="s">
        <v>6354</v>
      </c>
      <c r="N1079" s="25" t="s">
        <v>6355</v>
      </c>
    </row>
    <row r="1080" ht="20" customHeight="1" spans="1:14" x14ac:dyDescent="0.25">
      <c r="A1080" s="21" t="s">
        <v>6356</v>
      </c>
      <c r="B1080" s="21" t="s">
        <v>2232</v>
      </c>
      <c r="C1080" s="22" t="s">
        <v>6078</v>
      </c>
      <c r="D1080" s="30">
        <v>860</v>
      </c>
      <c r="E1080" s="31">
        <v>1530</v>
      </c>
      <c r="F1080" s="22" t="s">
        <v>5605</v>
      </c>
      <c r="G1080" s="21" t="s">
        <v>6357</v>
      </c>
      <c r="H1080" s="21" t="s">
        <v>6358</v>
      </c>
      <c r="I1080" s="21" t="s">
        <v>2364</v>
      </c>
      <c r="J1080" s="21">
        <f>SE(I1080="","-",SE(DATA.VALOR(I1080)&lt;HOJE(),"VENCIDO",SE(DATA.VALOR(I1080)-HOJE()&lt;=30,"CRÍTICO (&lt;=30D)","REGULAR")))</f>
      </c>
      <c r="K1080" s="22" t="s">
        <v>6359</v>
      </c>
      <c r="L1080" s="22" t="s">
        <v>6213</v>
      </c>
      <c r="M1080" s="22" t="s">
        <v>6360</v>
      </c>
      <c r="N1080" s="22" t="s">
        <v>6361</v>
      </c>
    </row>
    <row r="1081" ht="20" customHeight="1" spans="1:14" s="23" customFormat="1" x14ac:dyDescent="0.25">
      <c r="A1081" s="24" t="s">
        <v>6362</v>
      </c>
      <c r="B1081" s="24" t="s">
        <v>2923</v>
      </c>
      <c r="C1081" s="25" t="s">
        <v>3173</v>
      </c>
      <c r="D1081" s="32">
        <v>75</v>
      </c>
      <c r="E1081" s="33">
        <v>236.25</v>
      </c>
      <c r="F1081" s="25" t="s">
        <v>2880</v>
      </c>
      <c r="G1081" s="24" t="s">
        <v>2020</v>
      </c>
      <c r="H1081" s="24" t="s">
        <v>6363</v>
      </c>
      <c r="I1081" s="24" t="s">
        <v>3776</v>
      </c>
      <c r="J1081" s="24">
        <f>SE(I1081="","-",SE(DATA.VALOR(I1081)&lt;HOJE(),"VENCIDO",SE(DATA.VALOR(I1081)-HOJE()&lt;=30,"CRÍTICO (&lt;=30D)","REGULAR")))</f>
      </c>
      <c r="K1081" s="25" t="s">
        <v>6364</v>
      </c>
      <c r="L1081" s="25" t="s">
        <v>6365</v>
      </c>
      <c r="M1081" s="25" t="s">
        <v>6366</v>
      </c>
      <c r="N1081" s="25" t="s">
        <v>6367</v>
      </c>
    </row>
    <row r="1082" ht="20" customHeight="1" spans="1:14" x14ac:dyDescent="0.25">
      <c r="A1082" s="21" t="s">
        <v>6368</v>
      </c>
      <c r="B1082" s="21" t="s">
        <v>2923</v>
      </c>
      <c r="C1082" s="22" t="s">
        <v>6369</v>
      </c>
      <c r="D1082" s="30">
        <v>202</v>
      </c>
      <c r="E1082" s="31">
        <v>686.8</v>
      </c>
      <c r="F1082" s="22" t="s">
        <v>2880</v>
      </c>
      <c r="G1082" s="21" t="s">
        <v>2020</v>
      </c>
      <c r="H1082" s="21" t="s">
        <v>6370</v>
      </c>
      <c r="I1082" s="21" t="s">
        <v>3776</v>
      </c>
      <c r="J1082" s="21">
        <f>SE(I1082="","-",SE(DATA.VALOR(I1082)&lt;HOJE(),"VENCIDO",SE(DATA.VALOR(I1082)-HOJE()&lt;=30,"CRÍTICO (&lt;=30D)","REGULAR")))</f>
      </c>
      <c r="K1082" s="22" t="s">
        <v>6364</v>
      </c>
      <c r="L1082" s="22" t="s">
        <v>6365</v>
      </c>
      <c r="M1082" s="22" t="s">
        <v>6371</v>
      </c>
      <c r="N1082" s="22" t="s">
        <v>6372</v>
      </c>
    </row>
    <row r="1083" ht="20" customHeight="1" spans="1:14" s="23" customFormat="1" x14ac:dyDescent="0.25">
      <c r="A1083" s="24" t="s">
        <v>6373</v>
      </c>
      <c r="B1083" s="24" t="s">
        <v>2923</v>
      </c>
      <c r="C1083" s="25" t="s">
        <v>6374</v>
      </c>
      <c r="D1083" s="32">
        <v>157</v>
      </c>
      <c r="E1083" s="33">
        <v>620.15</v>
      </c>
      <c r="F1083" s="25" t="s">
        <v>2880</v>
      </c>
      <c r="G1083" s="24" t="s">
        <v>2020</v>
      </c>
      <c r="H1083" s="24" t="s">
        <v>6370</v>
      </c>
      <c r="I1083" s="24" t="s">
        <v>3776</v>
      </c>
      <c r="J1083" s="24">
        <f>SE(I1083="","-",SE(DATA.VALOR(I1083)&lt;HOJE(),"VENCIDO",SE(DATA.VALOR(I1083)-HOJE()&lt;=30,"CRÍTICO (&lt;=30D)","REGULAR")))</f>
      </c>
      <c r="K1083" s="25" t="s">
        <v>6364</v>
      </c>
      <c r="L1083" s="25" t="s">
        <v>6365</v>
      </c>
      <c r="M1083" s="25" t="s">
        <v>6375</v>
      </c>
      <c r="N1083" s="25" t="s">
        <v>6376</v>
      </c>
    </row>
    <row r="1084" ht="20" customHeight="1" spans="1:14" x14ac:dyDescent="0.25">
      <c r="A1084" s="21" t="s">
        <v>6377</v>
      </c>
      <c r="B1084" s="21" t="s">
        <v>2923</v>
      </c>
      <c r="C1084" s="22" t="s">
        <v>6378</v>
      </c>
      <c r="D1084" s="30">
        <v>216</v>
      </c>
      <c r="E1084" s="31">
        <v>1274.4</v>
      </c>
      <c r="F1084" s="22" t="s">
        <v>2880</v>
      </c>
      <c r="G1084" s="21" t="s">
        <v>2020</v>
      </c>
      <c r="H1084" s="21" t="s">
        <v>6370</v>
      </c>
      <c r="I1084" s="21" t="s">
        <v>3776</v>
      </c>
      <c r="J1084" s="21">
        <f>SE(I1084="","-",SE(DATA.VALOR(I1084)&lt;HOJE(),"VENCIDO",SE(DATA.VALOR(I1084)-HOJE()&lt;=30,"CRÍTICO (&lt;=30D)","REGULAR")))</f>
      </c>
      <c r="K1084" s="22" t="s">
        <v>6364</v>
      </c>
      <c r="L1084" s="22" t="s">
        <v>6365</v>
      </c>
      <c r="M1084" s="22" t="s">
        <v>6379</v>
      </c>
      <c r="N1084" s="22" t="s">
        <v>6380</v>
      </c>
    </row>
    <row r="1085" ht="20" customHeight="1" spans="1:14" s="23" customFormat="1" x14ac:dyDescent="0.25">
      <c r="A1085" s="24" t="s">
        <v>6381</v>
      </c>
      <c r="B1085" s="24" t="s">
        <v>2923</v>
      </c>
      <c r="C1085" s="25" t="s">
        <v>6382</v>
      </c>
      <c r="D1085" s="32">
        <v>220</v>
      </c>
      <c r="E1085" s="33">
        <v>1122</v>
      </c>
      <c r="F1085" s="25" t="s">
        <v>2880</v>
      </c>
      <c r="G1085" s="24" t="s">
        <v>2020</v>
      </c>
      <c r="H1085" s="24" t="s">
        <v>6370</v>
      </c>
      <c r="I1085" s="24" t="s">
        <v>3776</v>
      </c>
      <c r="J1085" s="24">
        <f>SE(I1085="","-",SE(DATA.VALOR(I1085)&lt;HOJE(),"VENCIDO",SE(DATA.VALOR(I1085)-HOJE()&lt;=30,"CRÍTICO (&lt;=30D)","REGULAR")))</f>
      </c>
      <c r="K1085" s="25" t="s">
        <v>6364</v>
      </c>
      <c r="L1085" s="25" t="s">
        <v>6365</v>
      </c>
      <c r="M1085" s="25" t="s">
        <v>6383</v>
      </c>
      <c r="N1085" s="25" t="s">
        <v>6384</v>
      </c>
    </row>
    <row r="1086" ht="20" customHeight="1" spans="1:14" x14ac:dyDescent="0.25">
      <c r="A1086" s="21" t="s">
        <v>6385</v>
      </c>
      <c r="B1086" s="21" t="s">
        <v>2923</v>
      </c>
      <c r="C1086" s="22" t="s">
        <v>2696</v>
      </c>
      <c r="D1086" s="30">
        <v>131</v>
      </c>
      <c r="E1086" s="31">
        <v>471.6</v>
      </c>
      <c r="F1086" s="22" t="s">
        <v>2880</v>
      </c>
      <c r="G1086" s="21" t="s">
        <v>2020</v>
      </c>
      <c r="H1086" s="21" t="s">
        <v>6370</v>
      </c>
      <c r="I1086" s="21" t="s">
        <v>3776</v>
      </c>
      <c r="J1086" s="21">
        <f>SE(I1086="","-",SE(DATA.VALOR(I1086)&lt;HOJE(),"VENCIDO",SE(DATA.VALOR(I1086)-HOJE()&lt;=30,"CRÍTICO (&lt;=30D)","REGULAR")))</f>
      </c>
      <c r="K1086" s="22" t="s">
        <v>6364</v>
      </c>
      <c r="L1086" s="22" t="s">
        <v>6365</v>
      </c>
      <c r="M1086" s="22" t="s">
        <v>6386</v>
      </c>
      <c r="N1086" s="22" t="s">
        <v>6387</v>
      </c>
    </row>
    <row r="1087" ht="20" customHeight="1" spans="1:14" s="23" customFormat="1" x14ac:dyDescent="0.25">
      <c r="A1087" s="24" t="s">
        <v>6388</v>
      </c>
      <c r="B1087" s="24" t="s">
        <v>92</v>
      </c>
      <c r="C1087" s="25" t="s">
        <v>3883</v>
      </c>
      <c r="D1087" s="32">
        <v>89</v>
      </c>
      <c r="E1087" s="33">
        <v>578.5</v>
      </c>
      <c r="F1087" s="25" t="s">
        <v>2643</v>
      </c>
      <c r="G1087" s="24" t="s">
        <v>3506</v>
      </c>
      <c r="H1087" s="24" t="s">
        <v>6389</v>
      </c>
      <c r="I1087" s="24" t="s">
        <v>222</v>
      </c>
      <c r="J1087" s="24">
        <f>SE(I1087="","-",SE(DATA.VALOR(I1087)&lt;HOJE(),"VENCIDO",SE(DATA.VALOR(I1087)-HOJE()&lt;=30,"CRÍTICO (&lt;=30D)","REGULAR")))</f>
      </c>
      <c r="K1087" s="25" t="s">
        <v>3508</v>
      </c>
      <c r="L1087" s="25" t="s">
        <v>2648</v>
      </c>
      <c r="M1087" s="25" t="s">
        <v>6390</v>
      </c>
      <c r="N1087" s="25" t="s">
        <v>6391</v>
      </c>
    </row>
    <row r="1088" ht="20" customHeight="1" spans="1:14" x14ac:dyDescent="0.25">
      <c r="A1088" s="21" t="s">
        <v>6392</v>
      </c>
      <c r="B1088" s="21" t="s">
        <v>334</v>
      </c>
      <c r="C1088" s="22" t="s">
        <v>6393</v>
      </c>
      <c r="D1088" s="30">
        <v>251</v>
      </c>
      <c r="E1088" s="31">
        <v>923.68</v>
      </c>
      <c r="F1088" s="22" t="s">
        <v>2685</v>
      </c>
      <c r="G1088" s="21" t="s">
        <v>5831</v>
      </c>
      <c r="H1088" s="21" t="s">
        <v>6394</v>
      </c>
      <c r="I1088" s="21" t="s">
        <v>541</v>
      </c>
      <c r="J1088" s="21">
        <f>SE(I1088="","-",SE(DATA.VALOR(I1088)&lt;HOJE(),"VENCIDO",SE(DATA.VALOR(I1088)-HOJE()&lt;=30,"CRÍTICO (&lt;=30D)","REGULAR")))</f>
      </c>
      <c r="K1088" s="22" t="s">
        <v>63</v>
      </c>
      <c r="L1088" s="22" t="s">
        <v>2690</v>
      </c>
      <c r="M1088" s="22" t="s">
        <v>6395</v>
      </c>
      <c r="N1088" s="22" t="s">
        <v>6396</v>
      </c>
    </row>
    <row r="1089" ht="20" customHeight="1" spans="1:14" s="23" customFormat="1" x14ac:dyDescent="0.25">
      <c r="A1089" s="24" t="s">
        <v>6397</v>
      </c>
      <c r="B1089" s="24" t="s">
        <v>334</v>
      </c>
      <c r="C1089" s="25" t="s">
        <v>4276</v>
      </c>
      <c r="D1089" s="32">
        <v>147</v>
      </c>
      <c r="E1089" s="33">
        <v>580.65</v>
      </c>
      <c r="F1089" s="25" t="s">
        <v>2685</v>
      </c>
      <c r="G1089" s="24" t="s">
        <v>5831</v>
      </c>
      <c r="H1089" s="24" t="s">
        <v>6394</v>
      </c>
      <c r="I1089" s="24" t="s">
        <v>541</v>
      </c>
      <c r="J1089" s="24">
        <f>SE(I1089="","-",SE(DATA.VALOR(I1089)&lt;HOJE(),"VENCIDO",SE(DATA.VALOR(I1089)-HOJE()&lt;=30,"CRÍTICO (&lt;=30D)","REGULAR")))</f>
      </c>
      <c r="K1089" s="25" t="s">
        <v>63</v>
      </c>
      <c r="L1089" s="25" t="s">
        <v>2690</v>
      </c>
      <c r="M1089" s="25" t="s">
        <v>6398</v>
      </c>
      <c r="N1089" s="25" t="s">
        <v>6399</v>
      </c>
    </row>
    <row r="1090" ht="20" customHeight="1" spans="1:14" x14ac:dyDescent="0.25">
      <c r="A1090" s="21" t="s">
        <v>6400</v>
      </c>
      <c r="B1090" s="21" t="s">
        <v>334</v>
      </c>
      <c r="C1090" s="22" t="s">
        <v>4266</v>
      </c>
      <c r="D1090" s="30">
        <v>221</v>
      </c>
      <c r="E1090" s="31">
        <v>1127.1</v>
      </c>
      <c r="F1090" s="22" t="s">
        <v>2685</v>
      </c>
      <c r="G1090" s="21" t="s">
        <v>5831</v>
      </c>
      <c r="H1090" s="21" t="s">
        <v>6394</v>
      </c>
      <c r="I1090" s="21" t="s">
        <v>541</v>
      </c>
      <c r="J1090" s="21">
        <f>SE(I1090="","-",SE(DATA.VALOR(I1090)&lt;HOJE(),"VENCIDO",SE(DATA.VALOR(I1090)-HOJE()&lt;=30,"CRÍTICO (&lt;=30D)","REGULAR")))</f>
      </c>
      <c r="K1090" s="22" t="s">
        <v>63</v>
      </c>
      <c r="L1090" s="22" t="s">
        <v>2690</v>
      </c>
      <c r="M1090" s="22" t="s">
        <v>6401</v>
      </c>
      <c r="N1090" s="22" t="s">
        <v>6402</v>
      </c>
    </row>
    <row r="1091" ht="20" customHeight="1" spans="1:14" s="23" customFormat="1" x14ac:dyDescent="0.25">
      <c r="A1091" s="24" t="s">
        <v>6403</v>
      </c>
      <c r="B1091" s="24" t="s">
        <v>334</v>
      </c>
      <c r="C1091" s="25" t="s">
        <v>2940</v>
      </c>
      <c r="D1091" s="32">
        <v>52</v>
      </c>
      <c r="E1091" s="33">
        <v>163.8</v>
      </c>
      <c r="F1091" s="25" t="s">
        <v>2685</v>
      </c>
      <c r="G1091" s="24" t="s">
        <v>5831</v>
      </c>
      <c r="H1091" s="24" t="s">
        <v>6394</v>
      </c>
      <c r="I1091" s="24" t="s">
        <v>541</v>
      </c>
      <c r="J1091" s="24">
        <f>SE(I1091="","-",SE(DATA.VALOR(I1091)&lt;HOJE(),"VENCIDO",SE(DATA.VALOR(I1091)-HOJE()&lt;=30,"CRÍTICO (&lt;=30D)","REGULAR")))</f>
      </c>
      <c r="K1091" s="25" t="s">
        <v>63</v>
      </c>
      <c r="L1091" s="25" t="s">
        <v>2690</v>
      </c>
      <c r="M1091" s="25" t="s">
        <v>6404</v>
      </c>
      <c r="N1091" s="25" t="s">
        <v>6405</v>
      </c>
    </row>
    <row r="1092" ht="20" customHeight="1" spans="1:14" x14ac:dyDescent="0.25">
      <c r="A1092" s="21" t="s">
        <v>6406</v>
      </c>
      <c r="B1092" s="21" t="s">
        <v>334</v>
      </c>
      <c r="C1092" s="22" t="s">
        <v>4274</v>
      </c>
      <c r="D1092" s="30">
        <v>152</v>
      </c>
      <c r="E1092" s="31">
        <v>547.2</v>
      </c>
      <c r="F1092" s="22" t="s">
        <v>2685</v>
      </c>
      <c r="G1092" s="21" t="s">
        <v>5831</v>
      </c>
      <c r="H1092" s="21" t="s">
        <v>6394</v>
      </c>
      <c r="I1092" s="21" t="s">
        <v>541</v>
      </c>
      <c r="J1092" s="21">
        <f>SE(I1092="","-",SE(DATA.VALOR(I1092)&lt;HOJE(),"VENCIDO",SE(DATA.VALOR(I1092)-HOJE()&lt;=30,"CRÍTICO (&lt;=30D)","REGULAR")))</f>
      </c>
      <c r="K1092" s="22" t="s">
        <v>63</v>
      </c>
      <c r="L1092" s="22" t="s">
        <v>2690</v>
      </c>
      <c r="M1092" s="22" t="s">
        <v>6407</v>
      </c>
      <c r="N1092" s="22" t="s">
        <v>6408</v>
      </c>
    </row>
    <row r="1093" ht="20" customHeight="1" spans="1:14" s="23" customFormat="1" x14ac:dyDescent="0.25">
      <c r="A1093" s="24" t="s">
        <v>6409</v>
      </c>
      <c r="B1093" s="24" t="s">
        <v>184</v>
      </c>
      <c r="C1093" s="25" t="s">
        <v>2935</v>
      </c>
      <c r="D1093" s="32">
        <v>55</v>
      </c>
      <c r="E1093" s="33">
        <v>297</v>
      </c>
      <c r="F1093" s="25" t="s">
        <v>2856</v>
      </c>
      <c r="G1093" s="24" t="s">
        <v>6410</v>
      </c>
      <c r="H1093" s="24" t="s">
        <v>6411</v>
      </c>
      <c r="I1093" s="24" t="s">
        <v>367</v>
      </c>
      <c r="J1093" s="24">
        <f>SE(I1093="","-",SE(DATA.VALOR(I1093)&lt;HOJE(),"VENCIDO",SE(DATA.VALOR(I1093)-HOJE()&lt;=30,"CRÍTICO (&lt;=30D)","REGULAR")))</f>
      </c>
      <c r="K1093" s="25" t="s">
        <v>6412</v>
      </c>
      <c r="L1093" s="25" t="s">
        <v>6413</v>
      </c>
      <c r="M1093" s="25" t="s">
        <v>6414</v>
      </c>
      <c r="N1093" s="25" t="s">
        <v>6415</v>
      </c>
    </row>
    <row r="1094" ht="20" customHeight="1" spans="1:14" x14ac:dyDescent="0.25">
      <c r="A1094" s="21" t="s">
        <v>6416</v>
      </c>
      <c r="B1094" s="21" t="s">
        <v>184</v>
      </c>
      <c r="C1094" s="22" t="s">
        <v>2855</v>
      </c>
      <c r="D1094" s="30">
        <v>41</v>
      </c>
      <c r="E1094" s="31">
        <v>164</v>
      </c>
      <c r="F1094" s="22" t="s">
        <v>2856</v>
      </c>
      <c r="G1094" s="21" t="s">
        <v>6410</v>
      </c>
      <c r="H1094" s="21" t="s">
        <v>6417</v>
      </c>
      <c r="I1094" s="21" t="s">
        <v>367</v>
      </c>
      <c r="J1094" s="21">
        <f>SE(I1094="","-",SE(DATA.VALOR(I1094)&lt;HOJE(),"VENCIDO",SE(DATA.VALOR(I1094)-HOJE()&lt;=30,"CRÍTICO (&lt;=30D)","REGULAR")))</f>
      </c>
      <c r="K1094" s="22" t="s">
        <v>6412</v>
      </c>
      <c r="L1094" s="22" t="s">
        <v>6413</v>
      </c>
      <c r="M1094" s="22" t="s">
        <v>6418</v>
      </c>
      <c r="N1094" s="22" t="s">
        <v>6419</v>
      </c>
    </row>
    <row r="1095" ht="20" customHeight="1" spans="1:14" s="23" customFormat="1" x14ac:dyDescent="0.25">
      <c r="A1095" s="24" t="s">
        <v>6420</v>
      </c>
      <c r="B1095" s="24" t="s">
        <v>2232</v>
      </c>
      <c r="C1095" s="25" t="s">
        <v>6421</v>
      </c>
      <c r="D1095" s="32">
        <v>120</v>
      </c>
      <c r="E1095" s="33">
        <v>1560</v>
      </c>
      <c r="F1095" s="25" t="s">
        <v>3450</v>
      </c>
      <c r="G1095" s="24" t="s">
        <v>6422</v>
      </c>
      <c r="H1095" s="24" t="s">
        <v>6358</v>
      </c>
      <c r="I1095" s="24" t="s">
        <v>6423</v>
      </c>
      <c r="J1095" s="24">
        <f>SE(I1095="","-",SE(DATA.VALOR(I1095)&lt;HOJE(),"VENCIDO",SE(DATA.VALOR(I1095)-HOJE()&lt;=30,"CRÍTICO (&lt;=30D)","REGULAR")))</f>
      </c>
      <c r="K1095" s="25" t="s">
        <v>6424</v>
      </c>
      <c r="L1095" s="25" t="s">
        <v>6425</v>
      </c>
      <c r="M1095" s="25" t="s">
        <v>6426</v>
      </c>
      <c r="N1095" s="25" t="s">
        <v>6427</v>
      </c>
    </row>
    <row r="1096" ht="20" customHeight="1" spans="1:14" x14ac:dyDescent="0.25">
      <c r="A1096" s="21" t="s">
        <v>6428</v>
      </c>
      <c r="B1096" s="21" t="s">
        <v>2232</v>
      </c>
      <c r="C1096" s="22" t="s">
        <v>6429</v>
      </c>
      <c r="D1096" s="30">
        <v>500</v>
      </c>
      <c r="E1096" s="31">
        <v>2390</v>
      </c>
      <c r="F1096" s="22" t="s">
        <v>3450</v>
      </c>
      <c r="G1096" s="21" t="s">
        <v>4055</v>
      </c>
      <c r="H1096" s="21" t="s">
        <v>6430</v>
      </c>
      <c r="I1096" s="21" t="s">
        <v>6431</v>
      </c>
      <c r="J1096" s="21">
        <f>SE(I1096="","-",SE(DATA.VALOR(I1096)&lt;HOJE(),"VENCIDO",SE(DATA.VALOR(I1096)-HOJE()&lt;=30,"CRÍTICO (&lt;=30D)","REGULAR")))</f>
      </c>
      <c r="K1096" s="22" t="s">
        <v>6432</v>
      </c>
      <c r="L1096" s="22" t="s">
        <v>6433</v>
      </c>
      <c r="M1096" s="22" t="s">
        <v>6434</v>
      </c>
      <c r="N1096" s="22" t="s">
        <v>6435</v>
      </c>
    </row>
    <row r="1097" ht="20" customHeight="1" spans="1:14" s="23" customFormat="1" x14ac:dyDescent="0.25">
      <c r="A1097" s="24" t="s">
        <v>6436</v>
      </c>
      <c r="B1097" s="24" t="s">
        <v>2232</v>
      </c>
      <c r="C1097" s="25" t="s">
        <v>6437</v>
      </c>
      <c r="D1097" s="32">
        <v>2200</v>
      </c>
      <c r="E1097" s="33">
        <v>15246</v>
      </c>
      <c r="F1097" s="25" t="s">
        <v>3450</v>
      </c>
      <c r="G1097" s="24" t="s">
        <v>4055</v>
      </c>
      <c r="H1097" s="24" t="s">
        <v>6438</v>
      </c>
      <c r="I1097" s="24" t="s">
        <v>6439</v>
      </c>
      <c r="J1097" s="24">
        <f>SE(I1097="","-",SE(DATA.VALOR(I1097)&lt;HOJE(),"VENCIDO",SE(DATA.VALOR(I1097)-HOJE()&lt;=30,"CRÍTICO (&lt;=30D)","REGULAR")))</f>
      </c>
      <c r="K1097" s="25" t="s">
        <v>6432</v>
      </c>
      <c r="L1097" s="25" t="s">
        <v>6433</v>
      </c>
      <c r="M1097" s="25" t="s">
        <v>6434</v>
      </c>
      <c r="N1097" s="25" t="s">
        <v>6440</v>
      </c>
    </row>
    <row r="1098" ht="20" customHeight="1" spans="1:14" x14ac:dyDescent="0.25">
      <c r="A1098" s="21" t="s">
        <v>6441</v>
      </c>
      <c r="B1098" s="21" t="s">
        <v>2934</v>
      </c>
      <c r="C1098" s="22" t="s">
        <v>4338</v>
      </c>
      <c r="D1098" s="30">
        <v>72.9</v>
      </c>
      <c r="E1098" s="31">
        <v>732.6</v>
      </c>
      <c r="F1098" s="22" t="s">
        <v>2700</v>
      </c>
      <c r="G1098" s="21" t="s">
        <v>2936</v>
      </c>
      <c r="H1098" s="21" t="s">
        <v>2996</v>
      </c>
      <c r="I1098" s="21" t="s">
        <v>63</v>
      </c>
      <c r="J1098" s="21" t="s">
        <v>20</v>
      </c>
      <c r="K1098" s="22" t="s">
        <v>2938</v>
      </c>
      <c r="L1098" s="22" t="s">
        <v>2705</v>
      </c>
      <c r="M1098" s="22" t="s">
        <v>63</v>
      </c>
      <c r="N1098" s="22" t="s">
        <v>6442</v>
      </c>
    </row>
    <row r="1099" ht="20" customHeight="1" spans="1:14" s="23" customFormat="1" x14ac:dyDescent="0.25">
      <c r="A1099" s="24" t="s">
        <v>6443</v>
      </c>
      <c r="B1099" s="24" t="s">
        <v>2232</v>
      </c>
      <c r="C1099" s="25" t="s">
        <v>4338</v>
      </c>
      <c r="D1099" s="32">
        <v>0</v>
      </c>
      <c r="E1099" s="33">
        <v>337.5</v>
      </c>
      <c r="F1099" s="25" t="s">
        <v>3149</v>
      </c>
      <c r="G1099" s="24" t="s">
        <v>6444</v>
      </c>
      <c r="H1099" s="24" t="s">
        <v>6202</v>
      </c>
      <c r="I1099" s="24" t="s">
        <v>2313</v>
      </c>
      <c r="J1099" s="24">
        <f>SE(I1099="","-",SE(DATA.VALOR(I1099)&lt;HOJE(),"VENCIDO",SE(DATA.VALOR(I1099)-HOJE()&lt;=30,"CRÍTICO (&lt;=30D)","REGULAR")))</f>
      </c>
      <c r="K1099" s="25" t="s">
        <v>6445</v>
      </c>
      <c r="L1099" s="25" t="s">
        <v>6446</v>
      </c>
      <c r="M1099" s="25" t="s">
        <v>6447</v>
      </c>
      <c r="N1099" s="25" t="s">
        <v>6448</v>
      </c>
    </row>
    <row r="1100" ht="20" customHeight="1" spans="1:14" x14ac:dyDescent="0.25">
      <c r="A1100" s="21" t="s">
        <v>6449</v>
      </c>
      <c r="B1100" s="21" t="s">
        <v>2240</v>
      </c>
      <c r="C1100" s="22" t="s">
        <v>5640</v>
      </c>
      <c r="D1100" s="30">
        <v>1900</v>
      </c>
      <c r="E1100" s="31">
        <v>50312</v>
      </c>
      <c r="F1100" s="22" t="s">
        <v>2607</v>
      </c>
      <c r="G1100" s="21" t="s">
        <v>6450</v>
      </c>
      <c r="H1100" s="21" t="s">
        <v>6451</v>
      </c>
      <c r="I1100" s="21" t="s">
        <v>6452</v>
      </c>
      <c r="J1100" s="21">
        <f>SE(I1100="","-",SE(DATA.VALOR(I1100)&lt;HOJE(),"VENCIDO",SE(DATA.VALOR(I1100)-HOJE()&lt;=30,"CRÍTICO (&lt;=30D)","REGULAR")))</f>
      </c>
      <c r="K1100" s="22" t="s">
        <v>6453</v>
      </c>
      <c r="L1100" s="22" t="s">
        <v>6348</v>
      </c>
      <c r="M1100" s="22" t="s">
        <v>6454</v>
      </c>
      <c r="N1100" s="22" t="s">
        <v>6455</v>
      </c>
    </row>
    <row r="1101" ht="20" customHeight="1" spans="1:14" s="23" customFormat="1" x14ac:dyDescent="0.25">
      <c r="A1101" s="24" t="s">
        <v>6456</v>
      </c>
      <c r="B1101" s="24" t="s">
        <v>2149</v>
      </c>
      <c r="C1101" s="25" t="s">
        <v>4305</v>
      </c>
      <c r="D1101" s="32">
        <v>118</v>
      </c>
      <c r="E1101" s="33">
        <v>401.2</v>
      </c>
      <c r="F1101" s="25" t="s">
        <v>5252</v>
      </c>
      <c r="G1101" s="24" t="s">
        <v>5095</v>
      </c>
      <c r="H1101" s="24" t="s">
        <v>2996</v>
      </c>
      <c r="I1101" s="24" t="s">
        <v>2386</v>
      </c>
      <c r="J1101" s="24">
        <f>SE(I1101="","-",SE(DATA.VALOR(I1101)&lt;HOJE(),"VENCIDO",SE(DATA.VALOR(I1101)-HOJE()&lt;=30,"CRÍTICO (&lt;=30D)","REGULAR")))</f>
      </c>
      <c r="K1101" s="25" t="s">
        <v>6457</v>
      </c>
      <c r="L1101" s="25" t="s">
        <v>6458</v>
      </c>
      <c r="M1101" s="25" t="s">
        <v>6195</v>
      </c>
      <c r="N1101" s="25" t="s">
        <v>6459</v>
      </c>
    </row>
    <row r="1102" ht="20" customHeight="1" spans="1:14" x14ac:dyDescent="0.25">
      <c r="A1102" s="21" t="s">
        <v>6460</v>
      </c>
      <c r="B1102" s="21" t="s">
        <v>2149</v>
      </c>
      <c r="C1102" s="22" t="s">
        <v>4327</v>
      </c>
      <c r="D1102" s="30">
        <v>37</v>
      </c>
      <c r="E1102" s="31">
        <v>202.02</v>
      </c>
      <c r="F1102" s="22" t="s">
        <v>5252</v>
      </c>
      <c r="G1102" s="21" t="s">
        <v>5095</v>
      </c>
      <c r="H1102" s="21" t="s">
        <v>2996</v>
      </c>
      <c r="I1102" s="21" t="s">
        <v>2386</v>
      </c>
      <c r="J1102" s="21">
        <f>SE(I1102="","-",SE(DATA.VALOR(I1102)&lt;HOJE(),"VENCIDO",SE(DATA.VALOR(I1102)-HOJE()&lt;=30,"CRÍTICO (&lt;=30D)","REGULAR")))</f>
      </c>
      <c r="K1102" s="22" t="s">
        <v>6457</v>
      </c>
      <c r="L1102" s="22" t="s">
        <v>6458</v>
      </c>
      <c r="M1102" s="22" t="s">
        <v>6195</v>
      </c>
      <c r="N1102" s="22" t="s">
        <v>6459</v>
      </c>
    </row>
    <row r="1103" ht="20" customHeight="1" spans="1:14" s="23" customFormat="1" x14ac:dyDescent="0.25">
      <c r="A1103" s="24" t="s">
        <v>6461</v>
      </c>
      <c r="B1103" s="24" t="s">
        <v>2149</v>
      </c>
      <c r="C1103" s="25" t="s">
        <v>2855</v>
      </c>
      <c r="D1103" s="32">
        <v>24</v>
      </c>
      <c r="E1103" s="33">
        <v>105.6</v>
      </c>
      <c r="F1103" s="25" t="s">
        <v>5252</v>
      </c>
      <c r="G1103" s="24" t="s">
        <v>5095</v>
      </c>
      <c r="H1103" s="24" t="s">
        <v>2996</v>
      </c>
      <c r="I1103" s="24" t="s">
        <v>2386</v>
      </c>
      <c r="J1103" s="24">
        <f>SE(I1103="","-",SE(DATA.VALOR(I1103)&lt;HOJE(),"VENCIDO",SE(DATA.VALOR(I1103)-HOJE()&lt;=30,"CRÍTICO (&lt;=30D)","REGULAR")))</f>
      </c>
      <c r="K1103" s="25" t="s">
        <v>6457</v>
      </c>
      <c r="L1103" s="25" t="s">
        <v>6458</v>
      </c>
      <c r="M1103" s="25" t="s">
        <v>63</v>
      </c>
      <c r="N1103" s="25" t="s">
        <v>6459</v>
      </c>
    </row>
    <row r="1104" ht="20" customHeight="1" spans="1:14" x14ac:dyDescent="0.25">
      <c r="A1104" s="21" t="s">
        <v>6462</v>
      </c>
      <c r="B1104" s="21" t="s">
        <v>2149</v>
      </c>
      <c r="C1104" s="22" t="s">
        <v>4274</v>
      </c>
      <c r="D1104" s="30">
        <v>138</v>
      </c>
      <c r="E1104" s="31">
        <v>579.6</v>
      </c>
      <c r="F1104" s="22" t="s">
        <v>5252</v>
      </c>
      <c r="G1104" s="21" t="s">
        <v>5095</v>
      </c>
      <c r="H1104" s="21" t="s">
        <v>2996</v>
      </c>
      <c r="I1104" s="21" t="s">
        <v>2386</v>
      </c>
      <c r="J1104" s="21">
        <f>SE(I1104="","-",SE(DATA.VALOR(I1104)&lt;HOJE(),"VENCIDO",SE(DATA.VALOR(I1104)-HOJE()&lt;=30,"CRÍTICO (&lt;=30D)","REGULAR")))</f>
      </c>
      <c r="K1104" s="22" t="s">
        <v>6457</v>
      </c>
      <c r="L1104" s="22" t="s">
        <v>6458</v>
      </c>
      <c r="M1104" s="22" t="s">
        <v>6195</v>
      </c>
      <c r="N1104" s="22" t="s">
        <v>6459</v>
      </c>
    </row>
    <row r="1105" ht="20" customHeight="1" spans="1:14" s="23" customFormat="1" x14ac:dyDescent="0.25">
      <c r="A1105" s="24" t="s">
        <v>6463</v>
      </c>
      <c r="B1105" s="24" t="s">
        <v>2149</v>
      </c>
      <c r="C1105" s="25" t="s">
        <v>4266</v>
      </c>
      <c r="D1105" s="32">
        <v>150</v>
      </c>
      <c r="E1105" s="33">
        <v>480</v>
      </c>
      <c r="F1105" s="25" t="s">
        <v>5252</v>
      </c>
      <c r="G1105" s="24" t="s">
        <v>5095</v>
      </c>
      <c r="H1105" s="24" t="s">
        <v>2996</v>
      </c>
      <c r="I1105" s="24" t="s">
        <v>2386</v>
      </c>
      <c r="J1105" s="24">
        <f>SE(I1105="","-",SE(DATA.VALOR(I1105)&lt;HOJE(),"VENCIDO",SE(DATA.VALOR(I1105)-HOJE()&lt;=30,"CRÍTICO (&lt;=30D)","REGULAR")))</f>
      </c>
      <c r="K1105" s="25" t="s">
        <v>6457</v>
      </c>
      <c r="L1105" s="25" t="s">
        <v>6458</v>
      </c>
      <c r="M1105" s="25" t="s">
        <v>6195</v>
      </c>
      <c r="N1105" s="25" t="s">
        <v>6459</v>
      </c>
    </row>
    <row r="1106" ht="20" customHeight="1" spans="1:14" x14ac:dyDescent="0.25">
      <c r="A1106" s="21" t="s">
        <v>6464</v>
      </c>
      <c r="B1106" s="21" t="s">
        <v>2149</v>
      </c>
      <c r="C1106" s="22" t="s">
        <v>2940</v>
      </c>
      <c r="D1106" s="30">
        <v>64</v>
      </c>
      <c r="E1106" s="31">
        <v>192</v>
      </c>
      <c r="F1106" s="22" t="s">
        <v>5252</v>
      </c>
      <c r="G1106" s="21" t="s">
        <v>5095</v>
      </c>
      <c r="H1106" s="21" t="s">
        <v>2996</v>
      </c>
      <c r="I1106" s="21" t="s">
        <v>2386</v>
      </c>
      <c r="J1106" s="21">
        <f>SE(I1106="","-",SE(DATA.VALOR(I1106)&lt;HOJE(),"VENCIDO",SE(DATA.VALOR(I1106)-HOJE()&lt;=30,"CRÍTICO (&lt;=30D)","REGULAR")))</f>
      </c>
      <c r="K1106" s="22" t="s">
        <v>6457</v>
      </c>
      <c r="L1106" s="22" t="s">
        <v>6458</v>
      </c>
      <c r="M1106" s="22" t="s">
        <v>6195</v>
      </c>
      <c r="N1106" s="22" t="s">
        <v>6459</v>
      </c>
    </row>
    <row r="1107" ht="20" customHeight="1" spans="1:14" s="23" customFormat="1" x14ac:dyDescent="0.25">
      <c r="A1107" s="24" t="s">
        <v>6465</v>
      </c>
      <c r="B1107" s="24" t="s">
        <v>2279</v>
      </c>
      <c r="C1107" s="25" t="s">
        <v>6466</v>
      </c>
      <c r="D1107" s="32">
        <v>980</v>
      </c>
      <c r="E1107" s="33">
        <v>12740</v>
      </c>
      <c r="F1107" s="25" t="s">
        <v>3450</v>
      </c>
      <c r="G1107" s="24" t="s">
        <v>6467</v>
      </c>
      <c r="H1107" s="24" t="s">
        <v>6468</v>
      </c>
      <c r="I1107" s="24" t="s">
        <v>6469</v>
      </c>
      <c r="J1107" s="24">
        <f>SE(I1107="","-",SE(DATA.VALOR(I1107)&lt;HOJE(),"VENCIDO",SE(DATA.VALOR(I1107)-HOJE()&lt;=30,"CRÍTICO (&lt;=30D)","REGULAR")))</f>
      </c>
      <c r="K1107" s="25" t="s">
        <v>63</v>
      </c>
      <c r="L1107" s="25" t="s">
        <v>63</v>
      </c>
      <c r="M1107" s="25" t="s">
        <v>6470</v>
      </c>
      <c r="N1107" s="25" t="s">
        <v>6471</v>
      </c>
    </row>
    <row r="1108" ht="20" customHeight="1" spans="1:14" x14ac:dyDescent="0.25">
      <c r="A1108" s="21" t="s">
        <v>6472</v>
      </c>
      <c r="B1108" s="21" t="s">
        <v>2279</v>
      </c>
      <c r="C1108" s="22" t="s">
        <v>3784</v>
      </c>
      <c r="D1108" s="30">
        <v>9300</v>
      </c>
      <c r="E1108" s="31">
        <v>50220</v>
      </c>
      <c r="F1108" s="22" t="s">
        <v>2652</v>
      </c>
      <c r="G1108" s="21" t="s">
        <v>6473</v>
      </c>
      <c r="H1108" s="21" t="s">
        <v>2996</v>
      </c>
      <c r="I1108" s="21" t="s">
        <v>63</v>
      </c>
      <c r="J1108" s="21" t="s">
        <v>20</v>
      </c>
      <c r="K1108" s="22" t="s">
        <v>6474</v>
      </c>
      <c r="L1108" s="22" t="s">
        <v>6475</v>
      </c>
      <c r="M1108" s="22" t="s">
        <v>63</v>
      </c>
      <c r="N1108" s="22" t="s">
        <v>6476</v>
      </c>
    </row>
    <row r="1109" ht="20" customHeight="1" spans="1:14" s="23" customFormat="1" x14ac:dyDescent="0.25">
      <c r="A1109" s="24" t="s">
        <v>6477</v>
      </c>
      <c r="B1109" s="24" t="s">
        <v>2279</v>
      </c>
      <c r="C1109" s="25" t="s">
        <v>6478</v>
      </c>
      <c r="D1109" s="32">
        <v>600</v>
      </c>
      <c r="E1109" s="33">
        <v>7188</v>
      </c>
      <c r="F1109" s="25" t="s">
        <v>4660</v>
      </c>
      <c r="G1109" s="24" t="s">
        <v>4180</v>
      </c>
      <c r="H1109" s="24" t="s">
        <v>6479</v>
      </c>
      <c r="I1109" s="24" t="s">
        <v>5995</v>
      </c>
      <c r="J1109" s="24">
        <f>SE(I1109="","-",SE(DATA.VALOR(I1109)&lt;HOJE(),"VENCIDO",SE(DATA.VALOR(I1109)-HOJE()&lt;=30,"CRÍTICO (&lt;=30D)","REGULAR")))</f>
      </c>
      <c r="K1109" s="25" t="s">
        <v>6480</v>
      </c>
      <c r="L1109" s="25" t="s">
        <v>4665</v>
      </c>
      <c r="M1109" s="25" t="s">
        <v>6481</v>
      </c>
      <c r="N1109" s="25" t="s">
        <v>6482</v>
      </c>
    </row>
    <row r="1110" ht="20" customHeight="1" spans="1:14" x14ac:dyDescent="0.25">
      <c r="A1110" s="21" t="s">
        <v>6483</v>
      </c>
      <c r="B1110" s="21" t="s">
        <v>2300</v>
      </c>
      <c r="C1110" s="22" t="s">
        <v>4338</v>
      </c>
      <c r="D1110" s="30">
        <v>75</v>
      </c>
      <c r="E1110" s="31">
        <v>337.5</v>
      </c>
      <c r="F1110" s="22" t="s">
        <v>4774</v>
      </c>
      <c r="G1110" s="21" t="s">
        <v>2602</v>
      </c>
      <c r="H1110" s="21" t="s">
        <v>6040</v>
      </c>
      <c r="I1110" s="21" t="s">
        <v>2377</v>
      </c>
      <c r="J1110" s="21">
        <f>SE(I1110="","-",SE(DATA.VALOR(I1110)&lt;HOJE(),"VENCIDO",SE(DATA.VALOR(I1110)-HOJE()&lt;=30,"CRÍTICO (&lt;=30D)","REGULAR")))</f>
      </c>
      <c r="K1110" s="22" t="s">
        <v>6484</v>
      </c>
      <c r="L1110" s="22" t="s">
        <v>6485</v>
      </c>
      <c r="M1110" s="22" t="s">
        <v>6486</v>
      </c>
      <c r="N1110" s="22" t="s">
        <v>6487</v>
      </c>
    </row>
    <row r="1111" ht="20" customHeight="1" spans="1:14" s="23" customFormat="1" x14ac:dyDescent="0.25">
      <c r="A1111" s="24" t="s">
        <v>6488</v>
      </c>
      <c r="B1111" s="24" t="s">
        <v>2300</v>
      </c>
      <c r="C1111" s="25" t="s">
        <v>4338</v>
      </c>
      <c r="D1111" s="32">
        <v>75</v>
      </c>
      <c r="E1111" s="33">
        <v>337.5</v>
      </c>
      <c r="F1111" s="25" t="s">
        <v>4758</v>
      </c>
      <c r="G1111" s="24" t="s">
        <v>6096</v>
      </c>
      <c r="H1111" s="24" t="s">
        <v>6040</v>
      </c>
      <c r="I1111" s="24" t="s">
        <v>2377</v>
      </c>
      <c r="J1111" s="24">
        <f>SE(I1111="","-",SE(DATA.VALOR(I1111)&lt;HOJE(),"VENCIDO",SE(DATA.VALOR(I1111)-HOJE()&lt;=30,"CRÍTICO (&lt;=30D)","REGULAR")))</f>
      </c>
      <c r="K1111" s="25" t="s">
        <v>63</v>
      </c>
      <c r="L1111" s="25" t="s">
        <v>63</v>
      </c>
      <c r="M1111" s="25" t="s">
        <v>6489</v>
      </c>
      <c r="N1111" s="25" t="s">
        <v>6490</v>
      </c>
    </row>
    <row r="1112" ht="20" customHeight="1" spans="1:14" x14ac:dyDescent="0.25">
      <c r="A1112" s="21" t="s">
        <v>6491</v>
      </c>
      <c r="B1112" s="21" t="s">
        <v>2300</v>
      </c>
      <c r="C1112" s="22" t="s">
        <v>4338</v>
      </c>
      <c r="D1112" s="30">
        <v>75</v>
      </c>
      <c r="E1112" s="31">
        <v>337.5</v>
      </c>
      <c r="F1112" s="22" t="s">
        <v>4766</v>
      </c>
      <c r="G1112" s="21" t="s">
        <v>6492</v>
      </c>
      <c r="H1112" s="21" t="s">
        <v>6040</v>
      </c>
      <c r="I1112" s="21" t="s">
        <v>2377</v>
      </c>
      <c r="J1112" s="21">
        <f>SE(I1112="","-",SE(DATA.VALOR(I1112)&lt;HOJE(),"VENCIDO",SE(DATA.VALOR(I1112)-HOJE()&lt;=30,"CRÍTICO (&lt;=30D)","REGULAR")))</f>
      </c>
      <c r="K1112" s="22" t="s">
        <v>6493</v>
      </c>
      <c r="L1112" s="22" t="s">
        <v>6494</v>
      </c>
      <c r="M1112" s="22" t="s">
        <v>6495</v>
      </c>
      <c r="N1112" s="22" t="s">
        <v>6496</v>
      </c>
    </row>
    <row r="1113" ht="20" customHeight="1" spans="1:14" s="23" customFormat="1" x14ac:dyDescent="0.25">
      <c r="A1113" s="24" t="s">
        <v>6497</v>
      </c>
      <c r="B1113" s="24" t="s">
        <v>2300</v>
      </c>
      <c r="C1113" s="25" t="s">
        <v>4338</v>
      </c>
      <c r="D1113" s="32">
        <v>75</v>
      </c>
      <c r="E1113" s="33">
        <v>337.5</v>
      </c>
      <c r="F1113" s="25" t="s">
        <v>4781</v>
      </c>
      <c r="G1113" s="24" t="s">
        <v>6498</v>
      </c>
      <c r="H1113" s="24" t="s">
        <v>6499</v>
      </c>
      <c r="I1113" s="24" t="s">
        <v>2377</v>
      </c>
      <c r="J1113" s="24">
        <f>SE(I1113="","-",SE(DATA.VALOR(I1113)&lt;HOJE(),"VENCIDO",SE(DATA.VALOR(I1113)-HOJE()&lt;=30,"CRÍTICO (&lt;=30D)","REGULAR")))</f>
      </c>
      <c r="K1113" s="25" t="s">
        <v>63</v>
      </c>
      <c r="L1113" s="25" t="s">
        <v>6500</v>
      </c>
      <c r="M1113" s="25" t="s">
        <v>6501</v>
      </c>
      <c r="N1113" s="25" t="s">
        <v>6502</v>
      </c>
    </row>
    <row r="1114" ht="20" customHeight="1" spans="1:14" x14ac:dyDescent="0.25">
      <c r="A1114" s="21" t="s">
        <v>6503</v>
      </c>
      <c r="B1114" s="21" t="s">
        <v>2058</v>
      </c>
      <c r="C1114" s="22" t="s">
        <v>4318</v>
      </c>
      <c r="D1114" s="30">
        <v>181</v>
      </c>
      <c r="E1114" s="31">
        <v>760.2</v>
      </c>
      <c r="F1114" s="22" t="s">
        <v>2796</v>
      </c>
      <c r="G1114" s="21" t="s">
        <v>6092</v>
      </c>
      <c r="H1114" s="21" t="s">
        <v>6504</v>
      </c>
      <c r="I1114" s="21" t="s">
        <v>2160</v>
      </c>
      <c r="J1114" s="21">
        <f>SE(I1114="","-",SE(DATA.VALOR(I1114)&lt;HOJE(),"VENCIDO",SE(DATA.VALOR(I1114)-HOJE()&lt;=30,"CRÍTICO (&lt;=30D)","REGULAR")))</f>
      </c>
      <c r="K1114" s="22" t="s">
        <v>63</v>
      </c>
      <c r="L1114" s="22" t="s">
        <v>63</v>
      </c>
      <c r="M1114" s="22" t="s">
        <v>6505</v>
      </c>
      <c r="N1114" s="22" t="s">
        <v>6506</v>
      </c>
    </row>
    <row r="1115" ht="20" customHeight="1" spans="1:14" s="23" customFormat="1" x14ac:dyDescent="0.25">
      <c r="A1115" s="24" t="s">
        <v>6507</v>
      </c>
      <c r="B1115" s="24" t="s">
        <v>2058</v>
      </c>
      <c r="C1115" s="25" t="s">
        <v>4179</v>
      </c>
      <c r="D1115" s="32">
        <v>147</v>
      </c>
      <c r="E1115" s="33">
        <v>696.78</v>
      </c>
      <c r="F1115" s="25" t="s">
        <v>2796</v>
      </c>
      <c r="G1115" s="24" t="s">
        <v>6092</v>
      </c>
      <c r="H1115" s="24" t="s">
        <v>6504</v>
      </c>
      <c r="I1115" s="24" t="s">
        <v>2160</v>
      </c>
      <c r="J1115" s="24">
        <f>SE(I1115="","-",SE(DATA.VALOR(I1115)&lt;HOJE(),"VENCIDO",SE(DATA.VALOR(I1115)-HOJE()&lt;=30,"CRÍTICO (&lt;=30D)","REGULAR")))</f>
      </c>
      <c r="K1115" s="25" t="s">
        <v>63</v>
      </c>
      <c r="L1115" s="25" t="s">
        <v>63</v>
      </c>
      <c r="M1115" s="25" t="s">
        <v>6505</v>
      </c>
      <c r="N1115" s="25" t="s">
        <v>6508</v>
      </c>
    </row>
    <row r="1116" ht="20" customHeight="1" spans="1:14" x14ac:dyDescent="0.25">
      <c r="A1116" s="21" t="s">
        <v>6509</v>
      </c>
      <c r="B1116" s="21" t="s">
        <v>2300</v>
      </c>
      <c r="C1116" s="22" t="s">
        <v>5319</v>
      </c>
      <c r="D1116" s="30">
        <v>0</v>
      </c>
      <c r="E1116" s="31">
        <v>0</v>
      </c>
      <c r="F1116" s="22" t="s">
        <v>3149</v>
      </c>
      <c r="G1116" s="21" t="s">
        <v>6510</v>
      </c>
      <c r="H1116" s="21" t="s">
        <v>2996</v>
      </c>
      <c r="I1116" s="21" t="s">
        <v>63</v>
      </c>
      <c r="J1116" s="21" t="s">
        <v>20</v>
      </c>
      <c r="K1116" s="22" t="s">
        <v>63</v>
      </c>
      <c r="L1116" s="22" t="s">
        <v>63</v>
      </c>
      <c r="M1116" s="22" t="s">
        <v>63</v>
      </c>
      <c r="N1116" s="22" t="s">
        <v>6511</v>
      </c>
    </row>
    <row r="1117" ht="20" customHeight="1" spans="1:14" s="23" customFormat="1" x14ac:dyDescent="0.25">
      <c r="A1117" s="24" t="s">
        <v>6512</v>
      </c>
      <c r="B1117" s="24" t="s">
        <v>2313</v>
      </c>
      <c r="C1117" s="25" t="s">
        <v>2935</v>
      </c>
      <c r="D1117" s="32">
        <v>61</v>
      </c>
      <c r="E1117" s="33">
        <v>353.8</v>
      </c>
      <c r="F1117" s="25" t="s">
        <v>2856</v>
      </c>
      <c r="G1117" s="24" t="s">
        <v>6513</v>
      </c>
      <c r="H1117" s="24" t="s">
        <v>6514</v>
      </c>
      <c r="I1117" s="24" t="s">
        <v>6515</v>
      </c>
      <c r="J1117" s="24">
        <f>SE(I1117="","-",SE(DATA.VALOR(I1117)&lt;HOJE(),"VENCIDO",SE(DATA.VALOR(I1117)-HOJE()&lt;=30,"CRÍTICO (&lt;=30D)","REGULAR")))</f>
      </c>
      <c r="K1117" s="25" t="s">
        <v>6516</v>
      </c>
      <c r="L1117" s="25" t="s">
        <v>6019</v>
      </c>
      <c r="M1117" s="25" t="s">
        <v>6517</v>
      </c>
      <c r="N1117" s="25" t="s">
        <v>6518</v>
      </c>
    </row>
    <row r="1118" ht="20" customHeight="1" spans="1:14" x14ac:dyDescent="0.25">
      <c r="A1118" s="21" t="s">
        <v>6519</v>
      </c>
      <c r="B1118" s="21" t="s">
        <v>2313</v>
      </c>
      <c r="C1118" s="22" t="s">
        <v>4338</v>
      </c>
      <c r="D1118" s="30">
        <v>90</v>
      </c>
      <c r="E1118" s="31">
        <v>405</v>
      </c>
      <c r="F1118" s="22" t="s">
        <v>2856</v>
      </c>
      <c r="G1118" s="21" t="s">
        <v>6513</v>
      </c>
      <c r="H1118" s="21" t="s">
        <v>6514</v>
      </c>
      <c r="I1118" s="21" t="s">
        <v>6515</v>
      </c>
      <c r="J1118" s="21">
        <f>SE(I1118="","-",SE(DATA.VALOR(I1118)&lt;HOJE(),"VENCIDO",SE(DATA.VALOR(I1118)-HOJE()&lt;=30,"CRÍTICO (&lt;=30D)","REGULAR")))</f>
      </c>
      <c r="K1118" s="22" t="s">
        <v>6516</v>
      </c>
      <c r="L1118" s="22" t="s">
        <v>6019</v>
      </c>
      <c r="M1118" s="22" t="s">
        <v>6517</v>
      </c>
      <c r="N1118" s="22" t="s">
        <v>6518</v>
      </c>
    </row>
    <row r="1119" ht="20" customHeight="1" spans="1:14" s="23" customFormat="1" x14ac:dyDescent="0.25">
      <c r="A1119" s="24" t="s">
        <v>6520</v>
      </c>
      <c r="B1119" s="24" t="s">
        <v>2313</v>
      </c>
      <c r="C1119" s="25" t="s">
        <v>2940</v>
      </c>
      <c r="D1119" s="32">
        <v>71</v>
      </c>
      <c r="E1119" s="33">
        <v>213</v>
      </c>
      <c r="F1119" s="25" t="s">
        <v>2856</v>
      </c>
      <c r="G1119" s="24" t="s">
        <v>6513</v>
      </c>
      <c r="H1119" s="24" t="s">
        <v>6514</v>
      </c>
      <c r="I1119" s="24" t="s">
        <v>6515</v>
      </c>
      <c r="J1119" s="24">
        <f>SE(I1119="","-",SE(DATA.VALOR(I1119)&lt;HOJE(),"VENCIDO",SE(DATA.VALOR(I1119)-HOJE()&lt;=30,"CRÍTICO (&lt;=30D)","REGULAR")))</f>
      </c>
      <c r="K1119" s="25" t="s">
        <v>6516</v>
      </c>
      <c r="L1119" s="25" t="s">
        <v>6019</v>
      </c>
      <c r="M1119" s="25" t="s">
        <v>6517</v>
      </c>
      <c r="N1119" s="25" t="s">
        <v>6518</v>
      </c>
    </row>
    <row r="1120" ht="20" customHeight="1" spans="1:14" x14ac:dyDescent="0.25">
      <c r="A1120" s="21" t="s">
        <v>6521</v>
      </c>
      <c r="B1120" s="21" t="s">
        <v>2313</v>
      </c>
      <c r="C1120" s="22" t="s">
        <v>2935</v>
      </c>
      <c r="D1120" s="30">
        <v>61</v>
      </c>
      <c r="E1120" s="31">
        <v>353.8</v>
      </c>
      <c r="F1120" s="22" t="s">
        <v>2700</v>
      </c>
      <c r="G1120" s="21" t="s">
        <v>6522</v>
      </c>
      <c r="H1120" s="21" t="s">
        <v>6040</v>
      </c>
      <c r="I1120" s="21" t="s">
        <v>2401</v>
      </c>
      <c r="J1120" s="21">
        <f>SE(I1120="","-",SE(DATA.VALOR(I1120)&lt;HOJE(),"VENCIDO",SE(DATA.VALOR(I1120)-HOJE()&lt;=30,"CRÍTICO (&lt;=30D)","REGULAR")))</f>
      </c>
      <c r="K1120" s="22" t="s">
        <v>6523</v>
      </c>
      <c r="L1120" s="22" t="s">
        <v>6028</v>
      </c>
      <c r="M1120" s="22" t="s">
        <v>6524</v>
      </c>
      <c r="N1120" s="22" t="s">
        <v>6525</v>
      </c>
    </row>
    <row r="1121" ht="20" customHeight="1" spans="1:14" s="23" customFormat="1" x14ac:dyDescent="0.25">
      <c r="A1121" s="24" t="s">
        <v>6526</v>
      </c>
      <c r="B1121" s="24" t="s">
        <v>2313</v>
      </c>
      <c r="C1121" s="25" t="s">
        <v>4338</v>
      </c>
      <c r="D1121" s="32">
        <v>90</v>
      </c>
      <c r="E1121" s="33">
        <v>405</v>
      </c>
      <c r="F1121" s="25" t="s">
        <v>2700</v>
      </c>
      <c r="G1121" s="24" t="s">
        <v>6522</v>
      </c>
      <c r="H1121" s="24" t="s">
        <v>6040</v>
      </c>
      <c r="I1121" s="24" t="s">
        <v>2401</v>
      </c>
      <c r="J1121" s="24">
        <f>SE(I1121="","-",SE(DATA.VALOR(I1121)&lt;HOJE(),"VENCIDO",SE(DATA.VALOR(I1121)-HOJE()&lt;=30,"CRÍTICO (&lt;=30D)","REGULAR")))</f>
      </c>
      <c r="K1121" s="25" t="s">
        <v>6523</v>
      </c>
      <c r="L1121" s="25" t="s">
        <v>6028</v>
      </c>
      <c r="M1121" s="25" t="s">
        <v>6524</v>
      </c>
      <c r="N1121" s="25" t="s">
        <v>6525</v>
      </c>
    </row>
    <row r="1122" ht="20" customHeight="1" spans="1:14" x14ac:dyDescent="0.25">
      <c r="A1122" s="21" t="s">
        <v>6527</v>
      </c>
      <c r="B1122" s="21" t="s">
        <v>2313</v>
      </c>
      <c r="C1122" s="22" t="s">
        <v>2940</v>
      </c>
      <c r="D1122" s="30">
        <v>71</v>
      </c>
      <c r="E1122" s="31">
        <v>213</v>
      </c>
      <c r="F1122" s="22" t="s">
        <v>2700</v>
      </c>
      <c r="G1122" s="21" t="s">
        <v>6522</v>
      </c>
      <c r="H1122" s="21" t="s">
        <v>6040</v>
      </c>
      <c r="I1122" s="21" t="s">
        <v>2401</v>
      </c>
      <c r="J1122" s="21">
        <f>SE(I1122="","-",SE(DATA.VALOR(I1122)&lt;HOJE(),"VENCIDO",SE(DATA.VALOR(I1122)-HOJE()&lt;=30,"CRÍTICO (&lt;=30D)","REGULAR")))</f>
      </c>
      <c r="K1122" s="22" t="s">
        <v>6523</v>
      </c>
      <c r="L1122" s="22" t="s">
        <v>6028</v>
      </c>
      <c r="M1122" s="22" t="s">
        <v>6524</v>
      </c>
      <c r="N1122" s="22" t="s">
        <v>6525</v>
      </c>
    </row>
    <row r="1123" ht="20" customHeight="1" spans="1:14" s="23" customFormat="1" x14ac:dyDescent="0.25">
      <c r="A1123" s="24" t="s">
        <v>6528</v>
      </c>
      <c r="B1123" s="24" t="s">
        <v>2232</v>
      </c>
      <c r="C1123" s="25" t="s">
        <v>5949</v>
      </c>
      <c r="D1123" s="32">
        <v>270</v>
      </c>
      <c r="E1123" s="33">
        <v>1512</v>
      </c>
      <c r="F1123" s="25" t="s">
        <v>2561</v>
      </c>
      <c r="G1123" s="24" t="s">
        <v>6529</v>
      </c>
      <c r="H1123" s="24" t="s">
        <v>6358</v>
      </c>
      <c r="I1123" s="24" t="s">
        <v>2430</v>
      </c>
      <c r="J1123" s="24">
        <f>SE(I1123="","-",SE(DATA.VALOR(I1123)&lt;HOJE(),"VENCIDO",SE(DATA.VALOR(I1123)-HOJE()&lt;=30,"CRÍTICO (&lt;=30D)","REGULAR")))</f>
      </c>
      <c r="K1123" s="25" t="s">
        <v>6530</v>
      </c>
      <c r="L1123" s="25" t="s">
        <v>4520</v>
      </c>
      <c r="M1123" s="25" t="s">
        <v>6531</v>
      </c>
      <c r="N1123" s="25" t="s">
        <v>6532</v>
      </c>
    </row>
    <row r="1124" ht="20" customHeight="1" spans="1:14" x14ac:dyDescent="0.25">
      <c r="A1124" s="21" t="s">
        <v>6533</v>
      </c>
      <c r="B1124" s="21" t="s">
        <v>2232</v>
      </c>
      <c r="C1124" s="22" t="s">
        <v>4524</v>
      </c>
      <c r="D1124" s="30">
        <v>150</v>
      </c>
      <c r="E1124" s="31">
        <v>996</v>
      </c>
      <c r="F1124" s="22" t="s">
        <v>2561</v>
      </c>
      <c r="G1124" s="21" t="s">
        <v>6529</v>
      </c>
      <c r="H1124" s="21" t="s">
        <v>6534</v>
      </c>
      <c r="I1124" s="21" t="s">
        <v>2430</v>
      </c>
      <c r="J1124" s="21">
        <f>SE(I1124="","-",SE(DATA.VALOR(I1124)&lt;HOJE(),"VENCIDO",SE(DATA.VALOR(I1124)-HOJE()&lt;=30,"CRÍTICO (&lt;=30D)","REGULAR")))</f>
      </c>
      <c r="K1124" s="22" t="s">
        <v>6530</v>
      </c>
      <c r="L1124" s="22" t="s">
        <v>4520</v>
      </c>
      <c r="M1124" s="22" t="s">
        <v>6531</v>
      </c>
      <c r="N1124" s="22" t="s">
        <v>6535</v>
      </c>
    </row>
    <row r="1125" ht="20" customHeight="1" spans="1:14" s="23" customFormat="1" x14ac:dyDescent="0.25">
      <c r="A1125" s="24" t="s">
        <v>6536</v>
      </c>
      <c r="B1125" s="24" t="s">
        <v>2204</v>
      </c>
      <c r="C1125" s="25" t="s">
        <v>4708</v>
      </c>
      <c r="D1125" s="32">
        <v>150</v>
      </c>
      <c r="E1125" s="33">
        <v>4935</v>
      </c>
      <c r="F1125" s="25" t="s">
        <v>4709</v>
      </c>
      <c r="G1125" s="24" t="s">
        <v>6537</v>
      </c>
      <c r="H1125" s="24" t="s">
        <v>6538</v>
      </c>
      <c r="I1125" s="24" t="s">
        <v>6539</v>
      </c>
      <c r="J1125" s="24">
        <f>SE(I1125="","-",SE(DATA.VALOR(I1125)&lt;HOJE(),"VENCIDO",SE(DATA.VALOR(I1125)-HOJE()&lt;=30,"CRÍTICO (&lt;=30D)","REGULAR")))</f>
      </c>
      <c r="K1125" s="25" t="s">
        <v>6540</v>
      </c>
      <c r="L1125" s="25" t="s">
        <v>4713</v>
      </c>
      <c r="M1125" s="25" t="s">
        <v>6541</v>
      </c>
      <c r="N1125" s="25" t="s">
        <v>6542</v>
      </c>
    </row>
    <row r="1126" ht="20" customHeight="1" spans="1:14" x14ac:dyDescent="0.25">
      <c r="A1126" s="21" t="s">
        <v>6543</v>
      </c>
      <c r="B1126" s="21" t="s">
        <v>2204</v>
      </c>
      <c r="C1126" s="22" t="s">
        <v>4717</v>
      </c>
      <c r="D1126" s="30">
        <v>966</v>
      </c>
      <c r="E1126" s="31">
        <v>5013.54</v>
      </c>
      <c r="F1126" s="22" t="s">
        <v>4709</v>
      </c>
      <c r="G1126" s="21" t="s">
        <v>6537</v>
      </c>
      <c r="H1126" s="21" t="s">
        <v>6544</v>
      </c>
      <c r="I1126" s="21" t="s">
        <v>2928</v>
      </c>
      <c r="J1126" s="21">
        <f>SE(I1126="","-",SE(DATA.VALOR(I1126)&lt;HOJE(),"VENCIDO",SE(DATA.VALOR(I1126)-HOJE()&lt;=30,"CRÍTICO (&lt;=30D)","REGULAR")))</f>
      </c>
      <c r="K1126" s="22" t="s">
        <v>6540</v>
      </c>
      <c r="L1126" s="22" t="s">
        <v>4713</v>
      </c>
      <c r="M1126" s="22" t="s">
        <v>6541</v>
      </c>
      <c r="N1126" s="22" t="s">
        <v>6545</v>
      </c>
    </row>
    <row r="1127" ht="20" customHeight="1" spans="1:14" s="23" customFormat="1" x14ac:dyDescent="0.25">
      <c r="A1127" s="24" t="s">
        <v>6546</v>
      </c>
      <c r="B1127" s="24" t="s">
        <v>2204</v>
      </c>
      <c r="C1127" s="25" t="s">
        <v>4802</v>
      </c>
      <c r="D1127" s="32">
        <v>500</v>
      </c>
      <c r="E1127" s="33">
        <v>5500</v>
      </c>
      <c r="F1127" s="25" t="s">
        <v>4803</v>
      </c>
      <c r="G1127" s="24" t="s">
        <v>6547</v>
      </c>
      <c r="H1127" s="24" t="s">
        <v>6514</v>
      </c>
      <c r="I1127" s="24" t="s">
        <v>6548</v>
      </c>
      <c r="J1127" s="24">
        <f>SE(I1127="","-",SE(DATA.VALOR(I1127)&lt;HOJE(),"VENCIDO",SE(DATA.VALOR(I1127)-HOJE()&lt;=30,"CRÍTICO (&lt;=30D)","REGULAR")))</f>
      </c>
      <c r="K1127" s="25" t="s">
        <v>6549</v>
      </c>
      <c r="L1127" s="25" t="s">
        <v>5567</v>
      </c>
      <c r="M1127" s="25" t="s">
        <v>6550</v>
      </c>
      <c r="N1127" s="25" t="s">
        <v>6551</v>
      </c>
    </row>
    <row r="1128" ht="20" customHeight="1" spans="1:14" x14ac:dyDescent="0.25">
      <c r="A1128" s="21" t="s">
        <v>6552</v>
      </c>
      <c r="B1128" s="21" t="s">
        <v>2232</v>
      </c>
      <c r="C1128" s="22" t="s">
        <v>6553</v>
      </c>
      <c r="D1128" s="30">
        <v>640</v>
      </c>
      <c r="E1128" s="31">
        <v>7347.2</v>
      </c>
      <c r="F1128" s="22" t="s">
        <v>4633</v>
      </c>
      <c r="G1128" s="21" t="s">
        <v>6554</v>
      </c>
      <c r="H1128" s="21" t="s">
        <v>6171</v>
      </c>
      <c r="I1128" s="21" t="s">
        <v>6555</v>
      </c>
      <c r="J1128" s="21">
        <f>SE(I1128="","-",SE(DATA.VALOR(I1128)&lt;HOJE(),"VENCIDO",SE(DATA.VALOR(I1128)-HOJE()&lt;=30,"CRÍTICO (&lt;=30D)","REGULAR")))</f>
      </c>
      <c r="K1128" s="22" t="s">
        <v>6556</v>
      </c>
      <c r="L1128" s="22" t="s">
        <v>4638</v>
      </c>
      <c r="M1128" s="22" t="s">
        <v>6557</v>
      </c>
      <c r="N1128" s="22" t="s">
        <v>6558</v>
      </c>
    </row>
    <row r="1129" ht="20" customHeight="1" spans="1:14" s="23" customFormat="1" x14ac:dyDescent="0.25">
      <c r="A1129" s="24" t="s">
        <v>6559</v>
      </c>
      <c r="B1129" s="24" t="s">
        <v>2204</v>
      </c>
      <c r="C1129" s="25" t="s">
        <v>5657</v>
      </c>
      <c r="D1129" s="32">
        <v>69</v>
      </c>
      <c r="E1129" s="33">
        <v>848.7</v>
      </c>
      <c r="F1129" s="25" t="s">
        <v>4750</v>
      </c>
      <c r="G1129" s="24" t="s">
        <v>6560</v>
      </c>
      <c r="H1129" s="24" t="s">
        <v>6561</v>
      </c>
      <c r="I1129" s="24" t="s">
        <v>6562</v>
      </c>
      <c r="J1129" s="24">
        <f>SE(I1129="","-",SE(DATA.VALOR(I1129)&lt;HOJE(),"VENCIDO",SE(DATA.VALOR(I1129)-HOJE()&lt;=30,"CRÍTICO (&lt;=30D)","REGULAR")))</f>
      </c>
      <c r="K1129" s="25" t="s">
        <v>6563</v>
      </c>
      <c r="L1129" s="25" t="s">
        <v>5653</v>
      </c>
      <c r="M1129" s="25" t="s">
        <v>6564</v>
      </c>
      <c r="N1129" s="25" t="s">
        <v>6565</v>
      </c>
    </row>
    <row r="1130" ht="20" customHeight="1" spans="1:14" x14ac:dyDescent="0.25">
      <c r="A1130" s="21" t="s">
        <v>6566</v>
      </c>
      <c r="B1130" s="21" t="s">
        <v>2204</v>
      </c>
      <c r="C1130" s="22" t="s">
        <v>5648</v>
      </c>
      <c r="D1130" s="30">
        <v>262</v>
      </c>
      <c r="E1130" s="31">
        <v>2489</v>
      </c>
      <c r="F1130" s="22" t="s">
        <v>4750</v>
      </c>
      <c r="G1130" s="21" t="s">
        <v>6560</v>
      </c>
      <c r="H1130" s="21" t="s">
        <v>6561</v>
      </c>
      <c r="I1130" s="21" t="s">
        <v>6562</v>
      </c>
      <c r="J1130" s="21">
        <f>SE(I1130="","-",SE(DATA.VALOR(I1130)&lt;HOJE(),"VENCIDO",SE(DATA.VALOR(I1130)-HOJE()&lt;=30,"CRÍTICO (&lt;=30D)","REGULAR")))</f>
      </c>
      <c r="K1130" s="22" t="s">
        <v>6563</v>
      </c>
      <c r="L1130" s="22" t="s">
        <v>5653</v>
      </c>
      <c r="M1130" s="22" t="s">
        <v>6564</v>
      </c>
      <c r="N1130" s="22" t="s">
        <v>6567</v>
      </c>
    </row>
    <row r="1131" ht="20" customHeight="1" spans="1:14" s="23" customFormat="1" x14ac:dyDescent="0.25">
      <c r="A1131" s="24" t="s">
        <v>6568</v>
      </c>
      <c r="B1131" s="24" t="s">
        <v>2204</v>
      </c>
      <c r="C1131" s="25" t="s">
        <v>5662</v>
      </c>
      <c r="D1131" s="32">
        <v>2583</v>
      </c>
      <c r="E1131" s="33">
        <v>17564.4</v>
      </c>
      <c r="F1131" s="25" t="s">
        <v>4750</v>
      </c>
      <c r="G1131" s="24" t="s">
        <v>6560</v>
      </c>
      <c r="H1131" s="24" t="s">
        <v>5663</v>
      </c>
      <c r="I1131" s="24" t="s">
        <v>5664</v>
      </c>
      <c r="J1131" s="24">
        <f>SE(I1131="","-",SE(DATA.VALOR(I1131)&lt;HOJE(),"VENCIDO",SE(DATA.VALOR(I1131)-HOJE()&lt;=30,"CRÍTICO (&lt;=30D)","REGULAR")))</f>
      </c>
      <c r="K1131" s="25" t="s">
        <v>6563</v>
      </c>
      <c r="L1131" s="25" t="s">
        <v>5653</v>
      </c>
      <c r="M1131" s="25" t="s">
        <v>6564</v>
      </c>
      <c r="N1131" s="25" t="s">
        <v>6569</v>
      </c>
    </row>
    <row r="1132" ht="20" customHeight="1" spans="1:14" x14ac:dyDescent="0.25">
      <c r="A1132" s="21" t="s">
        <v>6570</v>
      </c>
      <c r="B1132" s="21" t="s">
        <v>2204</v>
      </c>
      <c r="C1132" s="22" t="s">
        <v>4749</v>
      </c>
      <c r="D1132" s="30">
        <v>500</v>
      </c>
      <c r="E1132" s="31">
        <v>3490</v>
      </c>
      <c r="F1132" s="22" t="s">
        <v>4750</v>
      </c>
      <c r="G1132" s="21" t="s">
        <v>6571</v>
      </c>
      <c r="H1132" s="21" t="s">
        <v>6572</v>
      </c>
      <c r="I1132" s="21" t="s">
        <v>5971</v>
      </c>
      <c r="J1132" s="21">
        <f>SE(I1132="","-",SE(DATA.VALOR(I1132)&lt;HOJE(),"VENCIDO",SE(DATA.VALOR(I1132)-HOJE()&lt;=30,"CRÍTICO (&lt;=30D)","REGULAR")))</f>
      </c>
      <c r="K1132" s="22" t="s">
        <v>6573</v>
      </c>
      <c r="L1132" s="22" t="s">
        <v>5653</v>
      </c>
      <c r="M1132" s="22" t="s">
        <v>6574</v>
      </c>
      <c r="N1132" s="22" t="s">
        <v>6575</v>
      </c>
    </row>
    <row r="1133" ht="20" customHeight="1" spans="1:14" s="23" customFormat="1" x14ac:dyDescent="0.25">
      <c r="A1133" s="24" t="s">
        <v>6576</v>
      </c>
      <c r="B1133" s="24" t="s">
        <v>2364</v>
      </c>
      <c r="C1133" s="25" t="s">
        <v>4266</v>
      </c>
      <c r="D1133" s="32">
        <v>104</v>
      </c>
      <c r="E1133" s="33">
        <v>332.8</v>
      </c>
      <c r="F1133" s="25" t="s">
        <v>4642</v>
      </c>
      <c r="G1133" s="24" t="s">
        <v>6577</v>
      </c>
      <c r="H1133" s="24" t="s">
        <v>6578</v>
      </c>
      <c r="I1133" s="24" t="s">
        <v>2454</v>
      </c>
      <c r="J1133" s="24">
        <f>SE(I1133="","-",SE(DATA.VALOR(I1133)&lt;HOJE(),"VENCIDO",SE(DATA.VALOR(I1133)-HOJE()&lt;=30,"CRÍTICO (&lt;=30D)","REGULAR")))</f>
      </c>
      <c r="K1133" s="25" t="s">
        <v>63</v>
      </c>
      <c r="L1133" s="25" t="s">
        <v>6579</v>
      </c>
      <c r="M1133" s="25" t="s">
        <v>6580</v>
      </c>
      <c r="N1133" s="25" t="s">
        <v>6581</v>
      </c>
    </row>
    <row r="1134" ht="20" customHeight="1" spans="1:14" x14ac:dyDescent="0.25">
      <c r="A1134" s="21" t="s">
        <v>6582</v>
      </c>
      <c r="B1134" s="21" t="s">
        <v>2364</v>
      </c>
      <c r="C1134" s="22" t="s">
        <v>2940</v>
      </c>
      <c r="D1134" s="30">
        <v>66</v>
      </c>
      <c r="E1134" s="31">
        <v>198</v>
      </c>
      <c r="F1134" s="22" t="s">
        <v>4642</v>
      </c>
      <c r="G1134" s="21" t="s">
        <v>6577</v>
      </c>
      <c r="H1134" s="21" t="s">
        <v>6578</v>
      </c>
      <c r="I1134" s="21" t="s">
        <v>2454</v>
      </c>
      <c r="J1134" s="21">
        <f>SE(I1134="","-",SE(DATA.VALOR(I1134)&lt;HOJE(),"VENCIDO",SE(DATA.VALOR(I1134)-HOJE()&lt;=30,"CRÍTICO (&lt;=30D)","REGULAR")))</f>
      </c>
      <c r="K1134" s="22" t="s">
        <v>63</v>
      </c>
      <c r="L1134" s="22" t="s">
        <v>6579</v>
      </c>
      <c r="M1134" s="22" t="s">
        <v>6580</v>
      </c>
      <c r="N1134" s="22" t="s">
        <v>6581</v>
      </c>
    </row>
    <row r="1135" ht="20" customHeight="1" spans="1:14" s="23" customFormat="1" x14ac:dyDescent="0.25">
      <c r="A1135" s="24" t="s">
        <v>6583</v>
      </c>
      <c r="B1135" s="24" t="s">
        <v>2337</v>
      </c>
      <c r="C1135" s="25" t="s">
        <v>4276</v>
      </c>
      <c r="D1135" s="32">
        <v>152</v>
      </c>
      <c r="E1135" s="33">
        <v>608</v>
      </c>
      <c r="F1135" s="25" t="s">
        <v>4730</v>
      </c>
      <c r="G1135" s="24" t="s">
        <v>6584</v>
      </c>
      <c r="H1135" s="24" t="s">
        <v>6534</v>
      </c>
      <c r="I1135" s="24" t="s">
        <v>2415</v>
      </c>
      <c r="J1135" s="24">
        <f>SE(I1135="","-",SE(DATA.VALOR(I1135)&lt;HOJE(),"VENCIDO",SE(DATA.VALOR(I1135)-HOJE()&lt;=30,"CRÍTICO (&lt;=30D)","REGULAR")))</f>
      </c>
      <c r="K1135" s="25" t="s">
        <v>63</v>
      </c>
      <c r="L1135" s="25" t="s">
        <v>63</v>
      </c>
      <c r="M1135" s="25" t="s">
        <v>6585</v>
      </c>
      <c r="N1135" s="25" t="s">
        <v>6586</v>
      </c>
    </row>
    <row r="1136" ht="20" customHeight="1" spans="1:14" x14ac:dyDescent="0.25">
      <c r="A1136" s="21" t="s">
        <v>6587</v>
      </c>
      <c r="B1136" s="21" t="s">
        <v>2337</v>
      </c>
      <c r="C1136" s="22" t="s">
        <v>4322</v>
      </c>
      <c r="D1136" s="30">
        <v>166</v>
      </c>
      <c r="E1136" s="31">
        <v>647.4</v>
      </c>
      <c r="F1136" s="22" t="s">
        <v>4730</v>
      </c>
      <c r="G1136" s="21" t="s">
        <v>6584</v>
      </c>
      <c r="H1136" s="21" t="s">
        <v>6534</v>
      </c>
      <c r="I1136" s="21" t="s">
        <v>2415</v>
      </c>
      <c r="J1136" s="21">
        <f>SE(I1136="","-",SE(DATA.VALOR(I1136)&lt;HOJE(),"VENCIDO",SE(DATA.VALOR(I1136)-HOJE()&lt;=30,"CRÍTICO (&lt;=30D)","REGULAR")))</f>
      </c>
      <c r="K1136" s="22" t="s">
        <v>63</v>
      </c>
      <c r="L1136" s="22" t="s">
        <v>63</v>
      </c>
      <c r="M1136" s="22" t="s">
        <v>6585</v>
      </c>
      <c r="N1136" s="22" t="s">
        <v>6586</v>
      </c>
    </row>
    <row r="1137" ht="20" customHeight="1" spans="1:14" s="23" customFormat="1" x14ac:dyDescent="0.25">
      <c r="A1137" s="24" t="s">
        <v>6588</v>
      </c>
      <c r="B1137" s="24" t="s">
        <v>2337</v>
      </c>
      <c r="C1137" s="25" t="s">
        <v>2855</v>
      </c>
      <c r="D1137" s="32">
        <v>21</v>
      </c>
      <c r="E1137" s="33">
        <v>92.4</v>
      </c>
      <c r="F1137" s="25" t="s">
        <v>4730</v>
      </c>
      <c r="G1137" s="24" t="s">
        <v>6584</v>
      </c>
      <c r="H1137" s="24" t="s">
        <v>6534</v>
      </c>
      <c r="I1137" s="24" t="s">
        <v>2415</v>
      </c>
      <c r="J1137" s="24">
        <f>SE(I1137="","-",SE(DATA.VALOR(I1137)&lt;HOJE(),"VENCIDO",SE(DATA.VALOR(I1137)-HOJE()&lt;=30,"CRÍTICO (&lt;=30D)","REGULAR")))</f>
      </c>
      <c r="K1137" s="25" t="s">
        <v>63</v>
      </c>
      <c r="L1137" s="25" t="s">
        <v>63</v>
      </c>
      <c r="M1137" s="25" t="s">
        <v>63</v>
      </c>
      <c r="N1137" s="25" t="s">
        <v>6586</v>
      </c>
    </row>
    <row r="1138" ht="20" customHeight="1" spans="1:14" x14ac:dyDescent="0.25">
      <c r="A1138" s="21" t="s">
        <v>6589</v>
      </c>
      <c r="B1138" s="21" t="s">
        <v>2337</v>
      </c>
      <c r="C1138" s="22" t="s">
        <v>3883</v>
      </c>
      <c r="D1138" s="30">
        <v>90</v>
      </c>
      <c r="E1138" s="31">
        <v>540</v>
      </c>
      <c r="F1138" s="22" t="s">
        <v>4730</v>
      </c>
      <c r="G1138" s="21" t="s">
        <v>6584</v>
      </c>
      <c r="H1138" s="21" t="s">
        <v>6534</v>
      </c>
      <c r="I1138" s="21" t="s">
        <v>2415</v>
      </c>
      <c r="J1138" s="21">
        <f>SE(I1138="","-",SE(DATA.VALOR(I1138)&lt;HOJE(),"VENCIDO",SE(DATA.VALOR(I1138)-HOJE()&lt;=30,"CRÍTICO (&lt;=30D)","REGULAR")))</f>
      </c>
      <c r="K1138" s="22" t="s">
        <v>63</v>
      </c>
      <c r="L1138" s="22" t="s">
        <v>63</v>
      </c>
      <c r="M1138" s="22" t="s">
        <v>6585</v>
      </c>
      <c r="N1138" s="22" t="s">
        <v>6586</v>
      </c>
    </row>
    <row r="1139" ht="20" customHeight="1" spans="1:14" s="23" customFormat="1" x14ac:dyDescent="0.25">
      <c r="A1139" s="24" t="s">
        <v>6590</v>
      </c>
      <c r="B1139" s="24" t="s">
        <v>2337</v>
      </c>
      <c r="C1139" s="25" t="s">
        <v>4327</v>
      </c>
      <c r="D1139" s="32">
        <v>33</v>
      </c>
      <c r="E1139" s="33">
        <v>180.18</v>
      </c>
      <c r="F1139" s="25" t="s">
        <v>4730</v>
      </c>
      <c r="G1139" s="24" t="s">
        <v>6584</v>
      </c>
      <c r="H1139" s="24" t="s">
        <v>6534</v>
      </c>
      <c r="I1139" s="24" t="s">
        <v>2415</v>
      </c>
      <c r="J1139" s="24">
        <f>SE(I1139="","-",SE(DATA.VALOR(I1139)&lt;HOJE(),"VENCIDO",SE(DATA.VALOR(I1139)-HOJE()&lt;=30,"CRÍTICO (&lt;=30D)","REGULAR")))</f>
      </c>
      <c r="K1139" s="25" t="s">
        <v>63</v>
      </c>
      <c r="L1139" s="25" t="s">
        <v>63</v>
      </c>
      <c r="M1139" s="25" t="s">
        <v>6585</v>
      </c>
      <c r="N1139" s="25" t="s">
        <v>6586</v>
      </c>
    </row>
    <row r="1140" ht="20" customHeight="1" spans="1:14" x14ac:dyDescent="0.25">
      <c r="A1140" s="21" t="s">
        <v>6591</v>
      </c>
      <c r="B1140" s="21" t="s">
        <v>2337</v>
      </c>
      <c r="C1140" s="22" t="s">
        <v>4362</v>
      </c>
      <c r="D1140" s="30">
        <v>218</v>
      </c>
      <c r="E1140" s="31">
        <v>1308</v>
      </c>
      <c r="F1140" s="22" t="s">
        <v>4730</v>
      </c>
      <c r="G1140" s="21" t="s">
        <v>6584</v>
      </c>
      <c r="H1140" s="21" t="s">
        <v>6592</v>
      </c>
      <c r="I1140" s="21" t="s">
        <v>2415</v>
      </c>
      <c r="J1140" s="21">
        <f>SE(I1140="","-",SE(DATA.VALOR(I1140)&lt;HOJE(),"VENCIDO",SE(DATA.VALOR(I1140)-HOJE()&lt;=30,"CRÍTICO (&lt;=30D)","REGULAR")))</f>
      </c>
      <c r="K1140" s="22" t="s">
        <v>63</v>
      </c>
      <c r="L1140" s="22" t="s">
        <v>63</v>
      </c>
      <c r="M1140" s="22" t="s">
        <v>6585</v>
      </c>
      <c r="N1140" s="22" t="s">
        <v>6586</v>
      </c>
    </row>
    <row r="1141" ht="20" customHeight="1" spans="1:14" s="23" customFormat="1" x14ac:dyDescent="0.25">
      <c r="A1141" s="24" t="s">
        <v>6593</v>
      </c>
      <c r="B1141" s="24" t="s">
        <v>2337</v>
      </c>
      <c r="C1141" s="25" t="s">
        <v>4274</v>
      </c>
      <c r="D1141" s="32">
        <v>125</v>
      </c>
      <c r="E1141" s="33">
        <v>525</v>
      </c>
      <c r="F1141" s="25" t="s">
        <v>4730</v>
      </c>
      <c r="G1141" s="24" t="s">
        <v>6584</v>
      </c>
      <c r="H1141" s="24" t="s">
        <v>6594</v>
      </c>
      <c r="I1141" s="24" t="s">
        <v>2415</v>
      </c>
      <c r="J1141" s="24">
        <f>SE(I1141="","-",SE(DATA.VALOR(I1141)&lt;HOJE(),"VENCIDO",SE(DATA.VALOR(I1141)-HOJE()&lt;=30,"CRÍTICO (&lt;=30D)","REGULAR")))</f>
      </c>
      <c r="K1141" s="25" t="s">
        <v>63</v>
      </c>
      <c r="L1141" s="25" t="s">
        <v>63</v>
      </c>
      <c r="M1141" s="25" t="s">
        <v>63</v>
      </c>
      <c r="N1141" s="25" t="s">
        <v>6586</v>
      </c>
    </row>
    <row r="1142" ht="20" customHeight="1" spans="1:14" x14ac:dyDescent="0.25">
      <c r="A1142" s="21" t="s">
        <v>6595</v>
      </c>
      <c r="B1142" s="21" t="s">
        <v>2337</v>
      </c>
      <c r="C1142" s="22" t="s">
        <v>4338</v>
      </c>
      <c r="D1142" s="30">
        <v>75</v>
      </c>
      <c r="E1142" s="31">
        <v>337.5</v>
      </c>
      <c r="F1142" s="22" t="s">
        <v>4730</v>
      </c>
      <c r="G1142" s="21" t="s">
        <v>6584</v>
      </c>
      <c r="H1142" s="21" t="s">
        <v>6534</v>
      </c>
      <c r="I1142" s="21" t="s">
        <v>2415</v>
      </c>
      <c r="J1142" s="21">
        <f>SE(I1142="","-",SE(DATA.VALOR(I1142)&lt;HOJE(),"VENCIDO",SE(DATA.VALOR(I1142)-HOJE()&lt;=30,"CRÍTICO (&lt;=30D)","REGULAR")))</f>
      </c>
      <c r="K1142" s="22" t="s">
        <v>63</v>
      </c>
      <c r="L1142" s="22" t="s">
        <v>63</v>
      </c>
      <c r="M1142" s="22" t="s">
        <v>63</v>
      </c>
      <c r="N1142" s="22" t="s">
        <v>6586</v>
      </c>
    </row>
    <row r="1143" ht="20" customHeight="1" spans="1:14" s="23" customFormat="1" x14ac:dyDescent="0.25">
      <c r="A1143" s="24" t="s">
        <v>6596</v>
      </c>
      <c r="B1143" s="24" t="s">
        <v>2337</v>
      </c>
      <c r="C1143" s="25" t="s">
        <v>4369</v>
      </c>
      <c r="D1143" s="32">
        <v>156</v>
      </c>
      <c r="E1143" s="33">
        <v>483.6</v>
      </c>
      <c r="F1143" s="25" t="s">
        <v>4730</v>
      </c>
      <c r="G1143" s="24" t="s">
        <v>6584</v>
      </c>
      <c r="H1143" s="24" t="s">
        <v>6597</v>
      </c>
      <c r="I1143" s="24" t="s">
        <v>2415</v>
      </c>
      <c r="J1143" s="24">
        <f>SE(I1143="","-",SE(DATA.VALOR(I1143)&lt;HOJE(),"VENCIDO",SE(DATA.VALOR(I1143)-HOJE()&lt;=30,"CRÍTICO (&lt;=30D)","REGULAR")))</f>
      </c>
      <c r="K1143" s="25" t="s">
        <v>63</v>
      </c>
      <c r="L1143" s="25" t="s">
        <v>63</v>
      </c>
      <c r="M1143" s="25" t="s">
        <v>6585</v>
      </c>
      <c r="N1143" s="25" t="s">
        <v>6586</v>
      </c>
    </row>
    <row r="1144" ht="20" customHeight="1" spans="1:14" x14ac:dyDescent="0.25">
      <c r="A1144" s="21" t="s">
        <v>6598</v>
      </c>
      <c r="B1144" s="21" t="s">
        <v>2337</v>
      </c>
      <c r="C1144" s="22" t="s">
        <v>4318</v>
      </c>
      <c r="D1144" s="30">
        <v>162</v>
      </c>
      <c r="E1144" s="31">
        <v>680.4</v>
      </c>
      <c r="F1144" s="22" t="s">
        <v>4730</v>
      </c>
      <c r="G1144" s="21" t="s">
        <v>6584</v>
      </c>
      <c r="H1144" s="21" t="s">
        <v>6534</v>
      </c>
      <c r="I1144" s="21" t="s">
        <v>2415</v>
      </c>
      <c r="J1144" s="21">
        <f>SE(I1144="","-",SE(DATA.VALOR(I1144)&lt;HOJE(),"VENCIDO",SE(DATA.VALOR(I1144)-HOJE()&lt;=30,"CRÍTICO (&lt;=30D)","REGULAR")))</f>
      </c>
      <c r="K1144" s="22" t="s">
        <v>63</v>
      </c>
      <c r="L1144" s="22" t="s">
        <v>63</v>
      </c>
      <c r="M1144" s="22" t="s">
        <v>6585</v>
      </c>
      <c r="N1144" s="22" t="s">
        <v>6586</v>
      </c>
    </row>
    <row r="1145" ht="20" customHeight="1" spans="1:14" s="23" customFormat="1" x14ac:dyDescent="0.25">
      <c r="A1145" s="24" t="s">
        <v>6599</v>
      </c>
      <c r="B1145" s="24" t="s">
        <v>2337</v>
      </c>
      <c r="C1145" s="25" t="s">
        <v>4179</v>
      </c>
      <c r="D1145" s="32">
        <v>177</v>
      </c>
      <c r="E1145" s="33">
        <v>838.98</v>
      </c>
      <c r="F1145" s="25" t="s">
        <v>4730</v>
      </c>
      <c r="G1145" s="24" t="s">
        <v>6584</v>
      </c>
      <c r="H1145" s="24" t="s">
        <v>6534</v>
      </c>
      <c r="I1145" s="24" t="s">
        <v>2415</v>
      </c>
      <c r="J1145" s="24">
        <f>SE(I1145="","-",SE(DATA.VALOR(I1145)&lt;HOJE(),"VENCIDO",SE(DATA.VALOR(I1145)-HOJE()&lt;=30,"CRÍTICO (&lt;=30D)","REGULAR")))</f>
      </c>
      <c r="K1145" s="25" t="s">
        <v>63</v>
      </c>
      <c r="L1145" s="25" t="s">
        <v>63</v>
      </c>
      <c r="M1145" s="25" t="s">
        <v>63</v>
      </c>
      <c r="N1145" s="25" t="s">
        <v>6586</v>
      </c>
    </row>
    <row r="1146" ht="20" customHeight="1" spans="1:14" x14ac:dyDescent="0.25">
      <c r="A1146" s="21" t="s">
        <v>6600</v>
      </c>
      <c r="B1146" s="21" t="s">
        <v>2337</v>
      </c>
      <c r="C1146" s="22" t="s">
        <v>4305</v>
      </c>
      <c r="D1146" s="30">
        <v>112</v>
      </c>
      <c r="E1146" s="31">
        <v>380.8</v>
      </c>
      <c r="F1146" s="22" t="s">
        <v>4730</v>
      </c>
      <c r="G1146" s="21" t="s">
        <v>6584</v>
      </c>
      <c r="H1146" s="21" t="s">
        <v>6534</v>
      </c>
      <c r="I1146" s="21" t="s">
        <v>2415</v>
      </c>
      <c r="J1146" s="21">
        <f>SE(I1146="","-",SE(DATA.VALOR(I1146)&lt;HOJE(),"VENCIDO",SE(DATA.VALOR(I1146)-HOJE()&lt;=30,"CRÍTICO (&lt;=30D)","REGULAR")))</f>
      </c>
      <c r="K1146" s="22" t="s">
        <v>63</v>
      </c>
      <c r="L1146" s="22" t="s">
        <v>63</v>
      </c>
      <c r="M1146" s="22" t="s">
        <v>6585</v>
      </c>
      <c r="N1146" s="22" t="s">
        <v>6586</v>
      </c>
    </row>
    <row r="1147" ht="20" customHeight="1" spans="1:14" s="23" customFormat="1" x14ac:dyDescent="0.25">
      <c r="A1147" s="24" t="s">
        <v>6601</v>
      </c>
      <c r="B1147" s="24" t="s">
        <v>2337</v>
      </c>
      <c r="C1147" s="25" t="s">
        <v>2940</v>
      </c>
      <c r="D1147" s="32">
        <v>56</v>
      </c>
      <c r="E1147" s="33">
        <v>168</v>
      </c>
      <c r="F1147" s="25" t="s">
        <v>4730</v>
      </c>
      <c r="G1147" s="24" t="s">
        <v>6584</v>
      </c>
      <c r="H1147" s="24" t="s">
        <v>6534</v>
      </c>
      <c r="I1147" s="24" t="s">
        <v>2415</v>
      </c>
      <c r="J1147" s="24">
        <f>SE(I1147="","-",SE(DATA.VALOR(I1147)&lt;HOJE(),"VENCIDO",SE(DATA.VALOR(I1147)-HOJE()&lt;=30,"CRÍTICO (&lt;=30D)","REGULAR")))</f>
      </c>
      <c r="K1147" s="25" t="s">
        <v>63</v>
      </c>
      <c r="L1147" s="25" t="s">
        <v>63</v>
      </c>
      <c r="M1147" s="25" t="s">
        <v>6585</v>
      </c>
      <c r="N1147" s="25" t="s">
        <v>6586</v>
      </c>
    </row>
    <row r="1148" ht="20" customHeight="1" spans="1:14" x14ac:dyDescent="0.25">
      <c r="A1148" s="21" t="s">
        <v>6602</v>
      </c>
      <c r="B1148" s="21" t="s">
        <v>2160</v>
      </c>
      <c r="C1148" s="22" t="s">
        <v>4688</v>
      </c>
      <c r="D1148" s="30">
        <v>1080</v>
      </c>
      <c r="E1148" s="31">
        <v>7106.4</v>
      </c>
      <c r="F1148" s="22" t="s">
        <v>4680</v>
      </c>
      <c r="G1148" s="21" t="s">
        <v>6232</v>
      </c>
      <c r="H1148" s="21" t="s">
        <v>6603</v>
      </c>
      <c r="I1148" s="21" t="s">
        <v>6604</v>
      </c>
      <c r="J1148" s="21">
        <f>SE(I1148="","-",SE(DATA.VALOR(I1148)&lt;HOJE(),"VENCIDO",SE(DATA.VALOR(I1148)-HOJE()&lt;=30,"CRÍTICO (&lt;=30D)","REGULAR")))</f>
      </c>
      <c r="K1148" s="22" t="s">
        <v>6233</v>
      </c>
      <c r="L1148" s="22" t="s">
        <v>4792</v>
      </c>
      <c r="M1148" s="22" t="s">
        <v>6195</v>
      </c>
      <c r="N1148" s="22" t="s">
        <v>6605</v>
      </c>
    </row>
    <row r="1149" ht="20" customHeight="1" spans="1:14" s="23" customFormat="1" x14ac:dyDescent="0.25">
      <c r="A1149" s="24" t="s">
        <v>6606</v>
      </c>
      <c r="B1149" s="24" t="s">
        <v>2160</v>
      </c>
      <c r="C1149" s="25" t="s">
        <v>6607</v>
      </c>
      <c r="D1149" s="32">
        <v>2200</v>
      </c>
      <c r="E1149" s="33">
        <v>9900</v>
      </c>
      <c r="F1149" s="25" t="s">
        <v>4564</v>
      </c>
      <c r="G1149" s="24" t="s">
        <v>6608</v>
      </c>
      <c r="H1149" s="24" t="s">
        <v>6609</v>
      </c>
      <c r="I1149" s="24" t="s">
        <v>6431</v>
      </c>
      <c r="J1149" s="24">
        <f>SE(I1149="","-",SE(DATA.VALOR(I1149)&lt;HOJE(),"VENCIDO",SE(DATA.VALOR(I1149)-HOJE()&lt;=30,"CRÍTICO (&lt;=30D)","REGULAR")))</f>
      </c>
      <c r="K1149" s="25" t="s">
        <v>6610</v>
      </c>
      <c r="L1149" s="25" t="s">
        <v>63</v>
      </c>
      <c r="M1149" s="25" t="s">
        <v>6611</v>
      </c>
      <c r="N1149" s="25" t="s">
        <v>6612</v>
      </c>
    </row>
    <row r="1150" ht="20" customHeight="1" spans="1:14" x14ac:dyDescent="0.25">
      <c r="A1150" s="21" t="s">
        <v>6613</v>
      </c>
      <c r="B1150" s="21" t="s">
        <v>2197</v>
      </c>
      <c r="C1150" s="22" t="s">
        <v>4338</v>
      </c>
      <c r="D1150" s="30">
        <v>75</v>
      </c>
      <c r="E1150" s="31">
        <v>337.5</v>
      </c>
      <c r="F1150" s="22" t="s">
        <v>3100</v>
      </c>
      <c r="G1150" s="21" t="s">
        <v>6614</v>
      </c>
      <c r="H1150" s="21" t="s">
        <v>6615</v>
      </c>
      <c r="I1150" s="21" t="s">
        <v>2197</v>
      </c>
      <c r="J1150" s="21">
        <f>SE(I1150="","-",SE(DATA.VALOR(I1150)&lt;HOJE(),"VENCIDO",SE(DATA.VALOR(I1150)-HOJE()&lt;=30,"CRÍTICO (&lt;=30D)","REGULAR")))</f>
      </c>
      <c r="K1150" s="22" t="s">
        <v>6616</v>
      </c>
      <c r="L1150" s="22" t="s">
        <v>63</v>
      </c>
      <c r="M1150" s="22" t="s">
        <v>6617</v>
      </c>
      <c r="N1150" s="22" t="s">
        <v>6618</v>
      </c>
    </row>
    <row r="1151" ht="20" customHeight="1" spans="1:14" s="23" customFormat="1" x14ac:dyDescent="0.25">
      <c r="A1151" s="24" t="s">
        <v>6619</v>
      </c>
      <c r="B1151" s="24" t="s">
        <v>2200</v>
      </c>
      <c r="C1151" s="25" t="s">
        <v>4338</v>
      </c>
      <c r="D1151" s="32">
        <v>75</v>
      </c>
      <c r="E1151" s="33">
        <v>337.5</v>
      </c>
      <c r="F1151" s="25" t="s">
        <v>2994</v>
      </c>
      <c r="G1151" s="24" t="s">
        <v>6620</v>
      </c>
      <c r="H1151" s="24" t="s">
        <v>6621</v>
      </c>
      <c r="I1151" s="24" t="s">
        <v>2275</v>
      </c>
      <c r="J1151" s="24">
        <f>SE(I1151="","-",SE(DATA.VALOR(I1151)&lt;HOJE(),"VENCIDO",SE(DATA.VALOR(I1151)-HOJE()&lt;=30,"CRÍTICO (&lt;=30D)","REGULAR")))</f>
      </c>
      <c r="K1151" s="25" t="s">
        <v>6622</v>
      </c>
      <c r="L1151" s="25" t="s">
        <v>63</v>
      </c>
      <c r="M1151" s="25" t="s">
        <v>6623</v>
      </c>
      <c r="N1151" s="25" t="s">
        <v>6624</v>
      </c>
    </row>
    <row r="1152" ht="20" customHeight="1" spans="1:14" x14ac:dyDescent="0.25">
      <c r="A1152" s="21" t="s">
        <v>6625</v>
      </c>
      <c r="B1152" s="21" t="s">
        <v>2200</v>
      </c>
      <c r="C1152" s="22" t="s">
        <v>4338</v>
      </c>
      <c r="D1152" s="30">
        <v>75</v>
      </c>
      <c r="E1152" s="31">
        <v>337.5</v>
      </c>
      <c r="F1152" s="22" t="s">
        <v>2765</v>
      </c>
      <c r="G1152" s="21" t="s">
        <v>6626</v>
      </c>
      <c r="H1152" s="21" t="s">
        <v>6627</v>
      </c>
      <c r="I1152" s="21" t="s">
        <v>2275</v>
      </c>
      <c r="J1152" s="21">
        <f>SE(I1152="","-",SE(DATA.VALOR(I1152)&lt;HOJE(),"VENCIDO",SE(DATA.VALOR(I1152)-HOJE()&lt;=30,"CRÍTICO (&lt;=30D)","REGULAR")))</f>
      </c>
      <c r="K1152" s="22" t="s">
        <v>6628</v>
      </c>
      <c r="L1152" s="22" t="s">
        <v>63</v>
      </c>
      <c r="M1152" s="22" t="s">
        <v>6629</v>
      </c>
      <c r="N1152" s="22" t="s">
        <v>6630</v>
      </c>
    </row>
    <row r="1153" ht="20" customHeight="1" spans="1:14" s="23" customFormat="1" x14ac:dyDescent="0.25">
      <c r="A1153" s="24" t="s">
        <v>6631</v>
      </c>
      <c r="B1153" s="24" t="s">
        <v>2401</v>
      </c>
      <c r="C1153" s="25" t="s">
        <v>4276</v>
      </c>
      <c r="D1153" s="32">
        <v>152</v>
      </c>
      <c r="E1153" s="33">
        <v>608</v>
      </c>
      <c r="F1153" s="25" t="s">
        <v>4298</v>
      </c>
      <c r="G1153" s="24" t="s">
        <v>6632</v>
      </c>
      <c r="H1153" s="24" t="s">
        <v>6633</v>
      </c>
      <c r="I1153" s="24" t="s">
        <v>1961</v>
      </c>
      <c r="J1153" s="24">
        <f>SE(I1153="","-",SE(DATA.VALOR(I1153)&lt;HOJE(),"VENCIDO",SE(DATA.VALOR(I1153)-HOJE()&lt;=30,"CRÍTICO (&lt;=30D)","REGULAR")))</f>
      </c>
      <c r="K1153" s="25" t="s">
        <v>63</v>
      </c>
      <c r="L1153" s="25" t="s">
        <v>63</v>
      </c>
      <c r="M1153" s="25" t="s">
        <v>6634</v>
      </c>
      <c r="N1153" s="25" t="s">
        <v>6635</v>
      </c>
    </row>
    <row r="1154" ht="20" customHeight="1" spans="1:14" x14ac:dyDescent="0.25">
      <c r="A1154" s="21" t="s">
        <v>6636</v>
      </c>
      <c r="B1154" s="21" t="s">
        <v>2401</v>
      </c>
      <c r="C1154" s="22" t="s">
        <v>4322</v>
      </c>
      <c r="D1154" s="30">
        <v>166</v>
      </c>
      <c r="E1154" s="31">
        <v>647.4</v>
      </c>
      <c r="F1154" s="22" t="s">
        <v>4298</v>
      </c>
      <c r="G1154" s="21" t="s">
        <v>6632</v>
      </c>
      <c r="H1154" s="21" t="s">
        <v>6633</v>
      </c>
      <c r="I1154" s="21" t="s">
        <v>1961</v>
      </c>
      <c r="J1154" s="21">
        <f>SE(I1154="","-",SE(DATA.VALOR(I1154)&lt;HOJE(),"VENCIDO",SE(DATA.VALOR(I1154)-HOJE()&lt;=30,"CRÍTICO (&lt;=30D)","REGULAR")))</f>
      </c>
      <c r="K1154" s="22" t="s">
        <v>63</v>
      </c>
      <c r="L1154" s="22" t="s">
        <v>63</v>
      </c>
      <c r="M1154" s="22" t="s">
        <v>6634</v>
      </c>
      <c r="N1154" s="22" t="s">
        <v>6635</v>
      </c>
    </row>
    <row r="1155" ht="20" customHeight="1" spans="1:14" s="23" customFormat="1" x14ac:dyDescent="0.25">
      <c r="A1155" s="24" t="s">
        <v>6637</v>
      </c>
      <c r="B1155" s="24" t="s">
        <v>2401</v>
      </c>
      <c r="C1155" s="25" t="s">
        <v>2855</v>
      </c>
      <c r="D1155" s="32">
        <v>21</v>
      </c>
      <c r="E1155" s="33">
        <v>92.4</v>
      </c>
      <c r="F1155" s="25" t="s">
        <v>4298</v>
      </c>
      <c r="G1155" s="24" t="s">
        <v>6632</v>
      </c>
      <c r="H1155" s="24" t="s">
        <v>2996</v>
      </c>
      <c r="I1155" s="24" t="s">
        <v>63</v>
      </c>
      <c r="J1155" s="24" t="s">
        <v>20</v>
      </c>
      <c r="K1155" s="25" t="s">
        <v>63</v>
      </c>
      <c r="L1155" s="25" t="s">
        <v>63</v>
      </c>
      <c r="M1155" s="25" t="s">
        <v>6634</v>
      </c>
      <c r="N1155" s="25" t="s">
        <v>6635</v>
      </c>
    </row>
    <row r="1156" ht="20" customHeight="1" spans="1:14" x14ac:dyDescent="0.25">
      <c r="A1156" s="21" t="s">
        <v>6638</v>
      </c>
      <c r="B1156" s="21" t="s">
        <v>2401</v>
      </c>
      <c r="C1156" s="22" t="s">
        <v>3883</v>
      </c>
      <c r="D1156" s="30">
        <v>90</v>
      </c>
      <c r="E1156" s="31">
        <v>540</v>
      </c>
      <c r="F1156" s="22" t="s">
        <v>4298</v>
      </c>
      <c r="G1156" s="21" t="s">
        <v>6632</v>
      </c>
      <c r="H1156" s="21" t="s">
        <v>6633</v>
      </c>
      <c r="I1156" s="21" t="s">
        <v>1961</v>
      </c>
      <c r="J1156" s="21">
        <f>SE(I1156="","-",SE(DATA.VALOR(I1156)&lt;HOJE(),"VENCIDO",SE(DATA.VALOR(I1156)-HOJE()&lt;=30,"CRÍTICO (&lt;=30D)","REGULAR")))</f>
      </c>
      <c r="K1156" s="22" t="s">
        <v>63</v>
      </c>
      <c r="L1156" s="22" t="s">
        <v>63</v>
      </c>
      <c r="M1156" s="22" t="s">
        <v>6634</v>
      </c>
      <c r="N1156" s="22" t="s">
        <v>6635</v>
      </c>
    </row>
    <row r="1157" ht="20" customHeight="1" spans="1:14" s="23" customFormat="1" x14ac:dyDescent="0.25">
      <c r="A1157" s="24" t="s">
        <v>6639</v>
      </c>
      <c r="B1157" s="24" t="s">
        <v>2401</v>
      </c>
      <c r="C1157" s="25" t="s">
        <v>4327</v>
      </c>
      <c r="D1157" s="32">
        <v>33</v>
      </c>
      <c r="E1157" s="33">
        <v>180.18</v>
      </c>
      <c r="F1157" s="25" t="s">
        <v>4298</v>
      </c>
      <c r="G1157" s="24" t="s">
        <v>6632</v>
      </c>
      <c r="H1157" s="24" t="s">
        <v>6633</v>
      </c>
      <c r="I1157" s="24" t="s">
        <v>1961</v>
      </c>
      <c r="J1157" s="24">
        <f>SE(I1157="","-",SE(DATA.VALOR(I1157)&lt;HOJE(),"VENCIDO",SE(DATA.VALOR(I1157)-HOJE()&lt;=30,"CRÍTICO (&lt;=30D)","REGULAR")))</f>
      </c>
      <c r="K1157" s="25" t="s">
        <v>63</v>
      </c>
      <c r="L1157" s="25" t="s">
        <v>63</v>
      </c>
      <c r="M1157" s="25" t="s">
        <v>6634</v>
      </c>
      <c r="N1157" s="25" t="s">
        <v>6635</v>
      </c>
    </row>
    <row r="1158" ht="20" customHeight="1" spans="1:14" x14ac:dyDescent="0.25">
      <c r="A1158" s="21" t="s">
        <v>6640</v>
      </c>
      <c r="B1158" s="21" t="s">
        <v>2401</v>
      </c>
      <c r="C1158" s="22" t="s">
        <v>4362</v>
      </c>
      <c r="D1158" s="30">
        <v>218</v>
      </c>
      <c r="E1158" s="31">
        <v>1308</v>
      </c>
      <c r="F1158" s="22" t="s">
        <v>4298</v>
      </c>
      <c r="G1158" s="21" t="s">
        <v>6632</v>
      </c>
      <c r="H1158" s="21" t="s">
        <v>6633</v>
      </c>
      <c r="I1158" s="21" t="s">
        <v>1961</v>
      </c>
      <c r="J1158" s="21">
        <f>SE(I1158="","-",SE(DATA.VALOR(I1158)&lt;HOJE(),"VENCIDO",SE(DATA.VALOR(I1158)-HOJE()&lt;=30,"CRÍTICO (&lt;=30D)","REGULAR")))</f>
      </c>
      <c r="K1158" s="22" t="s">
        <v>63</v>
      </c>
      <c r="L1158" s="22" t="s">
        <v>63</v>
      </c>
      <c r="M1158" s="22" t="s">
        <v>6634</v>
      </c>
      <c r="N1158" s="22" t="s">
        <v>6635</v>
      </c>
    </row>
    <row r="1159" ht="20" customHeight="1" spans="1:14" s="23" customFormat="1" x14ac:dyDescent="0.25">
      <c r="A1159" s="24" t="s">
        <v>6641</v>
      </c>
      <c r="B1159" s="24" t="s">
        <v>2401</v>
      </c>
      <c r="C1159" s="25" t="s">
        <v>4274</v>
      </c>
      <c r="D1159" s="32">
        <v>125</v>
      </c>
      <c r="E1159" s="33">
        <v>525</v>
      </c>
      <c r="F1159" s="25" t="s">
        <v>4298</v>
      </c>
      <c r="G1159" s="24" t="s">
        <v>6632</v>
      </c>
      <c r="H1159" s="24" t="s">
        <v>6633</v>
      </c>
      <c r="I1159" s="24" t="s">
        <v>1961</v>
      </c>
      <c r="J1159" s="24">
        <f>SE(I1159="","-",SE(DATA.VALOR(I1159)&lt;HOJE(),"VENCIDO",SE(DATA.VALOR(I1159)-HOJE()&lt;=30,"CRÍTICO (&lt;=30D)","REGULAR")))</f>
      </c>
      <c r="K1159" s="25" t="s">
        <v>63</v>
      </c>
      <c r="L1159" s="25" t="s">
        <v>63</v>
      </c>
      <c r="M1159" s="25" t="s">
        <v>6634</v>
      </c>
      <c r="N1159" s="25" t="s">
        <v>6635</v>
      </c>
    </row>
    <row r="1160" ht="20" customHeight="1" spans="1:14" x14ac:dyDescent="0.25">
      <c r="A1160" s="21" t="s">
        <v>6642</v>
      </c>
      <c r="B1160" s="21" t="s">
        <v>2401</v>
      </c>
      <c r="C1160" s="22" t="s">
        <v>4338</v>
      </c>
      <c r="D1160" s="30">
        <v>75</v>
      </c>
      <c r="E1160" s="31">
        <v>337.5</v>
      </c>
      <c r="F1160" s="22" t="s">
        <v>4298</v>
      </c>
      <c r="G1160" s="21" t="s">
        <v>6632</v>
      </c>
      <c r="H1160" s="21" t="s">
        <v>6633</v>
      </c>
      <c r="I1160" s="21" t="s">
        <v>1961</v>
      </c>
      <c r="J1160" s="21">
        <f>SE(I1160="","-",SE(DATA.VALOR(I1160)&lt;HOJE(),"VENCIDO",SE(DATA.VALOR(I1160)-HOJE()&lt;=30,"CRÍTICO (&lt;=30D)","REGULAR")))</f>
      </c>
      <c r="K1160" s="22" t="s">
        <v>63</v>
      </c>
      <c r="L1160" s="22" t="s">
        <v>63</v>
      </c>
      <c r="M1160" s="22" t="s">
        <v>63</v>
      </c>
      <c r="N1160" s="22" t="s">
        <v>6635</v>
      </c>
    </row>
    <row r="1161" ht="20" customHeight="1" spans="1:14" s="23" customFormat="1" x14ac:dyDescent="0.25">
      <c r="A1161" s="24" t="s">
        <v>6643</v>
      </c>
      <c r="B1161" s="24" t="s">
        <v>2401</v>
      </c>
      <c r="C1161" s="25" t="s">
        <v>4369</v>
      </c>
      <c r="D1161" s="32">
        <v>156</v>
      </c>
      <c r="E1161" s="33">
        <v>483.6</v>
      </c>
      <c r="F1161" s="25" t="s">
        <v>4298</v>
      </c>
      <c r="G1161" s="24" t="s">
        <v>6632</v>
      </c>
      <c r="H1161" s="24" t="s">
        <v>6633</v>
      </c>
      <c r="I1161" s="24" t="s">
        <v>1961</v>
      </c>
      <c r="J1161" s="24">
        <f>SE(I1161="","-",SE(DATA.VALOR(I1161)&lt;HOJE(),"VENCIDO",SE(DATA.VALOR(I1161)-HOJE()&lt;=30,"CRÍTICO (&lt;=30D)","REGULAR")))</f>
      </c>
      <c r="K1161" s="25" t="s">
        <v>63</v>
      </c>
      <c r="L1161" s="25" t="s">
        <v>63</v>
      </c>
      <c r="M1161" s="25" t="s">
        <v>6634</v>
      </c>
      <c r="N1161" s="25" t="s">
        <v>6635</v>
      </c>
    </row>
    <row r="1162" ht="20" customHeight="1" spans="1:14" x14ac:dyDescent="0.25">
      <c r="A1162" s="21" t="s">
        <v>6644</v>
      </c>
      <c r="B1162" s="21" t="s">
        <v>2401</v>
      </c>
      <c r="C1162" s="22" t="s">
        <v>4318</v>
      </c>
      <c r="D1162" s="30">
        <v>162</v>
      </c>
      <c r="E1162" s="31">
        <v>680.4</v>
      </c>
      <c r="F1162" s="22" t="s">
        <v>4298</v>
      </c>
      <c r="G1162" s="21" t="s">
        <v>6632</v>
      </c>
      <c r="H1162" s="21" t="s">
        <v>6633</v>
      </c>
      <c r="I1162" s="21" t="s">
        <v>1961</v>
      </c>
      <c r="J1162" s="21">
        <f>SE(I1162="","-",SE(DATA.VALOR(I1162)&lt;HOJE(),"VENCIDO",SE(DATA.VALOR(I1162)-HOJE()&lt;=30,"CRÍTICO (&lt;=30D)","REGULAR")))</f>
      </c>
      <c r="K1162" s="22" t="s">
        <v>63</v>
      </c>
      <c r="L1162" s="22" t="s">
        <v>63</v>
      </c>
      <c r="M1162" s="22" t="s">
        <v>6634</v>
      </c>
      <c r="N1162" s="22" t="s">
        <v>6635</v>
      </c>
    </row>
    <row r="1163" ht="20" customHeight="1" spans="1:14" s="23" customFormat="1" x14ac:dyDescent="0.25">
      <c r="A1163" s="24" t="s">
        <v>6645</v>
      </c>
      <c r="B1163" s="24" t="s">
        <v>2401</v>
      </c>
      <c r="C1163" s="25" t="s">
        <v>4179</v>
      </c>
      <c r="D1163" s="32">
        <v>177</v>
      </c>
      <c r="E1163" s="33">
        <v>838.98</v>
      </c>
      <c r="F1163" s="25" t="s">
        <v>4298</v>
      </c>
      <c r="G1163" s="24" t="s">
        <v>6632</v>
      </c>
      <c r="H1163" s="24" t="s">
        <v>6633</v>
      </c>
      <c r="I1163" s="24" t="s">
        <v>1961</v>
      </c>
      <c r="J1163" s="24">
        <f>SE(I1163="","-",SE(DATA.VALOR(I1163)&lt;HOJE(),"VENCIDO",SE(DATA.VALOR(I1163)-HOJE()&lt;=30,"CRÍTICO (&lt;=30D)","REGULAR")))</f>
      </c>
      <c r="K1163" s="25" t="s">
        <v>63</v>
      </c>
      <c r="L1163" s="25" t="s">
        <v>63</v>
      </c>
      <c r="M1163" s="25" t="s">
        <v>6634</v>
      </c>
      <c r="N1163" s="25" t="s">
        <v>6635</v>
      </c>
    </row>
    <row r="1164" ht="20" customHeight="1" spans="1:14" x14ac:dyDescent="0.25">
      <c r="A1164" s="21" t="s">
        <v>6646</v>
      </c>
      <c r="B1164" s="21" t="s">
        <v>2401</v>
      </c>
      <c r="C1164" s="22" t="s">
        <v>4305</v>
      </c>
      <c r="D1164" s="30">
        <v>93</v>
      </c>
      <c r="E1164" s="31">
        <v>316.2</v>
      </c>
      <c r="F1164" s="22" t="s">
        <v>4298</v>
      </c>
      <c r="G1164" s="21" t="s">
        <v>6632</v>
      </c>
      <c r="H1164" s="21" t="s">
        <v>6633</v>
      </c>
      <c r="I1164" s="21" t="s">
        <v>1961</v>
      </c>
      <c r="J1164" s="21">
        <f>SE(I1164="","-",SE(DATA.VALOR(I1164)&lt;HOJE(),"VENCIDO",SE(DATA.VALOR(I1164)-HOJE()&lt;=30,"CRÍTICO (&lt;=30D)","REGULAR")))</f>
      </c>
      <c r="K1164" s="22" t="s">
        <v>63</v>
      </c>
      <c r="L1164" s="22" t="s">
        <v>63</v>
      </c>
      <c r="M1164" s="22" t="s">
        <v>6634</v>
      </c>
      <c r="N1164" s="22" t="s">
        <v>6635</v>
      </c>
    </row>
    <row r="1165" ht="20" customHeight="1" spans="1:14" s="23" customFormat="1" x14ac:dyDescent="0.25">
      <c r="A1165" s="24" t="s">
        <v>6647</v>
      </c>
      <c r="B1165" s="24" t="s">
        <v>2401</v>
      </c>
      <c r="C1165" s="25" t="s">
        <v>2940</v>
      </c>
      <c r="D1165" s="32">
        <v>60</v>
      </c>
      <c r="E1165" s="33">
        <v>180</v>
      </c>
      <c r="F1165" s="25" t="s">
        <v>4298</v>
      </c>
      <c r="G1165" s="24" t="s">
        <v>6632</v>
      </c>
      <c r="H1165" s="24" t="s">
        <v>6633</v>
      </c>
      <c r="I1165" s="24" t="s">
        <v>1961</v>
      </c>
      <c r="J1165" s="24">
        <f>SE(I1165="","-",SE(DATA.VALOR(I1165)&lt;HOJE(),"VENCIDO",SE(DATA.VALOR(I1165)-HOJE()&lt;=30,"CRÍTICO (&lt;=30D)","REGULAR")))</f>
      </c>
      <c r="K1165" s="25" t="s">
        <v>63</v>
      </c>
      <c r="L1165" s="25" t="s">
        <v>63</v>
      </c>
      <c r="M1165" s="25" t="s">
        <v>6634</v>
      </c>
      <c r="N1165" s="25" t="s">
        <v>6635</v>
      </c>
    </row>
    <row r="1166" ht="20" customHeight="1" spans="1:14" x14ac:dyDescent="0.25">
      <c r="A1166" s="21" t="s">
        <v>6648</v>
      </c>
      <c r="B1166" s="21" t="s">
        <v>2401</v>
      </c>
      <c r="C1166" s="22" t="s">
        <v>4276</v>
      </c>
      <c r="D1166" s="30">
        <v>161</v>
      </c>
      <c r="E1166" s="31">
        <v>644</v>
      </c>
      <c r="F1166" s="22" t="s">
        <v>4374</v>
      </c>
      <c r="G1166" s="21" t="s">
        <v>6649</v>
      </c>
      <c r="H1166" s="21" t="s">
        <v>2996</v>
      </c>
      <c r="I1166" s="21" t="s">
        <v>63</v>
      </c>
      <c r="J1166" s="21" t="s">
        <v>20</v>
      </c>
      <c r="K1166" s="22" t="s">
        <v>63</v>
      </c>
      <c r="L1166" s="22" t="s">
        <v>63</v>
      </c>
      <c r="M1166" s="22" t="s">
        <v>63</v>
      </c>
      <c r="N1166" s="22" t="s">
        <v>6650</v>
      </c>
    </row>
    <row r="1167" ht="20" customHeight="1" spans="1:14" s="23" customFormat="1" x14ac:dyDescent="0.25">
      <c r="A1167" s="24" t="s">
        <v>6651</v>
      </c>
      <c r="B1167" s="24" t="s">
        <v>2401</v>
      </c>
      <c r="C1167" s="25" t="s">
        <v>4274</v>
      </c>
      <c r="D1167" s="32">
        <v>184</v>
      </c>
      <c r="E1167" s="33">
        <v>772.8</v>
      </c>
      <c r="F1167" s="25" t="s">
        <v>4374</v>
      </c>
      <c r="G1167" s="24" t="s">
        <v>6649</v>
      </c>
      <c r="H1167" s="24" t="s">
        <v>2996</v>
      </c>
      <c r="I1167" s="24" t="s">
        <v>63</v>
      </c>
      <c r="J1167" s="24" t="s">
        <v>20</v>
      </c>
      <c r="K1167" s="25" t="s">
        <v>63</v>
      </c>
      <c r="L1167" s="25" t="s">
        <v>63</v>
      </c>
      <c r="M1167" s="25" t="s">
        <v>63</v>
      </c>
      <c r="N1167" s="25" t="s">
        <v>6650</v>
      </c>
    </row>
    <row r="1168" ht="20" customHeight="1" spans="1:14" x14ac:dyDescent="0.25">
      <c r="A1168" s="21" t="s">
        <v>6652</v>
      </c>
      <c r="B1168" s="21" t="s">
        <v>2401</v>
      </c>
      <c r="C1168" s="22" t="s">
        <v>4266</v>
      </c>
      <c r="D1168" s="30">
        <v>106</v>
      </c>
      <c r="E1168" s="31">
        <v>339.2</v>
      </c>
      <c r="F1168" s="22" t="s">
        <v>4374</v>
      </c>
      <c r="G1168" s="21" t="s">
        <v>6649</v>
      </c>
      <c r="H1168" s="21" t="s">
        <v>2996</v>
      </c>
      <c r="I1168" s="21" t="s">
        <v>63</v>
      </c>
      <c r="J1168" s="21" t="s">
        <v>20</v>
      </c>
      <c r="K1168" s="22" t="s">
        <v>63</v>
      </c>
      <c r="L1168" s="22" t="s">
        <v>63</v>
      </c>
      <c r="M1168" s="22" t="s">
        <v>63</v>
      </c>
      <c r="N1168" s="22" t="s">
        <v>6650</v>
      </c>
    </row>
    <row r="1169" ht="20" customHeight="1" spans="1:14" s="23" customFormat="1" x14ac:dyDescent="0.25">
      <c r="A1169" s="24" t="s">
        <v>6653</v>
      </c>
      <c r="B1169" s="24" t="s">
        <v>2401</v>
      </c>
      <c r="C1169" s="25" t="s">
        <v>4318</v>
      </c>
      <c r="D1169" s="32">
        <v>154</v>
      </c>
      <c r="E1169" s="33">
        <v>646.8</v>
      </c>
      <c r="F1169" s="25" t="s">
        <v>4374</v>
      </c>
      <c r="G1169" s="24" t="s">
        <v>6649</v>
      </c>
      <c r="H1169" s="24" t="s">
        <v>2996</v>
      </c>
      <c r="I1169" s="24" t="s">
        <v>63</v>
      </c>
      <c r="J1169" s="24" t="s">
        <v>20</v>
      </c>
      <c r="K1169" s="25" t="s">
        <v>63</v>
      </c>
      <c r="L1169" s="25" t="s">
        <v>63</v>
      </c>
      <c r="M1169" s="25" t="s">
        <v>63</v>
      </c>
      <c r="N1169" s="25" t="s">
        <v>6650</v>
      </c>
    </row>
    <row r="1170" ht="20" customHeight="1" spans="1:14" x14ac:dyDescent="0.25">
      <c r="A1170" s="21" t="s">
        <v>6654</v>
      </c>
      <c r="B1170" s="21" t="s">
        <v>2401</v>
      </c>
      <c r="C1170" s="22" t="s">
        <v>4179</v>
      </c>
      <c r="D1170" s="30">
        <v>181</v>
      </c>
      <c r="E1170" s="31">
        <v>857.94</v>
      </c>
      <c r="F1170" s="22" t="s">
        <v>4374</v>
      </c>
      <c r="G1170" s="21" t="s">
        <v>6649</v>
      </c>
      <c r="H1170" s="21" t="s">
        <v>2996</v>
      </c>
      <c r="I1170" s="21" t="s">
        <v>63</v>
      </c>
      <c r="J1170" s="21" t="s">
        <v>20</v>
      </c>
      <c r="K1170" s="22" t="s">
        <v>63</v>
      </c>
      <c r="L1170" s="22" t="s">
        <v>63</v>
      </c>
      <c r="M1170" s="22" t="s">
        <v>63</v>
      </c>
      <c r="N1170" s="22" t="s">
        <v>6650</v>
      </c>
    </row>
    <row r="1171" ht="20" customHeight="1" spans="1:14" s="23" customFormat="1" x14ac:dyDescent="0.25">
      <c r="A1171" s="24" t="s">
        <v>6655</v>
      </c>
      <c r="B1171" s="24" t="s">
        <v>2401</v>
      </c>
      <c r="C1171" s="25" t="s">
        <v>2940</v>
      </c>
      <c r="D1171" s="32">
        <v>115</v>
      </c>
      <c r="E1171" s="33">
        <v>345</v>
      </c>
      <c r="F1171" s="25" t="s">
        <v>4374</v>
      </c>
      <c r="G1171" s="24" t="s">
        <v>6649</v>
      </c>
      <c r="H1171" s="24" t="s">
        <v>2996</v>
      </c>
      <c r="I1171" s="24" t="s">
        <v>63</v>
      </c>
      <c r="J1171" s="24" t="s">
        <v>20</v>
      </c>
      <c r="K1171" s="25" t="s">
        <v>63</v>
      </c>
      <c r="L1171" s="25" t="s">
        <v>63</v>
      </c>
      <c r="M1171" s="25" t="s">
        <v>63</v>
      </c>
      <c r="N1171" s="25" t="s">
        <v>6650</v>
      </c>
    </row>
    <row r="1172" ht="20" customHeight="1" spans="1:14" x14ac:dyDescent="0.25">
      <c r="A1172" s="21" t="s">
        <v>6656</v>
      </c>
      <c r="B1172" s="21" t="s">
        <v>2401</v>
      </c>
      <c r="C1172" s="22" t="s">
        <v>5063</v>
      </c>
      <c r="D1172" s="30">
        <v>133</v>
      </c>
      <c r="E1172" s="31">
        <v>678.3</v>
      </c>
      <c r="F1172" s="22" t="s">
        <v>2717</v>
      </c>
      <c r="G1172" s="21" t="s">
        <v>6657</v>
      </c>
      <c r="H1172" s="21" t="s">
        <v>6633</v>
      </c>
      <c r="I1172" s="21" t="s">
        <v>1961</v>
      </c>
      <c r="J1172" s="21">
        <f>SE(I1172="","-",SE(DATA.VALOR(I1172)&lt;HOJE(),"VENCIDO",SE(DATA.VALOR(I1172)-HOJE()&lt;=30,"CRÍTICO (&lt;=30D)","REGULAR")))</f>
      </c>
      <c r="K1172" s="22" t="s">
        <v>63</v>
      </c>
      <c r="L1172" s="22" t="s">
        <v>63</v>
      </c>
      <c r="M1172" s="22" t="s">
        <v>6658</v>
      </c>
      <c r="N1172" s="22" t="s">
        <v>6659</v>
      </c>
    </row>
    <row r="1173" ht="20" customHeight="1" spans="1:14" s="23" customFormat="1" x14ac:dyDescent="0.25">
      <c r="A1173" s="24" t="s">
        <v>6660</v>
      </c>
      <c r="B1173" s="24" t="s">
        <v>2401</v>
      </c>
      <c r="C1173" s="25" t="s">
        <v>2940</v>
      </c>
      <c r="D1173" s="32">
        <v>160.5</v>
      </c>
      <c r="E1173" s="33">
        <v>481.5</v>
      </c>
      <c r="F1173" s="25" t="s">
        <v>2717</v>
      </c>
      <c r="G1173" s="24" t="s">
        <v>6657</v>
      </c>
      <c r="H1173" s="24" t="s">
        <v>6633</v>
      </c>
      <c r="I1173" s="24" t="s">
        <v>1961</v>
      </c>
      <c r="J1173" s="24">
        <f>SE(I1173="","-",SE(DATA.VALOR(I1173)&lt;HOJE(),"VENCIDO",SE(DATA.VALOR(I1173)-HOJE()&lt;=30,"CRÍTICO (&lt;=30D)","REGULAR")))</f>
      </c>
      <c r="K1173" s="25" t="s">
        <v>63</v>
      </c>
      <c r="L1173" s="25" t="s">
        <v>63</v>
      </c>
      <c r="M1173" s="25" t="s">
        <v>6658</v>
      </c>
      <c r="N1173" s="25" t="s">
        <v>6659</v>
      </c>
    </row>
    <row r="1174" ht="20" customHeight="1" spans="1:14" x14ac:dyDescent="0.25">
      <c r="A1174" s="21" t="s">
        <v>6661</v>
      </c>
      <c r="B1174" s="21" t="s">
        <v>2401</v>
      </c>
      <c r="C1174" s="22" t="s">
        <v>3883</v>
      </c>
      <c r="D1174" s="30">
        <v>63.5</v>
      </c>
      <c r="E1174" s="31">
        <v>381</v>
      </c>
      <c r="F1174" s="22" t="s">
        <v>2717</v>
      </c>
      <c r="G1174" s="21" t="s">
        <v>6657</v>
      </c>
      <c r="H1174" s="21" t="s">
        <v>2996</v>
      </c>
      <c r="I1174" s="21" t="s">
        <v>63</v>
      </c>
      <c r="J1174" s="21" t="s">
        <v>20</v>
      </c>
      <c r="K1174" s="22" t="s">
        <v>63</v>
      </c>
      <c r="L1174" s="22" t="s">
        <v>63</v>
      </c>
      <c r="M1174" s="22" t="s">
        <v>63</v>
      </c>
      <c r="N1174" s="22" t="s">
        <v>6659</v>
      </c>
    </row>
    <row r="1175" ht="20" customHeight="1" spans="1:14" s="23" customFormat="1" x14ac:dyDescent="0.25">
      <c r="A1175" s="24" t="s">
        <v>6662</v>
      </c>
      <c r="B1175" s="24" t="s">
        <v>2401</v>
      </c>
      <c r="C1175" s="25" t="s">
        <v>4274</v>
      </c>
      <c r="D1175" s="32">
        <v>130.5</v>
      </c>
      <c r="E1175" s="33">
        <v>548.1</v>
      </c>
      <c r="F1175" s="25" t="s">
        <v>2717</v>
      </c>
      <c r="G1175" s="24" t="s">
        <v>6657</v>
      </c>
      <c r="H1175" s="24" t="s">
        <v>6633</v>
      </c>
      <c r="I1175" s="24" t="s">
        <v>1961</v>
      </c>
      <c r="J1175" s="24">
        <f>SE(I1175="","-",SE(DATA.VALOR(I1175)&lt;HOJE(),"VENCIDO",SE(DATA.VALOR(I1175)-HOJE()&lt;=30,"CRÍTICO (&lt;=30D)","REGULAR")))</f>
      </c>
      <c r="K1175" s="25" t="s">
        <v>63</v>
      </c>
      <c r="L1175" s="25" t="s">
        <v>63</v>
      </c>
      <c r="M1175" s="25" t="s">
        <v>6658</v>
      </c>
      <c r="N1175" s="25" t="s">
        <v>6659</v>
      </c>
    </row>
    <row r="1176" ht="20" customHeight="1" spans="1:14" x14ac:dyDescent="0.25">
      <c r="A1176" s="21" t="s">
        <v>6663</v>
      </c>
      <c r="B1176" s="21" t="s">
        <v>2401</v>
      </c>
      <c r="C1176" s="22" t="s">
        <v>5063</v>
      </c>
      <c r="D1176" s="30">
        <v>253</v>
      </c>
      <c r="E1176" s="31">
        <v>1290.3</v>
      </c>
      <c r="F1176" s="22" t="s">
        <v>5052</v>
      </c>
      <c r="G1176" s="21" t="s">
        <v>6184</v>
      </c>
      <c r="H1176" s="21" t="s">
        <v>6633</v>
      </c>
      <c r="I1176" s="21" t="s">
        <v>6664</v>
      </c>
      <c r="J1176" s="21">
        <f>SE(I1176="","-",SE(DATA.VALOR(I1176)&lt;HOJE(),"VENCIDO",SE(DATA.VALOR(I1176)-HOJE()&lt;=30,"CRÍTICO (&lt;=30D)","REGULAR")))</f>
      </c>
      <c r="K1176" s="22" t="s">
        <v>63</v>
      </c>
      <c r="L1176" s="22" t="s">
        <v>63</v>
      </c>
      <c r="M1176" s="22" t="s">
        <v>6665</v>
      </c>
      <c r="N1176" s="22" t="s">
        <v>6666</v>
      </c>
    </row>
    <row r="1177" ht="20" customHeight="1" spans="1:14" s="23" customFormat="1" x14ac:dyDescent="0.25">
      <c r="A1177" s="24" t="s">
        <v>6667</v>
      </c>
      <c r="B1177" s="24" t="s">
        <v>2401</v>
      </c>
      <c r="C1177" s="25" t="s">
        <v>2940</v>
      </c>
      <c r="D1177" s="32">
        <v>160.5</v>
      </c>
      <c r="E1177" s="33">
        <v>481.5</v>
      </c>
      <c r="F1177" s="25" t="s">
        <v>5052</v>
      </c>
      <c r="G1177" s="24" t="s">
        <v>6184</v>
      </c>
      <c r="H1177" s="24" t="s">
        <v>6633</v>
      </c>
      <c r="I1177" s="24" t="s">
        <v>6668</v>
      </c>
      <c r="J1177" s="24">
        <f>SE(I1177="","-",SE(DATA.VALOR(I1177)&lt;HOJE(),"VENCIDO",SE(DATA.VALOR(I1177)-HOJE()&lt;=30,"CRÍTICO (&lt;=30D)","REGULAR")))</f>
      </c>
      <c r="K1177" s="25" t="s">
        <v>63</v>
      </c>
      <c r="L1177" s="25" t="s">
        <v>63</v>
      </c>
      <c r="M1177" s="25" t="s">
        <v>6665</v>
      </c>
      <c r="N1177" s="25" t="s">
        <v>6666</v>
      </c>
    </row>
    <row r="1178" ht="20" customHeight="1" spans="1:14" x14ac:dyDescent="0.25">
      <c r="A1178" s="21" t="s">
        <v>6669</v>
      </c>
      <c r="B1178" s="21" t="s">
        <v>2401</v>
      </c>
      <c r="C1178" s="22" t="s">
        <v>3883</v>
      </c>
      <c r="D1178" s="30">
        <v>18.5</v>
      </c>
      <c r="E1178" s="31">
        <v>111</v>
      </c>
      <c r="F1178" s="22" t="s">
        <v>5052</v>
      </c>
      <c r="G1178" s="21" t="s">
        <v>6184</v>
      </c>
      <c r="H1178" s="21" t="s">
        <v>6633</v>
      </c>
      <c r="I1178" s="21" t="s">
        <v>6664</v>
      </c>
      <c r="J1178" s="21">
        <f>SE(I1178="","-",SE(DATA.VALOR(I1178)&lt;HOJE(),"VENCIDO",SE(DATA.VALOR(I1178)-HOJE()&lt;=30,"CRÍTICO (&lt;=30D)","REGULAR")))</f>
      </c>
      <c r="K1178" s="22" t="s">
        <v>63</v>
      </c>
      <c r="L1178" s="22" t="s">
        <v>63</v>
      </c>
      <c r="M1178" s="22" t="s">
        <v>6665</v>
      </c>
      <c r="N1178" s="22" t="s">
        <v>6666</v>
      </c>
    </row>
    <row r="1179" ht="20" customHeight="1" spans="1:14" s="23" customFormat="1" x14ac:dyDescent="0.25">
      <c r="A1179" s="24" t="s">
        <v>6670</v>
      </c>
      <c r="B1179" s="24" t="s">
        <v>2401</v>
      </c>
      <c r="C1179" s="25" t="s">
        <v>3890</v>
      </c>
      <c r="D1179" s="32">
        <v>162</v>
      </c>
      <c r="E1179" s="33">
        <v>810</v>
      </c>
      <c r="F1179" s="25" t="s">
        <v>5052</v>
      </c>
      <c r="G1179" s="24" t="s">
        <v>6184</v>
      </c>
      <c r="H1179" s="24" t="s">
        <v>2996</v>
      </c>
      <c r="I1179" s="24" t="s">
        <v>63</v>
      </c>
      <c r="J1179" s="24" t="s">
        <v>20</v>
      </c>
      <c r="K1179" s="25" t="s">
        <v>63</v>
      </c>
      <c r="L1179" s="25" t="s">
        <v>63</v>
      </c>
      <c r="M1179" s="25" t="s">
        <v>63</v>
      </c>
      <c r="N1179" s="25" t="s">
        <v>6666</v>
      </c>
    </row>
    <row r="1180" ht="20" customHeight="1" spans="1:14" x14ac:dyDescent="0.25">
      <c r="A1180" s="21" t="s">
        <v>6671</v>
      </c>
      <c r="B1180" s="21" t="s">
        <v>2401</v>
      </c>
      <c r="C1180" s="22" t="s">
        <v>4274</v>
      </c>
      <c r="D1180" s="30">
        <v>130.5</v>
      </c>
      <c r="E1180" s="31">
        <v>548.1</v>
      </c>
      <c r="F1180" s="22" t="s">
        <v>5052</v>
      </c>
      <c r="G1180" s="21" t="s">
        <v>6184</v>
      </c>
      <c r="H1180" s="21" t="s">
        <v>6672</v>
      </c>
      <c r="I1180" s="21" t="s">
        <v>6664</v>
      </c>
      <c r="J1180" s="21">
        <f>SE(I1180="","-",SE(DATA.VALOR(I1180)&lt;HOJE(),"VENCIDO",SE(DATA.VALOR(I1180)-HOJE()&lt;=30,"CRÍTICO (&lt;=30D)","REGULAR")))</f>
      </c>
      <c r="K1180" s="22" t="s">
        <v>63</v>
      </c>
      <c r="L1180" s="22" t="s">
        <v>63</v>
      </c>
      <c r="M1180" s="22" t="s">
        <v>6665</v>
      </c>
      <c r="N1180" s="22" t="s">
        <v>6666</v>
      </c>
    </row>
    <row r="1181" ht="20" customHeight="1" spans="1:14" s="23" customFormat="1" x14ac:dyDescent="0.25">
      <c r="A1181" s="24" t="s">
        <v>6673</v>
      </c>
      <c r="B1181" s="24" t="s">
        <v>2436</v>
      </c>
      <c r="C1181" s="25" t="s">
        <v>3883</v>
      </c>
      <c r="D1181" s="32">
        <v>90</v>
      </c>
      <c r="E1181" s="33">
        <v>540</v>
      </c>
      <c r="F1181" s="25" t="s">
        <v>2643</v>
      </c>
      <c r="G1181" s="24" t="s">
        <v>6674</v>
      </c>
      <c r="H1181" s="24" t="s">
        <v>2996</v>
      </c>
      <c r="I1181" s="24" t="s">
        <v>63</v>
      </c>
      <c r="J1181" s="24" t="s">
        <v>20</v>
      </c>
      <c r="K1181" s="25" t="s">
        <v>6675</v>
      </c>
      <c r="L1181" s="25" t="s">
        <v>6254</v>
      </c>
      <c r="M1181" s="25" t="s">
        <v>63</v>
      </c>
      <c r="N1181" s="25" t="s">
        <v>6676</v>
      </c>
    </row>
    <row r="1182" ht="20" customHeight="1" spans="1:14" x14ac:dyDescent="0.25">
      <c r="A1182" s="21" t="s">
        <v>6677</v>
      </c>
      <c r="B1182" s="21" t="s">
        <v>2436</v>
      </c>
      <c r="C1182" s="22" t="s">
        <v>3890</v>
      </c>
      <c r="D1182" s="30">
        <v>225</v>
      </c>
      <c r="E1182" s="31">
        <v>1125</v>
      </c>
      <c r="F1182" s="22" t="s">
        <v>2643</v>
      </c>
      <c r="G1182" s="21" t="s">
        <v>6674</v>
      </c>
      <c r="H1182" s="21" t="s">
        <v>2996</v>
      </c>
      <c r="I1182" s="21" t="s">
        <v>63</v>
      </c>
      <c r="J1182" s="21" t="s">
        <v>20</v>
      </c>
      <c r="K1182" s="22" t="s">
        <v>6675</v>
      </c>
      <c r="L1182" s="22" t="s">
        <v>6254</v>
      </c>
      <c r="M1182" s="22" t="s">
        <v>63</v>
      </c>
      <c r="N1182" s="22" t="s">
        <v>6676</v>
      </c>
    </row>
    <row r="1183" ht="20" customHeight="1" spans="1:14" s="23" customFormat="1" x14ac:dyDescent="0.25">
      <c r="A1183" s="24" t="s">
        <v>6678</v>
      </c>
      <c r="B1183" s="24" t="s">
        <v>2430</v>
      </c>
      <c r="C1183" s="25" t="s">
        <v>5604</v>
      </c>
      <c r="D1183" s="32">
        <v>500</v>
      </c>
      <c r="E1183" s="33">
        <v>1800</v>
      </c>
      <c r="F1183" s="25" t="s">
        <v>5605</v>
      </c>
      <c r="G1183" s="24" t="s">
        <v>6679</v>
      </c>
      <c r="H1183" s="24" t="s">
        <v>2996</v>
      </c>
      <c r="I1183" s="24" t="s">
        <v>63</v>
      </c>
      <c r="J1183" s="24" t="s">
        <v>20</v>
      </c>
      <c r="K1183" s="25" t="s">
        <v>63</v>
      </c>
      <c r="L1183" s="25" t="s">
        <v>63</v>
      </c>
      <c r="M1183" s="25" t="s">
        <v>6680</v>
      </c>
      <c r="N1183" s="25" t="s">
        <v>6681</v>
      </c>
    </row>
    <row r="1184" ht="20" customHeight="1" spans="1:14" x14ac:dyDescent="0.25">
      <c r="A1184" s="21" t="s">
        <v>6682</v>
      </c>
      <c r="B1184" s="21" t="s">
        <v>2430</v>
      </c>
      <c r="C1184" s="22" t="s">
        <v>63</v>
      </c>
      <c r="D1184" s="30">
        <v>160</v>
      </c>
      <c r="E1184" s="31">
        <v>1216</v>
      </c>
      <c r="F1184" s="22" t="s">
        <v>5605</v>
      </c>
      <c r="G1184" s="21" t="s">
        <v>6679</v>
      </c>
      <c r="H1184" s="21" t="s">
        <v>2996</v>
      </c>
      <c r="I1184" s="21" t="s">
        <v>63</v>
      </c>
      <c r="J1184" s="21" t="s">
        <v>20</v>
      </c>
      <c r="K1184" s="22" t="s">
        <v>63</v>
      </c>
      <c r="L1184" s="22" t="s">
        <v>63</v>
      </c>
      <c r="M1184" s="22" t="s">
        <v>6680</v>
      </c>
      <c r="N1184" s="22" t="s">
        <v>6681</v>
      </c>
    </row>
    <row r="1185" ht="20" customHeight="1" spans="1:14" s="23" customFormat="1" x14ac:dyDescent="0.25">
      <c r="A1185" s="24" t="s">
        <v>6683</v>
      </c>
      <c r="B1185" s="24" t="s">
        <v>2430</v>
      </c>
      <c r="C1185" s="25" t="s">
        <v>63</v>
      </c>
      <c r="D1185" s="32">
        <v>0</v>
      </c>
      <c r="E1185" s="33">
        <v>98.8</v>
      </c>
      <c r="F1185" s="25" t="s">
        <v>5605</v>
      </c>
      <c r="G1185" s="24" t="s">
        <v>6679</v>
      </c>
      <c r="H1185" s="24" t="s">
        <v>2996</v>
      </c>
      <c r="I1185" s="24" t="s">
        <v>63</v>
      </c>
      <c r="J1185" s="24" t="s">
        <v>20</v>
      </c>
      <c r="K1185" s="25" t="s">
        <v>63</v>
      </c>
      <c r="L1185" s="25" t="s">
        <v>63</v>
      </c>
      <c r="M1185" s="25" t="s">
        <v>63</v>
      </c>
      <c r="N1185" s="25" t="s">
        <v>6681</v>
      </c>
    </row>
    <row r="1186" ht="20" customHeight="1" spans="1:14" x14ac:dyDescent="0.25">
      <c r="A1186" s="21" t="s">
        <v>6684</v>
      </c>
      <c r="B1186" s="21" t="s">
        <v>2430</v>
      </c>
      <c r="C1186" s="22" t="s">
        <v>6685</v>
      </c>
      <c r="D1186" s="30">
        <v>300</v>
      </c>
      <c r="E1186" s="31">
        <v>3835.23</v>
      </c>
      <c r="F1186" s="22" t="s">
        <v>3365</v>
      </c>
      <c r="G1186" s="21" t="s">
        <v>6686</v>
      </c>
      <c r="H1186" s="21" t="s">
        <v>2996</v>
      </c>
      <c r="I1186" s="21" t="s">
        <v>63</v>
      </c>
      <c r="J1186" s="21" t="s">
        <v>20</v>
      </c>
      <c r="K1186" s="22" t="s">
        <v>63</v>
      </c>
      <c r="L1186" s="22" t="s">
        <v>63</v>
      </c>
      <c r="M1186" s="22" t="s">
        <v>6687</v>
      </c>
      <c r="N1186" s="22" t="s">
        <v>6688</v>
      </c>
    </row>
    <row r="1187" ht="20" customHeight="1" spans="1:14" s="23" customFormat="1" x14ac:dyDescent="0.25">
      <c r="A1187" s="24" t="s">
        <v>6689</v>
      </c>
      <c r="B1187" s="24" t="s">
        <v>2430</v>
      </c>
      <c r="C1187" s="25" t="s">
        <v>63</v>
      </c>
      <c r="D1187" s="32">
        <v>0</v>
      </c>
      <c r="E1187" s="33">
        <v>23475.52</v>
      </c>
      <c r="F1187" s="25" t="s">
        <v>4680</v>
      </c>
      <c r="G1187" s="24" t="s">
        <v>6686</v>
      </c>
      <c r="H1187" s="24" t="s">
        <v>2996</v>
      </c>
      <c r="I1187" s="24" t="s">
        <v>63</v>
      </c>
      <c r="J1187" s="24" t="s">
        <v>20</v>
      </c>
      <c r="K1187" s="25" t="s">
        <v>63</v>
      </c>
      <c r="L1187" s="25" t="s">
        <v>63</v>
      </c>
      <c r="M1187" s="25" t="s">
        <v>6687</v>
      </c>
      <c r="N1187" s="25" t="s">
        <v>6690</v>
      </c>
    </row>
    <row r="1188" ht="20" customHeight="1" spans="1:14" x14ac:dyDescent="0.25">
      <c r="A1188" s="21" t="s">
        <v>6691</v>
      </c>
      <c r="B1188" s="21" t="s">
        <v>6692</v>
      </c>
      <c r="C1188" s="22" t="s">
        <v>4516</v>
      </c>
      <c r="D1188" s="30">
        <v>270</v>
      </c>
      <c r="E1188" s="31">
        <v>1620</v>
      </c>
      <c r="F1188" s="22" t="s">
        <v>2561</v>
      </c>
      <c r="G1188" s="21" t="s">
        <v>6693</v>
      </c>
      <c r="H1188" s="21" t="s">
        <v>6694</v>
      </c>
      <c r="I1188" s="21" t="s">
        <v>6695</v>
      </c>
      <c r="J1188" s="21">
        <f>SE(I1188="","-",SE(DATA.VALOR(I1188)&lt;HOJE(),"VENCIDO",SE(DATA.VALOR(I1188)-HOJE()&lt;=30,"CRÍTICO (&lt;=30D)","REGULAR")))</f>
      </c>
      <c r="K1188" s="22" t="s">
        <v>63</v>
      </c>
      <c r="L1188" s="22" t="s">
        <v>63</v>
      </c>
      <c r="M1188" s="22" t="s">
        <v>6696</v>
      </c>
      <c r="N1188" s="22" t="s">
        <v>6697</v>
      </c>
    </row>
    <row r="1189" ht="20" customHeight="1" spans="1:14" s="23" customFormat="1" x14ac:dyDescent="0.25">
      <c r="A1189" s="24" t="s">
        <v>6698</v>
      </c>
      <c r="B1189" s="24" t="s">
        <v>6692</v>
      </c>
      <c r="C1189" s="25" t="s">
        <v>4524</v>
      </c>
      <c r="D1189" s="32">
        <v>240</v>
      </c>
      <c r="E1189" s="33">
        <v>1680</v>
      </c>
      <c r="F1189" s="25" t="s">
        <v>2561</v>
      </c>
      <c r="G1189" s="24" t="s">
        <v>6693</v>
      </c>
      <c r="H1189" s="24" t="s">
        <v>6694</v>
      </c>
      <c r="I1189" s="24" t="s">
        <v>6695</v>
      </c>
      <c r="J1189" s="24">
        <f>SE(I1189="","-",SE(DATA.VALOR(I1189)&lt;HOJE(),"VENCIDO",SE(DATA.VALOR(I1189)-HOJE()&lt;=30,"CRÍTICO (&lt;=30D)","REGULAR")))</f>
      </c>
      <c r="K1189" s="25" t="s">
        <v>63</v>
      </c>
      <c r="L1189" s="25" t="s">
        <v>63</v>
      </c>
      <c r="M1189" s="25" t="s">
        <v>6696</v>
      </c>
      <c r="N1189" s="25" t="s">
        <v>6699</v>
      </c>
    </row>
    <row r="1190" ht="20" customHeight="1" spans="1:14" x14ac:dyDescent="0.25">
      <c r="A1190" s="21" t="s">
        <v>6700</v>
      </c>
      <c r="B1190" s="21" t="s">
        <v>2444</v>
      </c>
      <c r="C1190" s="22" t="s">
        <v>4266</v>
      </c>
      <c r="D1190" s="30">
        <v>102</v>
      </c>
      <c r="E1190" s="31">
        <v>326.4</v>
      </c>
      <c r="F1190" s="22" t="s">
        <v>5252</v>
      </c>
      <c r="G1190" s="21" t="s">
        <v>2686</v>
      </c>
      <c r="H1190" s="21" t="s">
        <v>2996</v>
      </c>
      <c r="I1190" s="21" t="s">
        <v>63</v>
      </c>
      <c r="J1190" s="21" t="s">
        <v>20</v>
      </c>
      <c r="K1190" s="22" t="s">
        <v>63</v>
      </c>
      <c r="L1190" s="22" t="s">
        <v>63</v>
      </c>
      <c r="M1190" s="22" t="s">
        <v>63</v>
      </c>
      <c r="N1190" s="22" t="s">
        <v>6701</v>
      </c>
    </row>
    <row r="1191" ht="20" customHeight="1" spans="1:14" s="23" customFormat="1" x14ac:dyDescent="0.25">
      <c r="A1191" s="24" t="s">
        <v>6702</v>
      </c>
      <c r="B1191" s="24" t="s">
        <v>2444</v>
      </c>
      <c r="C1191" s="25" t="s">
        <v>4327</v>
      </c>
      <c r="D1191" s="32">
        <v>45</v>
      </c>
      <c r="E1191" s="33">
        <v>245.7</v>
      </c>
      <c r="F1191" s="25" t="s">
        <v>5252</v>
      </c>
      <c r="G1191" s="24" t="s">
        <v>2686</v>
      </c>
      <c r="H1191" s="24" t="s">
        <v>2996</v>
      </c>
      <c r="I1191" s="24" t="s">
        <v>63</v>
      </c>
      <c r="J1191" s="24" t="s">
        <v>20</v>
      </c>
      <c r="K1191" s="25" t="s">
        <v>63</v>
      </c>
      <c r="L1191" s="25" t="s">
        <v>63</v>
      </c>
      <c r="M1191" s="25" t="s">
        <v>63</v>
      </c>
      <c r="N1191" s="25" t="s">
        <v>6701</v>
      </c>
    </row>
    <row r="1192" ht="20" customHeight="1" spans="1:14" x14ac:dyDescent="0.25">
      <c r="A1192" s="21" t="s">
        <v>6703</v>
      </c>
      <c r="B1192" s="21" t="s">
        <v>2444</v>
      </c>
      <c r="C1192" s="22" t="s">
        <v>4274</v>
      </c>
      <c r="D1192" s="30">
        <v>140</v>
      </c>
      <c r="E1192" s="31">
        <v>588</v>
      </c>
      <c r="F1192" s="22" t="s">
        <v>5252</v>
      </c>
      <c r="G1192" s="21" t="s">
        <v>2686</v>
      </c>
      <c r="H1192" s="21" t="s">
        <v>2996</v>
      </c>
      <c r="I1192" s="21" t="s">
        <v>63</v>
      </c>
      <c r="J1192" s="21" t="s">
        <v>20</v>
      </c>
      <c r="K1192" s="22" t="s">
        <v>63</v>
      </c>
      <c r="L1192" s="22" t="s">
        <v>63</v>
      </c>
      <c r="M1192" s="22" t="s">
        <v>63</v>
      </c>
      <c r="N1192" s="22" t="s">
        <v>6701</v>
      </c>
    </row>
    <row r="1193" ht="20" customHeight="1" spans="1:14" s="23" customFormat="1" x14ac:dyDescent="0.25">
      <c r="A1193" s="24" t="s">
        <v>6704</v>
      </c>
      <c r="B1193" s="24" t="s">
        <v>2444</v>
      </c>
      <c r="C1193" s="25" t="s">
        <v>4305</v>
      </c>
      <c r="D1193" s="32">
        <v>97</v>
      </c>
      <c r="E1193" s="33">
        <v>329.8</v>
      </c>
      <c r="F1193" s="25" t="s">
        <v>5252</v>
      </c>
      <c r="G1193" s="24" t="s">
        <v>2686</v>
      </c>
      <c r="H1193" s="24" t="s">
        <v>2996</v>
      </c>
      <c r="I1193" s="24" t="s">
        <v>63</v>
      </c>
      <c r="J1193" s="24" t="s">
        <v>20</v>
      </c>
      <c r="K1193" s="25" t="s">
        <v>63</v>
      </c>
      <c r="L1193" s="25" t="s">
        <v>63</v>
      </c>
      <c r="M1193" s="25" t="s">
        <v>63</v>
      </c>
      <c r="N1193" s="25" t="s">
        <v>6701</v>
      </c>
    </row>
    <row r="1194" ht="20" customHeight="1" spans="1:14" x14ac:dyDescent="0.25">
      <c r="A1194" s="21" t="s">
        <v>6705</v>
      </c>
      <c r="B1194" s="21" t="s">
        <v>2444</v>
      </c>
      <c r="C1194" s="22" t="s">
        <v>2855</v>
      </c>
      <c r="D1194" s="30">
        <v>24</v>
      </c>
      <c r="E1194" s="31">
        <v>105.6</v>
      </c>
      <c r="F1194" s="22" t="s">
        <v>5252</v>
      </c>
      <c r="G1194" s="21" t="s">
        <v>2686</v>
      </c>
      <c r="H1194" s="21" t="s">
        <v>2996</v>
      </c>
      <c r="I1194" s="21" t="s">
        <v>63</v>
      </c>
      <c r="J1194" s="21" t="s">
        <v>20</v>
      </c>
      <c r="K1194" s="22" t="s">
        <v>63</v>
      </c>
      <c r="L1194" s="22" t="s">
        <v>63</v>
      </c>
      <c r="M1194" s="22" t="s">
        <v>63</v>
      </c>
      <c r="N1194" s="22" t="s">
        <v>6701</v>
      </c>
    </row>
    <row r="1195" ht="20" customHeight="1" spans="1:14" s="23" customFormat="1" x14ac:dyDescent="0.25">
      <c r="A1195" s="24" t="s">
        <v>6706</v>
      </c>
      <c r="B1195" s="24" t="s">
        <v>2444</v>
      </c>
      <c r="C1195" s="25" t="s">
        <v>2940</v>
      </c>
      <c r="D1195" s="32">
        <v>63</v>
      </c>
      <c r="E1195" s="33">
        <v>189</v>
      </c>
      <c r="F1195" s="25" t="s">
        <v>5252</v>
      </c>
      <c r="G1195" s="24" t="s">
        <v>2686</v>
      </c>
      <c r="H1195" s="24" t="s">
        <v>2996</v>
      </c>
      <c r="I1195" s="24" t="s">
        <v>63</v>
      </c>
      <c r="J1195" s="24" t="s">
        <v>20</v>
      </c>
      <c r="K1195" s="25" t="s">
        <v>63</v>
      </c>
      <c r="L1195" s="25" t="s">
        <v>63</v>
      </c>
      <c r="M1195" s="25" t="s">
        <v>63</v>
      </c>
      <c r="N1195" s="25" t="s">
        <v>6701</v>
      </c>
    </row>
    <row r="1196" ht="20" customHeight="1" spans="1:14" x14ac:dyDescent="0.25">
      <c r="A1196" s="21" t="s">
        <v>6707</v>
      </c>
      <c r="B1196" s="21" t="s">
        <v>1961</v>
      </c>
      <c r="C1196" s="22" t="s">
        <v>4338</v>
      </c>
      <c r="D1196" s="30">
        <v>75</v>
      </c>
      <c r="E1196" s="31">
        <v>337.5</v>
      </c>
      <c r="F1196" s="22" t="s">
        <v>2765</v>
      </c>
      <c r="G1196" s="21" t="s">
        <v>6708</v>
      </c>
      <c r="H1196" s="21" t="s">
        <v>6709</v>
      </c>
      <c r="I1196" s="21" t="s">
        <v>6710</v>
      </c>
      <c r="J1196" s="21">
        <f>SE(I1196="","-",SE(DATA.VALOR(I1196)&lt;HOJE(),"VENCIDO",SE(DATA.VALOR(I1196)-HOJE()&lt;=30,"CRÍTICO (&lt;=30D)","REGULAR")))</f>
      </c>
      <c r="K1196" s="22" t="s">
        <v>6711</v>
      </c>
      <c r="L1196" s="22" t="s">
        <v>6712</v>
      </c>
      <c r="M1196" s="22" t="s">
        <v>6713</v>
      </c>
      <c r="N1196" s="22" t="s">
        <v>6714</v>
      </c>
    </row>
    <row r="1197" ht="20" customHeight="1" spans="1:14" s="23" customFormat="1" x14ac:dyDescent="0.25">
      <c r="A1197" s="24" t="s">
        <v>6715</v>
      </c>
      <c r="B1197" s="24" t="s">
        <v>1961</v>
      </c>
      <c r="C1197" s="25" t="s">
        <v>4338</v>
      </c>
      <c r="D1197" s="32">
        <v>75</v>
      </c>
      <c r="E1197" s="33">
        <v>337.5</v>
      </c>
      <c r="F1197" s="25" t="s">
        <v>3100</v>
      </c>
      <c r="G1197" s="24" t="s">
        <v>6716</v>
      </c>
      <c r="H1197" s="24" t="s">
        <v>6709</v>
      </c>
      <c r="I1197" s="24" t="s">
        <v>6710</v>
      </c>
      <c r="J1197" s="24">
        <f>SE(I1197="","-",SE(DATA.VALOR(I1197)&lt;HOJE(),"VENCIDO",SE(DATA.VALOR(I1197)-HOJE()&lt;=30,"CRÍTICO (&lt;=30D)","REGULAR")))</f>
      </c>
      <c r="K1197" s="25" t="s">
        <v>6717</v>
      </c>
      <c r="L1197" s="25" t="s">
        <v>6718</v>
      </c>
      <c r="M1197" s="25" t="s">
        <v>6719</v>
      </c>
      <c r="N1197" s="25" t="s">
        <v>6720</v>
      </c>
    </row>
    <row r="1198" ht="20" customHeight="1" spans="1:14" x14ac:dyDescent="0.25">
      <c r="A1198" s="21" t="s">
        <v>6721</v>
      </c>
      <c r="B1198" s="21" t="s">
        <v>1961</v>
      </c>
      <c r="C1198" s="22" t="s">
        <v>4338</v>
      </c>
      <c r="D1198" s="30">
        <v>75</v>
      </c>
      <c r="E1198" s="31">
        <v>337.5</v>
      </c>
      <c r="F1198" s="22" t="s">
        <v>2994</v>
      </c>
      <c r="G1198" s="21" t="s">
        <v>6722</v>
      </c>
      <c r="H1198" s="21" t="s">
        <v>6709</v>
      </c>
      <c r="I1198" s="21" t="s">
        <v>6710</v>
      </c>
      <c r="J1198" s="21">
        <f>SE(I1198="","-",SE(DATA.VALOR(I1198)&lt;HOJE(),"VENCIDO",SE(DATA.VALOR(I1198)-HOJE()&lt;=30,"CRÍTICO (&lt;=30D)","REGULAR")))</f>
      </c>
      <c r="K1198" s="22" t="s">
        <v>63</v>
      </c>
      <c r="L1198" s="22" t="s">
        <v>63</v>
      </c>
      <c r="M1198" s="22" t="s">
        <v>6723</v>
      </c>
      <c r="N1198" s="22" t="s">
        <v>6724</v>
      </c>
    </row>
    <row r="1199" ht="20" customHeight="1" spans="1:14" s="23" customFormat="1" x14ac:dyDescent="0.25">
      <c r="A1199" s="24" t="s">
        <v>6725</v>
      </c>
      <c r="B1199" s="24" t="s">
        <v>2454</v>
      </c>
      <c r="C1199" s="25" t="s">
        <v>4276</v>
      </c>
      <c r="D1199" s="32">
        <v>159</v>
      </c>
      <c r="E1199" s="33">
        <v>636</v>
      </c>
      <c r="F1199" s="25" t="s">
        <v>2685</v>
      </c>
      <c r="G1199" s="24" t="s">
        <v>6726</v>
      </c>
      <c r="H1199" s="24" t="s">
        <v>2996</v>
      </c>
      <c r="I1199" s="24" t="s">
        <v>63</v>
      </c>
      <c r="J1199" s="24" t="s">
        <v>20</v>
      </c>
      <c r="K1199" s="25" t="s">
        <v>63</v>
      </c>
      <c r="L1199" s="25" t="s">
        <v>63</v>
      </c>
      <c r="M1199" s="25" t="s">
        <v>63</v>
      </c>
      <c r="N1199" s="25" t="s">
        <v>6727</v>
      </c>
    </row>
    <row r="1200" ht="20" customHeight="1" spans="1:14" x14ac:dyDescent="0.25">
      <c r="A1200" s="21" t="s">
        <v>6728</v>
      </c>
      <c r="B1200" s="21" t="s">
        <v>2454</v>
      </c>
      <c r="C1200" s="22" t="s">
        <v>4274</v>
      </c>
      <c r="D1200" s="30">
        <v>169</v>
      </c>
      <c r="E1200" s="31">
        <v>709.8</v>
      </c>
      <c r="F1200" s="22" t="s">
        <v>2685</v>
      </c>
      <c r="G1200" s="21" t="s">
        <v>6726</v>
      </c>
      <c r="H1200" s="21" t="s">
        <v>2996</v>
      </c>
      <c r="I1200" s="21" t="s">
        <v>63</v>
      </c>
      <c r="J1200" s="21" t="s">
        <v>20</v>
      </c>
      <c r="K1200" s="22" t="s">
        <v>63</v>
      </c>
      <c r="L1200" s="22" t="s">
        <v>63</v>
      </c>
      <c r="M1200" s="22" t="s">
        <v>63</v>
      </c>
      <c r="N1200" s="22" t="s">
        <v>6727</v>
      </c>
    </row>
    <row r="1201" ht="20" customHeight="1" spans="1:14" s="23" customFormat="1" x14ac:dyDescent="0.25">
      <c r="A1201" s="24" t="s">
        <v>6729</v>
      </c>
      <c r="B1201" s="24" t="s">
        <v>2454</v>
      </c>
      <c r="C1201" s="25" t="s">
        <v>4266</v>
      </c>
      <c r="D1201" s="32">
        <v>107</v>
      </c>
      <c r="E1201" s="33">
        <v>342.4</v>
      </c>
      <c r="F1201" s="25" t="s">
        <v>2685</v>
      </c>
      <c r="G1201" s="24" t="s">
        <v>6726</v>
      </c>
      <c r="H1201" s="24" t="s">
        <v>2996</v>
      </c>
      <c r="I1201" s="24" t="s">
        <v>63</v>
      </c>
      <c r="J1201" s="24" t="s">
        <v>20</v>
      </c>
      <c r="K1201" s="25" t="s">
        <v>63</v>
      </c>
      <c r="L1201" s="25" t="s">
        <v>63</v>
      </c>
      <c r="M1201" s="25" t="s">
        <v>63</v>
      </c>
      <c r="N1201" s="25" t="s">
        <v>6727</v>
      </c>
    </row>
    <row r="1202" ht="20" customHeight="1" spans="1:14" x14ac:dyDescent="0.25">
      <c r="A1202" s="21" t="s">
        <v>6730</v>
      </c>
      <c r="B1202" s="21" t="s">
        <v>2454</v>
      </c>
      <c r="C1202" s="22" t="s">
        <v>2940</v>
      </c>
      <c r="D1202" s="30">
        <v>73</v>
      </c>
      <c r="E1202" s="31">
        <v>219</v>
      </c>
      <c r="F1202" s="22" t="s">
        <v>2685</v>
      </c>
      <c r="G1202" s="21" t="s">
        <v>6726</v>
      </c>
      <c r="H1202" s="21" t="s">
        <v>2996</v>
      </c>
      <c r="I1202" s="21" t="s">
        <v>63</v>
      </c>
      <c r="J1202" s="21" t="s">
        <v>20</v>
      </c>
      <c r="K1202" s="22" t="s">
        <v>63</v>
      </c>
      <c r="L1202" s="22" t="s">
        <v>63</v>
      </c>
      <c r="M1202" s="22" t="s">
        <v>63</v>
      </c>
      <c r="N1202" s="22" t="s">
        <v>6727</v>
      </c>
    </row>
    <row r="1203" ht="20" customHeight="1" spans="1:14" s="23" customFormat="1" x14ac:dyDescent="0.25">
      <c r="A1203" s="24" t="s">
        <v>6731</v>
      </c>
      <c r="B1203" s="24" t="s">
        <v>2401</v>
      </c>
      <c r="C1203" s="25" t="s">
        <v>6553</v>
      </c>
      <c r="D1203" s="32">
        <v>640</v>
      </c>
      <c r="E1203" s="33">
        <v>7347.2</v>
      </c>
      <c r="F1203" s="25" t="s">
        <v>4633</v>
      </c>
      <c r="G1203" s="24" t="s">
        <v>6554</v>
      </c>
      <c r="H1203" s="24" t="s">
        <v>6171</v>
      </c>
      <c r="I1203" s="24" t="s">
        <v>6732</v>
      </c>
      <c r="J1203" s="24">
        <f>SE(I1203="","-",SE(DATA.VALOR(I1203)&lt;HOJE(),"VENCIDO",SE(DATA.VALOR(I1203)-HOJE()&lt;=30,"CRÍTICO (&lt;=30D)","REGULAR")))</f>
      </c>
      <c r="K1203" s="25" t="s">
        <v>63</v>
      </c>
      <c r="L1203" s="25" t="s">
        <v>63</v>
      </c>
      <c r="M1203" s="25" t="s">
        <v>6557</v>
      </c>
      <c r="N1203" s="25" t="s">
        <v>6733</v>
      </c>
    </row>
    <row r="1204" ht="20" customHeight="1" spans="1:14" x14ac:dyDescent="0.25">
      <c r="A1204" s="21" t="s">
        <v>6734</v>
      </c>
      <c r="B1204" s="21" t="s">
        <v>1961</v>
      </c>
      <c r="C1204" s="22" t="s">
        <v>5161</v>
      </c>
      <c r="D1204" s="30">
        <v>295</v>
      </c>
      <c r="E1204" s="31">
        <v>19175</v>
      </c>
      <c r="F1204" s="22" t="s">
        <v>4660</v>
      </c>
      <c r="G1204" s="21" t="s">
        <v>6735</v>
      </c>
      <c r="H1204" s="21" t="s">
        <v>6736</v>
      </c>
      <c r="I1204" s="21" t="s">
        <v>6737</v>
      </c>
      <c r="J1204" s="21">
        <f>SE(I1204="","-",SE(DATA.VALOR(I1204)&lt;HOJE(),"VENCIDO",SE(DATA.VALOR(I1204)-HOJE()&lt;=30,"CRÍTICO (&lt;=30D)","REGULAR")))</f>
      </c>
      <c r="K1204" s="22" t="s">
        <v>63</v>
      </c>
      <c r="L1204" s="22" t="s">
        <v>63</v>
      </c>
      <c r="M1204" s="22" t="s">
        <v>6738</v>
      </c>
      <c r="N1204" s="22" t="s">
        <v>6739</v>
      </c>
    </row>
    <row r="1205" ht="20" customHeight="1" spans="1:14" s="23" customFormat="1" x14ac:dyDescent="0.25">
      <c r="A1205" s="24" t="s">
        <v>6740</v>
      </c>
      <c r="B1205" s="24" t="s">
        <v>1961</v>
      </c>
      <c r="C1205" s="25" t="s">
        <v>4669</v>
      </c>
      <c r="D1205" s="32">
        <v>4000</v>
      </c>
      <c r="E1205" s="33">
        <v>20000</v>
      </c>
      <c r="F1205" s="25" t="s">
        <v>4660</v>
      </c>
      <c r="G1205" s="24" t="s">
        <v>6735</v>
      </c>
      <c r="H1205" s="24" t="s">
        <v>6741</v>
      </c>
      <c r="I1205" s="24" t="s">
        <v>6742</v>
      </c>
      <c r="J1205" s="24">
        <f>SE(I1205="","-",SE(DATA.VALOR(I1205)&lt;HOJE(),"VENCIDO",SE(DATA.VALOR(I1205)-HOJE()&lt;=30,"CRÍTICO (&lt;=30D)","REGULAR")))</f>
      </c>
      <c r="K1205" s="25" t="s">
        <v>63</v>
      </c>
      <c r="L1205" s="25" t="s">
        <v>63</v>
      </c>
      <c r="M1205" s="25" t="s">
        <v>6738</v>
      </c>
      <c r="N1205" s="25" t="s">
        <v>6743</v>
      </c>
    </row>
    <row r="1206" ht="20" customHeight="1" spans="1:14" x14ac:dyDescent="0.25">
      <c r="A1206" s="21" t="s">
        <v>6744</v>
      </c>
      <c r="B1206" s="21" t="s">
        <v>1961</v>
      </c>
      <c r="C1206" s="22" t="s">
        <v>4659</v>
      </c>
      <c r="D1206" s="30">
        <v>2000</v>
      </c>
      <c r="E1206" s="31">
        <v>10200</v>
      </c>
      <c r="F1206" s="22" t="s">
        <v>4660</v>
      </c>
      <c r="G1206" s="21" t="s">
        <v>6735</v>
      </c>
      <c r="H1206" s="21" t="s">
        <v>6745</v>
      </c>
      <c r="I1206" s="21" t="s">
        <v>6742</v>
      </c>
      <c r="J1206" s="21">
        <f>SE(I1206="","-",SE(DATA.VALOR(I1206)&lt;HOJE(),"VENCIDO",SE(DATA.VALOR(I1206)-HOJE()&lt;=30,"CRÍTICO (&lt;=30D)","REGULAR")))</f>
      </c>
      <c r="K1206" s="22" t="s">
        <v>63</v>
      </c>
      <c r="L1206" s="22" t="s">
        <v>63</v>
      </c>
      <c r="M1206" s="22" t="s">
        <v>6738</v>
      </c>
      <c r="N1206" s="22" t="s">
        <v>6746</v>
      </c>
    </row>
    <row r="1207" ht="20" customHeight="1" spans="1:14" s="23" customFormat="1" x14ac:dyDescent="0.25">
      <c r="A1207" s="24" t="s">
        <v>6747</v>
      </c>
      <c r="B1207" s="24" t="s">
        <v>1961</v>
      </c>
      <c r="C1207" s="25" t="s">
        <v>2855</v>
      </c>
      <c r="D1207" s="32">
        <v>24092026</v>
      </c>
      <c r="E1207" s="33">
        <v>105.6</v>
      </c>
      <c r="F1207" s="25" t="s">
        <v>4386</v>
      </c>
      <c r="G1207" s="24" t="s">
        <v>6748</v>
      </c>
      <c r="H1207" s="24" t="s">
        <v>6749</v>
      </c>
      <c r="I1207" s="24" t="s">
        <v>6750</v>
      </c>
      <c r="J1207" s="24">
        <f>SE(I1207="","-",SE(DATA.VALOR(I1207)&lt;HOJE(),"VENCIDO",SE(DATA.VALOR(I1207)-HOJE()&lt;=30,"CRÍTICO (&lt;=30D)","REGULAR")))</f>
      </c>
      <c r="K1207" s="25" t="s">
        <v>63</v>
      </c>
      <c r="L1207" s="25" t="s">
        <v>63</v>
      </c>
      <c r="M1207" s="25" t="s">
        <v>6751</v>
      </c>
      <c r="N1207" s="25" t="s">
        <v>6752</v>
      </c>
    </row>
    <row r="1208" ht="20" customHeight="1" spans="1:14" x14ac:dyDescent="0.25">
      <c r="A1208" s="21" t="s">
        <v>6753</v>
      </c>
      <c r="B1208" s="21" t="s">
        <v>1961</v>
      </c>
      <c r="C1208" s="22" t="s">
        <v>4266</v>
      </c>
      <c r="D1208" s="30">
        <v>101</v>
      </c>
      <c r="E1208" s="31">
        <v>323.2</v>
      </c>
      <c r="F1208" s="22" t="s">
        <v>4386</v>
      </c>
      <c r="G1208" s="21" t="s">
        <v>6748</v>
      </c>
      <c r="H1208" s="21" t="s">
        <v>6749</v>
      </c>
      <c r="I1208" s="21" t="s">
        <v>6750</v>
      </c>
      <c r="J1208" s="21">
        <f>SE(I1208="","-",SE(DATA.VALOR(I1208)&lt;HOJE(),"VENCIDO",SE(DATA.VALOR(I1208)-HOJE()&lt;=30,"CRÍTICO (&lt;=30D)","REGULAR")))</f>
      </c>
      <c r="K1208" s="22" t="s">
        <v>63</v>
      </c>
      <c r="L1208" s="22" t="s">
        <v>63</v>
      </c>
      <c r="M1208" s="22" t="s">
        <v>6751</v>
      </c>
      <c r="N1208" s="22" t="s">
        <v>6754</v>
      </c>
    </row>
    <row r="1209" ht="20" customHeight="1" spans="1:14" s="23" customFormat="1" x14ac:dyDescent="0.25">
      <c r="A1209" s="24" t="s">
        <v>6755</v>
      </c>
      <c r="B1209" s="24" t="s">
        <v>1961</v>
      </c>
      <c r="C1209" s="25" t="s">
        <v>2940</v>
      </c>
      <c r="D1209" s="32">
        <v>195</v>
      </c>
      <c r="E1209" s="33">
        <v>195</v>
      </c>
      <c r="F1209" s="25" t="s">
        <v>4386</v>
      </c>
      <c r="G1209" s="24" t="s">
        <v>6748</v>
      </c>
      <c r="H1209" s="24" t="s">
        <v>6749</v>
      </c>
      <c r="I1209" s="24" t="s">
        <v>6750</v>
      </c>
      <c r="J1209" s="24">
        <f>SE(I1209="","-",SE(DATA.VALOR(I1209)&lt;HOJE(),"VENCIDO",SE(DATA.VALOR(I1209)-HOJE()&lt;=30,"CRÍTICO (&lt;=30D)","REGULAR")))</f>
      </c>
      <c r="K1209" s="25" t="s">
        <v>63</v>
      </c>
      <c r="L1209" s="25" t="s">
        <v>63</v>
      </c>
      <c r="M1209" s="25" t="s">
        <v>6751</v>
      </c>
      <c r="N1209" s="25" t="s">
        <v>6756</v>
      </c>
    </row>
    <row r="1210" ht="20" customHeight="1" spans="1:14" x14ac:dyDescent="0.25">
      <c r="A1210" s="21" t="s">
        <v>6757</v>
      </c>
      <c r="B1210" s="21" t="s">
        <v>1961</v>
      </c>
      <c r="C1210" s="22" t="s">
        <v>6758</v>
      </c>
      <c r="D1210" s="30">
        <v>605</v>
      </c>
      <c r="E1210" s="31">
        <v>16819</v>
      </c>
      <c r="F1210" s="22" t="s">
        <v>2607</v>
      </c>
      <c r="G1210" s="21" t="s">
        <v>6759</v>
      </c>
      <c r="H1210" s="21" t="s">
        <v>6760</v>
      </c>
      <c r="I1210" s="21" t="s">
        <v>6761</v>
      </c>
      <c r="J1210" s="21">
        <f>SE(I1210="","-",SE(DATA.VALOR(I1210)&lt;HOJE(),"VENCIDO",SE(DATA.VALOR(I1210)-HOJE()&lt;=30,"CRÍTICO (&lt;=30D)","REGULAR")))</f>
      </c>
      <c r="K1210" s="22" t="s">
        <v>63</v>
      </c>
      <c r="L1210" s="22" t="s">
        <v>63</v>
      </c>
      <c r="M1210" s="22" t="s">
        <v>6762</v>
      </c>
      <c r="N1210" s="22" t="s">
        <v>6763</v>
      </c>
    </row>
    <row r="1211" ht="20" customHeight="1" spans="1:14" s="23" customFormat="1" x14ac:dyDescent="0.25">
      <c r="A1211" s="24" t="s">
        <v>6764</v>
      </c>
      <c r="B1211" s="24" t="s">
        <v>2364</v>
      </c>
      <c r="C1211" s="25" t="s">
        <v>5319</v>
      </c>
      <c r="D1211" s="32">
        <v>0</v>
      </c>
      <c r="E1211" s="33">
        <v>0</v>
      </c>
      <c r="F1211" s="25" t="s">
        <v>4642</v>
      </c>
      <c r="G1211" s="24" t="s">
        <v>6577</v>
      </c>
      <c r="H1211" s="24" t="s">
        <v>63</v>
      </c>
      <c r="I1211" s="24" t="s">
        <v>63</v>
      </c>
      <c r="J1211" s="24" t="s">
        <v>20</v>
      </c>
      <c r="K1211" s="25" t="s">
        <v>63</v>
      </c>
      <c r="L1211" s="25" t="s">
        <v>6579</v>
      </c>
      <c r="M1211" s="25" t="s">
        <v>63</v>
      </c>
      <c r="N1211" s="25" t="s">
        <v>6765</v>
      </c>
    </row>
    <row r="1212" ht="20" customHeight="1" spans="1:14" x14ac:dyDescent="0.25">
      <c r="A1212" s="21" t="s">
        <v>6766</v>
      </c>
      <c r="B1212" s="21" t="s">
        <v>2473</v>
      </c>
      <c r="C1212" s="22" t="s">
        <v>4318</v>
      </c>
      <c r="D1212" s="30">
        <v>182</v>
      </c>
      <c r="E1212" s="31">
        <v>764.4</v>
      </c>
      <c r="F1212" s="22" t="s">
        <v>2796</v>
      </c>
      <c r="G1212" s="21" t="s">
        <v>6767</v>
      </c>
      <c r="H1212" s="21" t="s">
        <v>6672</v>
      </c>
      <c r="I1212" s="21" t="s">
        <v>5167</v>
      </c>
      <c r="J1212" s="21">
        <f>SE(I1212="","-",SE(DATA.VALOR(I1212)&lt;HOJE(),"VENCIDO",SE(DATA.VALOR(I1212)-HOJE()&lt;=30,"CRÍTICO (&lt;=30D)","REGULAR")))</f>
      </c>
      <c r="K1212" s="22" t="s">
        <v>63</v>
      </c>
      <c r="L1212" s="22" t="s">
        <v>63</v>
      </c>
      <c r="M1212" s="22" t="s">
        <v>6768</v>
      </c>
      <c r="N1212" s="22" t="s">
        <v>6769</v>
      </c>
    </row>
    <row r="1213" ht="20" customHeight="1" spans="1:14" s="23" customFormat="1" x14ac:dyDescent="0.25">
      <c r="A1213" s="24" t="s">
        <v>6770</v>
      </c>
      <c r="B1213" s="24" t="s">
        <v>2473</v>
      </c>
      <c r="C1213" s="25" t="s">
        <v>4179</v>
      </c>
      <c r="D1213" s="32">
        <v>167</v>
      </c>
      <c r="E1213" s="33">
        <v>791.58</v>
      </c>
      <c r="F1213" s="25" t="s">
        <v>2796</v>
      </c>
      <c r="G1213" s="24" t="s">
        <v>6767</v>
      </c>
      <c r="H1213" s="24" t="s">
        <v>6672</v>
      </c>
      <c r="I1213" s="24" t="s">
        <v>6750</v>
      </c>
      <c r="J1213" s="24">
        <f>SE(I1213="","-",SE(DATA.VALOR(I1213)&lt;HOJE(),"VENCIDO",SE(DATA.VALOR(I1213)-HOJE()&lt;=30,"CRÍTICO (&lt;=30D)","REGULAR")))</f>
      </c>
      <c r="K1213" s="25" t="s">
        <v>63</v>
      </c>
      <c r="L1213" s="25" t="s">
        <v>63</v>
      </c>
      <c r="M1213" s="25" t="s">
        <v>6768</v>
      </c>
      <c r="N1213" s="25" t="s">
        <v>6769</v>
      </c>
    </row>
    <row r="1214" ht="20" customHeight="1" spans="1:14" x14ac:dyDescent="0.25">
      <c r="A1214" s="21" t="s">
        <v>6771</v>
      </c>
      <c r="B1214" s="21" t="s">
        <v>2483</v>
      </c>
      <c r="C1214" s="22" t="s">
        <v>4749</v>
      </c>
      <c r="D1214" s="30">
        <v>500</v>
      </c>
      <c r="E1214" s="31">
        <v>3090</v>
      </c>
      <c r="F1214" s="22" t="s">
        <v>4750</v>
      </c>
      <c r="G1214" s="21" t="s">
        <v>6772</v>
      </c>
      <c r="H1214" s="21" t="s">
        <v>6773</v>
      </c>
      <c r="I1214" s="21" t="s">
        <v>6774</v>
      </c>
      <c r="J1214" s="21">
        <f>SE(I1214="","-",SE(DATA.VALOR(I1214)&lt;HOJE(),"VENCIDO",SE(DATA.VALOR(I1214)-HOJE()&lt;=30,"CRÍTICO (&lt;=30D)","REGULAR")))</f>
      </c>
      <c r="K1214" s="22" t="s">
        <v>63</v>
      </c>
      <c r="L1214" s="22" t="s">
        <v>63</v>
      </c>
      <c r="M1214" s="22" t="s">
        <v>6775</v>
      </c>
      <c r="N1214" s="22" t="s">
        <v>6776</v>
      </c>
    </row>
    <row r="1215" ht="20" customHeight="1" spans="1:14" s="23" customFormat="1" x14ac:dyDescent="0.25">
      <c r="A1215" s="24" t="s">
        <v>6777</v>
      </c>
      <c r="B1215" s="24" t="s">
        <v>2483</v>
      </c>
      <c r="C1215" s="25" t="s">
        <v>5657</v>
      </c>
      <c r="D1215" s="32">
        <v>50</v>
      </c>
      <c r="E1215" s="33">
        <v>540</v>
      </c>
      <c r="F1215" s="25" t="s">
        <v>4750</v>
      </c>
      <c r="G1215" s="24" t="s">
        <v>6778</v>
      </c>
      <c r="H1215" s="24" t="s">
        <v>6779</v>
      </c>
      <c r="I1215" s="24" t="s">
        <v>6780</v>
      </c>
      <c r="J1215" s="24">
        <f>SE(I1215="","-",SE(DATA.VALOR(I1215)&lt;HOJE(),"VENCIDO",SE(DATA.VALOR(I1215)-HOJE()&lt;=30,"CRÍTICO (&lt;=30D)","REGULAR")))</f>
      </c>
      <c r="K1215" s="25" t="s">
        <v>63</v>
      </c>
      <c r="L1215" s="25" t="s">
        <v>63</v>
      </c>
      <c r="M1215" s="25" t="s">
        <v>6781</v>
      </c>
      <c r="N1215" s="25" t="s">
        <v>6782</v>
      </c>
    </row>
    <row r="1216" ht="20" customHeight="1" spans="1:14" x14ac:dyDescent="0.25">
      <c r="A1216" s="21" t="s">
        <v>6783</v>
      </c>
      <c r="B1216" s="21" t="s">
        <v>2483</v>
      </c>
      <c r="C1216" s="22" t="s">
        <v>6784</v>
      </c>
      <c r="D1216" s="30">
        <v>150</v>
      </c>
      <c r="E1216" s="31">
        <v>2247</v>
      </c>
      <c r="F1216" s="22" t="s">
        <v>4750</v>
      </c>
      <c r="G1216" s="21" t="s">
        <v>6778</v>
      </c>
      <c r="H1216" s="21" t="s">
        <v>6785</v>
      </c>
      <c r="I1216" s="21" t="s">
        <v>6786</v>
      </c>
      <c r="J1216" s="21">
        <f>SE(I1216="","-",SE(DATA.VALOR(I1216)&lt;HOJE(),"VENCIDO",SE(DATA.VALOR(I1216)-HOJE()&lt;=30,"CRÍTICO (&lt;=30D)","REGULAR")))</f>
      </c>
      <c r="K1216" s="22" t="s">
        <v>63</v>
      </c>
      <c r="L1216" s="22" t="s">
        <v>63</v>
      </c>
      <c r="M1216" s="22" t="s">
        <v>6781</v>
      </c>
      <c r="N1216" s="22" t="s">
        <v>6787</v>
      </c>
    </row>
    <row r="1217" ht="20" customHeight="1" spans="1:14" s="23" customFormat="1" x14ac:dyDescent="0.25">
      <c r="A1217" s="24" t="s">
        <v>6788</v>
      </c>
      <c r="B1217" s="24" t="s">
        <v>2483</v>
      </c>
      <c r="C1217" s="25" t="s">
        <v>5648</v>
      </c>
      <c r="D1217" s="32">
        <v>50</v>
      </c>
      <c r="E1217" s="33">
        <v>500</v>
      </c>
      <c r="F1217" s="25" t="s">
        <v>4750</v>
      </c>
      <c r="G1217" s="24" t="s">
        <v>6778</v>
      </c>
      <c r="H1217" s="24" t="s">
        <v>6789</v>
      </c>
      <c r="I1217" s="24" t="s">
        <v>6790</v>
      </c>
      <c r="J1217" s="24">
        <f>SE(I1217="","-",SE(DATA.VALOR(I1217)&lt;HOJE(),"VENCIDO",SE(DATA.VALOR(I1217)-HOJE()&lt;=30,"CRÍTICO (&lt;=30D)","REGULAR")))</f>
      </c>
      <c r="K1217" s="25" t="s">
        <v>63</v>
      </c>
      <c r="L1217" s="25" t="s">
        <v>63</v>
      </c>
      <c r="M1217" s="25" t="s">
        <v>6781</v>
      </c>
      <c r="N1217" s="25" t="s">
        <v>6791</v>
      </c>
    </row>
    <row r="1218" ht="20" customHeight="1" spans="1:14" x14ac:dyDescent="0.25">
      <c r="A1218" s="21" t="s">
        <v>6792</v>
      </c>
      <c r="B1218" s="21" t="s">
        <v>2494</v>
      </c>
      <c r="C1218" s="22" t="s">
        <v>5852</v>
      </c>
      <c r="D1218" s="30">
        <v>3000</v>
      </c>
      <c r="E1218" s="31">
        <v>7500</v>
      </c>
      <c r="F1218" s="22" t="s">
        <v>5853</v>
      </c>
      <c r="G1218" s="21" t="s">
        <v>3088</v>
      </c>
      <c r="H1218" s="21" t="s">
        <v>6793</v>
      </c>
      <c r="I1218" s="21" t="s">
        <v>6794</v>
      </c>
      <c r="J1218" s="21">
        <f>SE(I1218="","-",SE(DATA.VALOR(I1218)&lt;HOJE(),"VENCIDO",SE(DATA.VALOR(I1218)-HOJE()&lt;=30,"CRÍTICO (&lt;=30D)","REGULAR")))</f>
      </c>
      <c r="K1218" s="22" t="s">
        <v>63</v>
      </c>
      <c r="L1218" s="22" t="s">
        <v>63</v>
      </c>
      <c r="M1218" s="22" t="s">
        <v>6795</v>
      </c>
      <c r="N1218" s="22" t="s">
        <v>6796</v>
      </c>
    </row>
    <row r="1219" ht="20" customHeight="1" spans="1:14" s="23" customFormat="1" x14ac:dyDescent="0.25">
      <c r="A1219" s="24" t="s">
        <v>6797</v>
      </c>
      <c r="B1219" s="24" t="s">
        <v>2313</v>
      </c>
      <c r="C1219" s="25" t="s">
        <v>6798</v>
      </c>
      <c r="D1219" s="32">
        <v>1800</v>
      </c>
      <c r="E1219" s="33">
        <v>11196</v>
      </c>
      <c r="F1219" s="25" t="s">
        <v>6799</v>
      </c>
      <c r="G1219" s="24" t="s">
        <v>6800</v>
      </c>
      <c r="H1219" s="24" t="s">
        <v>6514</v>
      </c>
      <c r="I1219" s="24" t="s">
        <v>6548</v>
      </c>
      <c r="J1219" s="24">
        <f>SE(I1219="","-",SE(DATA.VALOR(I1219)&lt;HOJE(),"VENCIDO",SE(DATA.VALOR(I1219)-HOJE()&lt;=30,"CRÍTICO (&lt;=30D)","REGULAR")))</f>
      </c>
      <c r="K1219" s="25" t="s">
        <v>63</v>
      </c>
      <c r="L1219" s="25" t="s">
        <v>63</v>
      </c>
      <c r="M1219" s="25" t="s">
        <v>6801</v>
      </c>
      <c r="N1219" s="25" t="s">
        <v>6802</v>
      </c>
    </row>
    <row r="1220" ht="20" customHeight="1" spans="1:14" x14ac:dyDescent="0.25">
      <c r="A1220" s="21" t="s">
        <v>6803</v>
      </c>
      <c r="B1220" s="21" t="s">
        <v>2313</v>
      </c>
      <c r="C1220" s="22" t="s">
        <v>6804</v>
      </c>
      <c r="D1220" s="30">
        <v>98.9</v>
      </c>
      <c r="E1220" s="31">
        <v>3164.8</v>
      </c>
      <c r="F1220" s="22" t="s">
        <v>6799</v>
      </c>
      <c r="G1220" s="21" t="s">
        <v>6800</v>
      </c>
      <c r="H1220" s="21" t="s">
        <v>6514</v>
      </c>
      <c r="I1220" s="21" t="s">
        <v>6548</v>
      </c>
      <c r="J1220" s="21">
        <f>SE(I1220="","-",SE(DATA.VALOR(I1220)&lt;HOJE(),"VENCIDO",SE(DATA.VALOR(I1220)-HOJE()&lt;=30,"CRÍTICO (&lt;=30D)","REGULAR")))</f>
      </c>
      <c r="K1220" s="22" t="s">
        <v>63</v>
      </c>
      <c r="L1220" s="22" t="s">
        <v>63</v>
      </c>
      <c r="M1220" s="22" t="s">
        <v>6801</v>
      </c>
      <c r="N1220" s="22" t="s">
        <v>6805</v>
      </c>
    </row>
    <row r="1221" ht="24" customHeight="1" spans="1:14" s="34" customFormat="1" x14ac:dyDescent="0.25">
      <c r="A1221" s="35" t="s">
        <v>6806</v>
      </c>
      <c r="B1221" s="36" t="s">
        <v>63</v>
      </c>
      <c r="C1221" s="36" t="s">
        <v>63</v>
      </c>
      <c r="D1221" s="37">
        <f>SOMA(D4:D1220)</f>
      </c>
      <c r="E1221" s="38">
        <f>SOMA(E4:E1220)</f>
      </c>
      <c r="F1221" s="36" t="s">
        <v>63</v>
      </c>
      <c r="G1221" s="36" t="s">
        <v>63</v>
      </c>
      <c r="H1221" s="36" t="s">
        <v>63</v>
      </c>
      <c r="I1221" s="36" t="s">
        <v>63</v>
      </c>
      <c r="J1221" s="36" t="s">
        <v>63</v>
      </c>
      <c r="K1221" s="36" t="s">
        <v>63</v>
      </c>
      <c r="L1221" s="36" t="s">
        <v>63</v>
      </c>
      <c r="M1221" s="36" t="s">
        <v>63</v>
      </c>
      <c r="N1221" s="36" t="s">
        <v>63</v>
      </c>
    </row>
  </sheetData>
  <autoFilter ref="A3:N1220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8" width="50" customWidth="1"/>
  </cols>
  <sheetData>
    <row r="1" ht="30" customHeight="1" spans="1:8" s="39" customFormat="1" x14ac:dyDescent="0.25">
      <c r="A1" s="39" t="s">
        <v>6807</v>
      </c>
      <c r="B1" s="39"/>
      <c r="C1" s="39"/>
      <c r="D1" s="39"/>
      <c r="E1" s="39"/>
      <c r="F1" s="39"/>
      <c r="G1" s="39"/>
      <c r="H1" s="39"/>
    </row>
    <row r="2" ht="18" customHeight="1" spans="1:8" s="40" customFormat="1" x14ac:dyDescent="0.25">
      <c r="A2" s="40" t="s">
        <v>6808</v>
      </c>
      <c r="B2" s="40"/>
      <c r="C2" s="40"/>
      <c r="D2" s="40"/>
      <c r="E2" s="40"/>
      <c r="F2" s="40"/>
      <c r="G2" s="40"/>
      <c r="H2" s="40"/>
    </row>
    <row r="3" ht="28" customHeight="1" spans="1:8" s="41" customFormat="1" x14ac:dyDescent="0.25">
      <c r="A3" s="42" t="s">
        <v>6809</v>
      </c>
      <c r="B3" s="42" t="s">
        <v>33</v>
      </c>
      <c r="C3" s="42" t="s">
        <v>6810</v>
      </c>
      <c r="D3" s="42" t="s">
        <v>6811</v>
      </c>
      <c r="E3" s="42" t="s">
        <v>6812</v>
      </c>
      <c r="F3" s="42" t="s">
        <v>6813</v>
      </c>
      <c r="G3" s="42" t="s">
        <v>6814</v>
      </c>
      <c r="H3" s="42" t="s">
        <v>47</v>
      </c>
    </row>
    <row r="4" ht="20" customHeight="1" spans="1:8" x14ac:dyDescent="0.25">
      <c r="A4" s="22" t="s">
        <v>6815</v>
      </c>
      <c r="B4" s="22" t="s">
        <v>2665</v>
      </c>
      <c r="C4" s="22" t="s">
        <v>3483</v>
      </c>
      <c r="D4" s="30">
        <v>1</v>
      </c>
      <c r="E4" s="22" t="s">
        <v>6816</v>
      </c>
      <c r="F4" s="22" t="s">
        <v>6817</v>
      </c>
      <c r="G4" s="22" t="s">
        <v>6818</v>
      </c>
      <c r="H4" s="22" t="s">
        <v>6819</v>
      </c>
    </row>
    <row r="5" ht="20" customHeight="1" spans="1:8" s="23" customFormat="1" x14ac:dyDescent="0.25">
      <c r="A5" s="25" t="s">
        <v>6815</v>
      </c>
      <c r="B5" s="25" t="s">
        <v>2665</v>
      </c>
      <c r="C5" s="25" t="s">
        <v>6820</v>
      </c>
      <c r="D5" s="32">
        <v>2</v>
      </c>
      <c r="E5" s="25" t="s">
        <v>6816</v>
      </c>
      <c r="F5" s="25" t="s">
        <v>6817</v>
      </c>
      <c r="G5" s="25" t="s">
        <v>6818</v>
      </c>
      <c r="H5" s="25" t="s">
        <v>6819</v>
      </c>
    </row>
    <row r="6" ht="20" customHeight="1" spans="1:8" x14ac:dyDescent="0.25">
      <c r="A6" s="22" t="s">
        <v>6815</v>
      </c>
      <c r="B6" s="22" t="s">
        <v>2665</v>
      </c>
      <c r="C6" s="22" t="s">
        <v>3593</v>
      </c>
      <c r="D6" s="30">
        <v>3</v>
      </c>
      <c r="E6" s="22" t="s">
        <v>6816</v>
      </c>
      <c r="F6" s="22" t="s">
        <v>6817</v>
      </c>
      <c r="G6" s="22" t="s">
        <v>6818</v>
      </c>
      <c r="H6" s="22" t="s">
        <v>6819</v>
      </c>
    </row>
    <row r="7" ht="20" customHeight="1" spans="1:8" s="23" customFormat="1" x14ac:dyDescent="0.25">
      <c r="A7" s="25" t="s">
        <v>6821</v>
      </c>
      <c r="B7" s="25" t="s">
        <v>2665</v>
      </c>
      <c r="C7" s="25" t="s">
        <v>2666</v>
      </c>
      <c r="D7" s="32">
        <v>1</v>
      </c>
      <c r="E7" s="25" t="s">
        <v>6816</v>
      </c>
      <c r="F7" s="25" t="s">
        <v>6817</v>
      </c>
      <c r="G7" s="25" t="s">
        <v>6818</v>
      </c>
      <c r="H7" s="25" t="s">
        <v>6819</v>
      </c>
    </row>
    <row r="8" ht="20" customHeight="1" spans="1:8" x14ac:dyDescent="0.25">
      <c r="A8" s="22" t="s">
        <v>6821</v>
      </c>
      <c r="B8" s="22" t="s">
        <v>2665</v>
      </c>
      <c r="C8" s="22" t="s">
        <v>2709</v>
      </c>
      <c r="D8" s="30">
        <v>2</v>
      </c>
      <c r="E8" s="22" t="s">
        <v>6816</v>
      </c>
      <c r="F8" s="22" t="s">
        <v>6817</v>
      </c>
      <c r="G8" s="22" t="s">
        <v>6818</v>
      </c>
      <c r="H8" s="22" t="s">
        <v>6819</v>
      </c>
    </row>
    <row r="9" ht="20" customHeight="1" spans="1:8" s="23" customFormat="1" x14ac:dyDescent="0.25">
      <c r="A9" s="25" t="s">
        <v>6821</v>
      </c>
      <c r="B9" s="25" t="s">
        <v>2665</v>
      </c>
      <c r="C9" s="25" t="s">
        <v>2834</v>
      </c>
      <c r="D9" s="32">
        <v>3</v>
      </c>
      <c r="E9" s="25" t="s">
        <v>6816</v>
      </c>
      <c r="F9" s="25" t="s">
        <v>6817</v>
      </c>
      <c r="G9" s="25" t="s">
        <v>6818</v>
      </c>
      <c r="H9" s="25" t="s">
        <v>6819</v>
      </c>
    </row>
    <row r="10" ht="20" customHeight="1" spans="1:8" x14ac:dyDescent="0.25">
      <c r="A10" s="22" t="s">
        <v>6821</v>
      </c>
      <c r="B10" s="22" t="s">
        <v>2665</v>
      </c>
      <c r="C10" s="22" t="s">
        <v>2624</v>
      </c>
      <c r="D10" s="30">
        <v>3</v>
      </c>
      <c r="E10" s="22" t="s">
        <v>6816</v>
      </c>
      <c r="F10" s="22" t="s">
        <v>6817</v>
      </c>
      <c r="G10" s="22" t="s">
        <v>6818</v>
      </c>
      <c r="H10" s="22" t="s">
        <v>6819</v>
      </c>
    </row>
    <row r="11" ht="20" customHeight="1" spans="1:8" s="23" customFormat="1" x14ac:dyDescent="0.25">
      <c r="A11" s="25" t="s">
        <v>6821</v>
      </c>
      <c r="B11" s="25" t="s">
        <v>2665</v>
      </c>
      <c r="C11" s="25" t="s">
        <v>2606</v>
      </c>
      <c r="D11" s="32">
        <v>2</v>
      </c>
      <c r="E11" s="25" t="s">
        <v>6816</v>
      </c>
      <c r="F11" s="25" t="s">
        <v>6817</v>
      </c>
      <c r="G11" s="25" t="s">
        <v>6818</v>
      </c>
      <c r="H11" s="25" t="s">
        <v>6819</v>
      </c>
    </row>
    <row r="12" ht="20" customHeight="1" spans="1:8" x14ac:dyDescent="0.25">
      <c r="A12" s="22" t="s">
        <v>6821</v>
      </c>
      <c r="B12" s="22" t="s">
        <v>2665</v>
      </c>
      <c r="C12" s="22" t="s">
        <v>3364</v>
      </c>
      <c r="D12" s="30">
        <v>3</v>
      </c>
      <c r="E12" s="22" t="s">
        <v>6816</v>
      </c>
      <c r="F12" s="22" t="s">
        <v>6817</v>
      </c>
      <c r="G12" s="22" t="s">
        <v>6818</v>
      </c>
      <c r="H12" s="22" t="s">
        <v>6819</v>
      </c>
    </row>
    <row r="13" ht="20" customHeight="1" spans="1:8" s="23" customFormat="1" x14ac:dyDescent="0.25">
      <c r="A13" s="25" t="s">
        <v>6822</v>
      </c>
      <c r="B13" s="25" t="s">
        <v>2665</v>
      </c>
      <c r="C13" s="25" t="s">
        <v>6820</v>
      </c>
      <c r="D13" s="32">
        <v>10</v>
      </c>
      <c r="E13" s="25" t="s">
        <v>6823</v>
      </c>
      <c r="F13" s="25" t="s">
        <v>6817</v>
      </c>
      <c r="G13" s="25" t="s">
        <v>6818</v>
      </c>
      <c r="H13" s="25" t="s">
        <v>6819</v>
      </c>
    </row>
    <row r="14" ht="20" customHeight="1" spans="1:8" x14ac:dyDescent="0.25">
      <c r="A14" s="22" t="s">
        <v>6822</v>
      </c>
      <c r="B14" s="22" t="s">
        <v>2665</v>
      </c>
      <c r="C14" s="22" t="s">
        <v>3593</v>
      </c>
      <c r="D14" s="30">
        <v>1</v>
      </c>
      <c r="E14" s="22" t="s">
        <v>6823</v>
      </c>
      <c r="F14" s="22" t="s">
        <v>6817</v>
      </c>
      <c r="G14" s="22" t="s">
        <v>6818</v>
      </c>
      <c r="H14" s="22" t="s">
        <v>6819</v>
      </c>
    </row>
    <row r="15" ht="20" customHeight="1" spans="1:8" s="23" customFormat="1" x14ac:dyDescent="0.25">
      <c r="A15" s="25" t="s">
        <v>6822</v>
      </c>
      <c r="B15" s="25" t="s">
        <v>2665</v>
      </c>
      <c r="C15" s="25" t="s">
        <v>3254</v>
      </c>
      <c r="D15" s="32">
        <v>1</v>
      </c>
      <c r="E15" s="25" t="s">
        <v>6823</v>
      </c>
      <c r="F15" s="25" t="s">
        <v>6817</v>
      </c>
      <c r="G15" s="25" t="s">
        <v>6818</v>
      </c>
      <c r="H15" s="25" t="s">
        <v>6819</v>
      </c>
    </row>
    <row r="16" ht="20" customHeight="1" spans="1:8" x14ac:dyDescent="0.25">
      <c r="A16" s="22" t="s">
        <v>6822</v>
      </c>
      <c r="B16" s="22" t="s">
        <v>2665</v>
      </c>
      <c r="C16" s="22" t="s">
        <v>2529</v>
      </c>
      <c r="D16" s="30">
        <v>1</v>
      </c>
      <c r="E16" s="22" t="s">
        <v>6823</v>
      </c>
      <c r="F16" s="22" t="s">
        <v>6817</v>
      </c>
      <c r="G16" s="22" t="s">
        <v>6818</v>
      </c>
      <c r="H16" s="22" t="s">
        <v>6819</v>
      </c>
    </row>
    <row r="17" ht="20" customHeight="1" spans="1:8" s="23" customFormat="1" x14ac:dyDescent="0.25">
      <c r="A17" s="25" t="s">
        <v>6822</v>
      </c>
      <c r="B17" s="25" t="s">
        <v>2665</v>
      </c>
      <c r="C17" s="25" t="s">
        <v>3449</v>
      </c>
      <c r="D17" s="32">
        <v>2</v>
      </c>
      <c r="E17" s="25" t="s">
        <v>6823</v>
      </c>
      <c r="F17" s="25" t="s">
        <v>6817</v>
      </c>
      <c r="G17" s="25" t="s">
        <v>6818</v>
      </c>
      <c r="H17" s="25" t="s">
        <v>6819</v>
      </c>
    </row>
  </sheetData>
  <autoFilter ref="A3:H17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workbookViewId="0"/>
  </sheetViews>
  <sheetFormatPr defaultRowHeight="15" outlineLevelRow="0" outlineLevelCol="0" x14ac:dyDescent="55"/>
  <cols>
    <col min="1" max="10" width="50" customWidth="1"/>
  </cols>
  <sheetData>
    <row r="1" ht="30" customHeight="1" spans="1:10" s="43" customFormat="1" x14ac:dyDescent="0.25">
      <c r="A1" s="43" t="s">
        <v>6824</v>
      </c>
      <c r="B1" s="43"/>
      <c r="C1" s="43"/>
      <c r="D1" s="43"/>
      <c r="E1" s="43"/>
      <c r="F1" s="43"/>
      <c r="G1" s="43"/>
      <c r="H1" s="43"/>
      <c r="I1" s="43"/>
      <c r="J1" s="43"/>
    </row>
    <row r="2" ht="18" customHeight="1" spans="1:10" s="44" customFormat="1" x14ac:dyDescent="0.25">
      <c r="A2" s="44" t="s">
        <v>6825</v>
      </c>
      <c r="B2" s="44"/>
      <c r="C2" s="44"/>
      <c r="D2" s="44"/>
      <c r="E2" s="44"/>
      <c r="F2" s="44"/>
      <c r="G2" s="44"/>
      <c r="H2" s="44"/>
      <c r="I2" s="44"/>
      <c r="J2" s="44"/>
    </row>
    <row r="3" ht="28" customHeight="1" spans="1:10" s="45" customFormat="1" x14ac:dyDescent="0.25">
      <c r="A3" s="46" t="s">
        <v>6826</v>
      </c>
      <c r="B3" s="46" t="s">
        <v>6827</v>
      </c>
      <c r="C3" s="46" t="s">
        <v>6828</v>
      </c>
      <c r="D3" s="46" t="s">
        <v>6829</v>
      </c>
      <c r="E3" s="46" t="s">
        <v>6830</v>
      </c>
      <c r="F3" s="46" t="s">
        <v>6831</v>
      </c>
      <c r="G3" s="46" t="s">
        <v>6832</v>
      </c>
      <c r="H3" s="46" t="s">
        <v>6833</v>
      </c>
      <c r="I3" s="46" t="s">
        <v>6834</v>
      </c>
      <c r="J3" s="46" t="s">
        <v>47</v>
      </c>
    </row>
    <row r="4" ht="20" customHeight="1" spans="1:10" x14ac:dyDescent="0.25">
      <c r="A4" s="22" t="s">
        <v>6835</v>
      </c>
      <c r="B4" s="21" t="s">
        <v>6836</v>
      </c>
      <c r="C4" s="21" t="s">
        <v>63</v>
      </c>
      <c r="D4" s="22" t="s">
        <v>63</v>
      </c>
      <c r="E4" s="22" t="s">
        <v>63</v>
      </c>
      <c r="F4" s="31">
        <v>0</v>
      </c>
      <c r="G4" s="21">
        <v>0</v>
      </c>
      <c r="H4" s="21">
        <v>1</v>
      </c>
      <c r="I4" s="21" t="s">
        <v>6837</v>
      </c>
      <c r="J4" s="22" t="s">
        <v>63</v>
      </c>
    </row>
    <row r="5" ht="20" customHeight="1" spans="1:10" s="23" customFormat="1" x14ac:dyDescent="0.25">
      <c r="A5" s="25" t="s">
        <v>5252</v>
      </c>
      <c r="B5" s="24" t="s">
        <v>6838</v>
      </c>
      <c r="C5" s="24" t="s">
        <v>6839</v>
      </c>
      <c r="D5" s="25" t="s">
        <v>1549</v>
      </c>
      <c r="E5" s="25" t="s">
        <v>6840</v>
      </c>
      <c r="F5" s="33">
        <v>0</v>
      </c>
      <c r="G5" s="24">
        <v>0</v>
      </c>
      <c r="H5" s="24">
        <v>14</v>
      </c>
      <c r="I5" s="24" t="s">
        <v>6841</v>
      </c>
      <c r="J5" s="25" t="s">
        <v>63</v>
      </c>
    </row>
    <row r="6" ht="20" customHeight="1" spans="1:10" x14ac:dyDescent="0.25">
      <c r="A6" s="22" t="s">
        <v>2898</v>
      </c>
      <c r="B6" s="21" t="s">
        <v>6842</v>
      </c>
      <c r="C6" s="21" t="s">
        <v>63</v>
      </c>
      <c r="D6" s="22" t="s">
        <v>63</v>
      </c>
      <c r="E6" s="22" t="s">
        <v>63</v>
      </c>
      <c r="F6" s="31">
        <v>0</v>
      </c>
      <c r="G6" s="21">
        <v>0</v>
      </c>
      <c r="H6" s="21">
        <v>21</v>
      </c>
      <c r="I6" s="21" t="s">
        <v>6843</v>
      </c>
      <c r="J6" s="22" t="s">
        <v>63</v>
      </c>
    </row>
    <row r="7" ht="20" customHeight="1" spans="1:10" s="23" customFormat="1" x14ac:dyDescent="0.25">
      <c r="A7" s="25" t="s">
        <v>4730</v>
      </c>
      <c r="B7" s="24" t="s">
        <v>6844</v>
      </c>
      <c r="C7" s="24" t="s">
        <v>6839</v>
      </c>
      <c r="D7" s="25" t="s">
        <v>6845</v>
      </c>
      <c r="E7" s="25" t="s">
        <v>6846</v>
      </c>
      <c r="F7" s="33">
        <v>0</v>
      </c>
      <c r="G7" s="24">
        <v>0</v>
      </c>
      <c r="H7" s="24">
        <v>41</v>
      </c>
      <c r="I7" s="24" t="s">
        <v>6847</v>
      </c>
      <c r="J7" s="25" t="s">
        <v>63</v>
      </c>
    </row>
    <row r="8" ht="20" customHeight="1" spans="1:10" x14ac:dyDescent="0.25">
      <c r="A8" s="22" t="s">
        <v>3230</v>
      </c>
      <c r="B8" s="21" t="s">
        <v>6848</v>
      </c>
      <c r="C8" s="21" t="s">
        <v>63</v>
      </c>
      <c r="D8" s="22" t="s">
        <v>63</v>
      </c>
      <c r="E8" s="22" t="s">
        <v>63</v>
      </c>
      <c r="F8" s="31">
        <v>0</v>
      </c>
      <c r="G8" s="21">
        <v>0</v>
      </c>
      <c r="H8" s="21">
        <v>7</v>
      </c>
      <c r="I8" s="21" t="s">
        <v>6849</v>
      </c>
      <c r="J8" s="22" t="s">
        <v>63</v>
      </c>
    </row>
    <row r="9" ht="20" customHeight="1" spans="1:10" s="23" customFormat="1" x14ac:dyDescent="0.25">
      <c r="A9" s="25" t="s">
        <v>2796</v>
      </c>
      <c r="B9" s="24" t="s">
        <v>6850</v>
      </c>
      <c r="C9" s="24" t="s">
        <v>63</v>
      </c>
      <c r="D9" s="25" t="s">
        <v>63</v>
      </c>
      <c r="E9" s="25" t="s">
        <v>63</v>
      </c>
      <c r="F9" s="33">
        <v>0</v>
      </c>
      <c r="G9" s="24">
        <v>0</v>
      </c>
      <c r="H9" s="24">
        <v>15</v>
      </c>
      <c r="I9" s="24" t="s">
        <v>6851</v>
      </c>
      <c r="J9" s="25" t="s">
        <v>63</v>
      </c>
    </row>
    <row r="10" ht="20" customHeight="1" spans="1:10" x14ac:dyDescent="0.25">
      <c r="A10" s="22" t="s">
        <v>2863</v>
      </c>
      <c r="B10" s="21" t="s">
        <v>6852</v>
      </c>
      <c r="C10" s="21" t="s">
        <v>63</v>
      </c>
      <c r="D10" s="22" t="s">
        <v>63</v>
      </c>
      <c r="E10" s="22" t="s">
        <v>63</v>
      </c>
      <c r="F10" s="31">
        <v>0</v>
      </c>
      <c r="G10" s="21">
        <v>0</v>
      </c>
      <c r="H10" s="21">
        <v>6</v>
      </c>
      <c r="I10" s="21" t="s">
        <v>6853</v>
      </c>
      <c r="J10" s="22" t="s">
        <v>63</v>
      </c>
    </row>
    <row r="11" ht="20" customHeight="1" spans="1:10" s="23" customFormat="1" x14ac:dyDescent="0.25">
      <c r="A11" s="25" t="s">
        <v>2561</v>
      </c>
      <c r="B11" s="24" t="s">
        <v>6854</v>
      </c>
      <c r="C11" s="24" t="s">
        <v>63</v>
      </c>
      <c r="D11" s="25" t="s">
        <v>63</v>
      </c>
      <c r="E11" s="25" t="s">
        <v>63</v>
      </c>
      <c r="F11" s="33">
        <v>0</v>
      </c>
      <c r="G11" s="24">
        <v>0</v>
      </c>
      <c r="H11" s="24">
        <v>23</v>
      </c>
      <c r="I11" s="24" t="s">
        <v>6855</v>
      </c>
      <c r="J11" s="25" t="s">
        <v>63</v>
      </c>
    </row>
    <row r="12" ht="20" customHeight="1" spans="1:10" x14ac:dyDescent="0.25">
      <c r="A12" s="22" t="s">
        <v>2552</v>
      </c>
      <c r="B12" s="21" t="s">
        <v>6856</v>
      </c>
      <c r="C12" s="21" t="s">
        <v>63</v>
      </c>
      <c r="D12" s="22" t="s">
        <v>63</v>
      </c>
      <c r="E12" s="22" t="s">
        <v>63</v>
      </c>
      <c r="F12" s="31">
        <v>0</v>
      </c>
      <c r="G12" s="21">
        <v>0</v>
      </c>
      <c r="H12" s="21">
        <v>4</v>
      </c>
      <c r="I12" s="21" t="s">
        <v>6857</v>
      </c>
      <c r="J12" s="22" t="s">
        <v>63</v>
      </c>
    </row>
    <row r="13" ht="20" customHeight="1" spans="1:10" s="23" customFormat="1" x14ac:dyDescent="0.25">
      <c r="A13" s="25" t="s">
        <v>4750</v>
      </c>
      <c r="B13" s="24" t="s">
        <v>6858</v>
      </c>
      <c r="C13" s="24" t="s">
        <v>6859</v>
      </c>
      <c r="D13" s="25" t="s">
        <v>6860</v>
      </c>
      <c r="E13" s="25" t="s">
        <v>6861</v>
      </c>
      <c r="F13" s="33">
        <v>0</v>
      </c>
      <c r="G13" s="24">
        <v>0</v>
      </c>
      <c r="H13" s="24">
        <v>17</v>
      </c>
      <c r="I13" s="24" t="s">
        <v>6862</v>
      </c>
      <c r="J13" s="25" t="s">
        <v>63</v>
      </c>
    </row>
    <row r="14" ht="20" customHeight="1" spans="1:10" x14ac:dyDescent="0.25">
      <c r="A14" s="22" t="s">
        <v>6799</v>
      </c>
      <c r="B14" s="21" t="s">
        <v>6863</v>
      </c>
      <c r="C14" s="21" t="s">
        <v>6864</v>
      </c>
      <c r="D14" s="22" t="s">
        <v>6865</v>
      </c>
      <c r="E14" s="22" t="s">
        <v>6866</v>
      </c>
      <c r="F14" s="31">
        <v>0</v>
      </c>
      <c r="G14" s="21">
        <v>0</v>
      </c>
      <c r="H14" s="21">
        <v>2</v>
      </c>
      <c r="I14" s="21" t="s">
        <v>6857</v>
      </c>
      <c r="J14" s="22" t="s">
        <v>63</v>
      </c>
    </row>
    <row r="15" ht="20" customHeight="1" spans="1:10" s="23" customFormat="1" x14ac:dyDescent="0.25">
      <c r="A15" s="25" t="s">
        <v>2734</v>
      </c>
      <c r="B15" s="24" t="s">
        <v>6867</v>
      </c>
      <c r="C15" s="24" t="s">
        <v>63</v>
      </c>
      <c r="D15" s="25" t="s">
        <v>63</v>
      </c>
      <c r="E15" s="25" t="s">
        <v>63</v>
      </c>
      <c r="F15" s="33">
        <v>0</v>
      </c>
      <c r="G15" s="24">
        <v>0</v>
      </c>
      <c r="H15" s="24">
        <v>23</v>
      </c>
      <c r="I15" s="24" t="s">
        <v>6868</v>
      </c>
      <c r="J15" s="25" t="s">
        <v>63</v>
      </c>
    </row>
    <row r="16" ht="20" customHeight="1" spans="1:10" x14ac:dyDescent="0.25">
      <c r="A16" s="22" t="s">
        <v>4374</v>
      </c>
      <c r="B16" s="21" t="s">
        <v>6869</v>
      </c>
      <c r="C16" s="21" t="s">
        <v>6839</v>
      </c>
      <c r="D16" s="22" t="s">
        <v>1549</v>
      </c>
      <c r="E16" s="22" t="s">
        <v>6870</v>
      </c>
      <c r="F16" s="31">
        <v>0</v>
      </c>
      <c r="G16" s="21">
        <v>0</v>
      </c>
      <c r="H16" s="21">
        <v>20</v>
      </c>
      <c r="I16" s="21" t="s">
        <v>6871</v>
      </c>
      <c r="J16" s="22" t="s">
        <v>63</v>
      </c>
    </row>
    <row r="17" ht="20" customHeight="1" spans="1:10" s="23" customFormat="1" x14ac:dyDescent="0.25">
      <c r="A17" s="25" t="s">
        <v>2601</v>
      </c>
      <c r="B17" s="24" t="s">
        <v>6872</v>
      </c>
      <c r="C17" s="24" t="s">
        <v>6873</v>
      </c>
      <c r="D17" s="25" t="s">
        <v>6874</v>
      </c>
      <c r="E17" s="25" t="s">
        <v>6875</v>
      </c>
      <c r="F17" s="33">
        <v>0</v>
      </c>
      <c r="G17" s="24">
        <v>0</v>
      </c>
      <c r="H17" s="24">
        <v>0</v>
      </c>
      <c r="I17" s="24" t="s">
        <v>6876</v>
      </c>
      <c r="J17" s="25" t="s">
        <v>63</v>
      </c>
    </row>
    <row r="18" ht="20" customHeight="1" spans="1:10" x14ac:dyDescent="0.25">
      <c r="A18" s="22" t="s">
        <v>4068</v>
      </c>
      <c r="B18" s="21" t="s">
        <v>6877</v>
      </c>
      <c r="C18" s="21" t="s">
        <v>63</v>
      </c>
      <c r="D18" s="22" t="s">
        <v>63</v>
      </c>
      <c r="E18" s="22" t="s">
        <v>63</v>
      </c>
      <c r="F18" s="31">
        <v>0</v>
      </c>
      <c r="G18" s="21">
        <v>0</v>
      </c>
      <c r="H18" s="21">
        <v>2</v>
      </c>
      <c r="I18" s="21" t="s">
        <v>6857</v>
      </c>
      <c r="J18" s="22" t="s">
        <v>63</v>
      </c>
    </row>
    <row r="19" ht="20" customHeight="1" spans="1:10" s="23" customFormat="1" x14ac:dyDescent="0.25">
      <c r="A19" s="25" t="s">
        <v>5052</v>
      </c>
      <c r="B19" s="24" t="s">
        <v>6878</v>
      </c>
      <c r="C19" s="24" t="s">
        <v>6839</v>
      </c>
      <c r="D19" s="25" t="s">
        <v>6879</v>
      </c>
      <c r="E19" s="25" t="s">
        <v>6880</v>
      </c>
      <c r="F19" s="33">
        <v>0</v>
      </c>
      <c r="G19" s="24">
        <v>0</v>
      </c>
      <c r="H19" s="24">
        <v>25</v>
      </c>
      <c r="I19" s="24" t="s">
        <v>6881</v>
      </c>
      <c r="J19" s="25" t="s">
        <v>63</v>
      </c>
    </row>
    <row r="20" ht="20" customHeight="1" spans="1:10" x14ac:dyDescent="0.25">
      <c r="A20" s="22" t="s">
        <v>3149</v>
      </c>
      <c r="B20" s="21" t="s">
        <v>6882</v>
      </c>
      <c r="C20" s="21" t="s">
        <v>63</v>
      </c>
      <c r="D20" s="22" t="s">
        <v>63</v>
      </c>
      <c r="E20" s="22" t="s">
        <v>63</v>
      </c>
      <c r="F20" s="31">
        <v>0</v>
      </c>
      <c r="G20" s="21">
        <v>0</v>
      </c>
      <c r="H20" s="21">
        <v>8</v>
      </c>
      <c r="I20" s="21" t="s">
        <v>6883</v>
      </c>
      <c r="J20" s="22" t="s">
        <v>63</v>
      </c>
    </row>
    <row r="21" ht="20" customHeight="1" spans="1:10" s="23" customFormat="1" x14ac:dyDescent="0.25">
      <c r="A21" s="25" t="s">
        <v>2787</v>
      </c>
      <c r="B21" s="24" t="s">
        <v>6884</v>
      </c>
      <c r="C21" s="24" t="s">
        <v>63</v>
      </c>
      <c r="D21" s="25" t="s">
        <v>63</v>
      </c>
      <c r="E21" s="25" t="s">
        <v>63</v>
      </c>
      <c r="F21" s="33">
        <v>0</v>
      </c>
      <c r="G21" s="24">
        <v>0</v>
      </c>
      <c r="H21" s="24">
        <v>9</v>
      </c>
      <c r="I21" s="24" t="s">
        <v>6885</v>
      </c>
      <c r="J21" s="25" t="s">
        <v>63</v>
      </c>
    </row>
    <row r="22" ht="20" customHeight="1" spans="1:10" x14ac:dyDescent="0.25">
      <c r="A22" s="22" t="s">
        <v>2579</v>
      </c>
      <c r="B22" s="21" t="s">
        <v>6886</v>
      </c>
      <c r="C22" s="21" t="s">
        <v>63</v>
      </c>
      <c r="D22" s="22" t="s">
        <v>63</v>
      </c>
      <c r="E22" s="22" t="s">
        <v>63</v>
      </c>
      <c r="F22" s="31">
        <v>0</v>
      </c>
      <c r="G22" s="21">
        <v>0</v>
      </c>
      <c r="H22" s="21">
        <v>6</v>
      </c>
      <c r="I22" s="21" t="s">
        <v>6887</v>
      </c>
      <c r="J22" s="22" t="s">
        <v>63</v>
      </c>
    </row>
    <row r="23" ht="20" customHeight="1" spans="1:10" s="23" customFormat="1" x14ac:dyDescent="0.25">
      <c r="A23" s="25" t="s">
        <v>3324</v>
      </c>
      <c r="B23" s="24" t="s">
        <v>6888</v>
      </c>
      <c r="C23" s="24" t="s">
        <v>63</v>
      </c>
      <c r="D23" s="25" t="s">
        <v>63</v>
      </c>
      <c r="E23" s="25" t="s">
        <v>63</v>
      </c>
      <c r="F23" s="33">
        <v>0</v>
      </c>
      <c r="G23" s="24">
        <v>0</v>
      </c>
      <c r="H23" s="24">
        <v>2</v>
      </c>
      <c r="I23" s="24" t="s">
        <v>6857</v>
      </c>
      <c r="J23" s="25" t="s">
        <v>6889</v>
      </c>
    </row>
    <row r="24" ht="20" customHeight="1" spans="1:10" x14ac:dyDescent="0.25">
      <c r="A24" s="22" t="s">
        <v>2809</v>
      </c>
      <c r="B24" s="21" t="s">
        <v>6890</v>
      </c>
      <c r="C24" s="21" t="s">
        <v>63</v>
      </c>
      <c r="D24" s="22" t="s">
        <v>63</v>
      </c>
      <c r="E24" s="22" t="s">
        <v>63</v>
      </c>
      <c r="F24" s="31">
        <v>0</v>
      </c>
      <c r="G24" s="21">
        <v>0</v>
      </c>
      <c r="H24" s="21">
        <v>5</v>
      </c>
      <c r="I24" s="21" t="s">
        <v>6891</v>
      </c>
      <c r="J24" s="22" t="s">
        <v>63</v>
      </c>
    </row>
    <row r="25" ht="20" customHeight="1" spans="1:10" s="23" customFormat="1" x14ac:dyDescent="0.25">
      <c r="A25" s="25" t="s">
        <v>2774</v>
      </c>
      <c r="B25" s="24" t="s">
        <v>6892</v>
      </c>
      <c r="C25" s="24" t="s">
        <v>63</v>
      </c>
      <c r="D25" s="25" t="s">
        <v>63</v>
      </c>
      <c r="E25" s="25" t="s">
        <v>63</v>
      </c>
      <c r="F25" s="33">
        <v>0</v>
      </c>
      <c r="G25" s="24">
        <v>0</v>
      </c>
      <c r="H25" s="24">
        <v>5</v>
      </c>
      <c r="I25" s="24" t="s">
        <v>6893</v>
      </c>
      <c r="J25" s="25" t="s">
        <v>63</v>
      </c>
    </row>
    <row r="26" ht="20" customHeight="1" spans="1:10" x14ac:dyDescent="0.25">
      <c r="A26" s="22" t="s">
        <v>2765</v>
      </c>
      <c r="B26" s="21" t="s">
        <v>6894</v>
      </c>
      <c r="C26" s="21" t="s">
        <v>63</v>
      </c>
      <c r="D26" s="22" t="s">
        <v>63</v>
      </c>
      <c r="E26" s="22" t="s">
        <v>63</v>
      </c>
      <c r="F26" s="31">
        <v>0</v>
      </c>
      <c r="G26" s="21">
        <v>0</v>
      </c>
      <c r="H26" s="21">
        <v>10</v>
      </c>
      <c r="I26" s="21" t="s">
        <v>6885</v>
      </c>
      <c r="J26" s="22" t="s">
        <v>63</v>
      </c>
    </row>
    <row r="27" ht="20" customHeight="1" spans="1:10" s="23" customFormat="1" x14ac:dyDescent="0.25">
      <c r="A27" s="25" t="s">
        <v>3699</v>
      </c>
      <c r="B27" s="24" t="s">
        <v>6895</v>
      </c>
      <c r="C27" s="24" t="s">
        <v>63</v>
      </c>
      <c r="D27" s="25" t="s">
        <v>63</v>
      </c>
      <c r="E27" s="25" t="s">
        <v>63</v>
      </c>
      <c r="F27" s="33">
        <v>0</v>
      </c>
      <c r="G27" s="24">
        <v>0</v>
      </c>
      <c r="H27" s="24">
        <v>3</v>
      </c>
      <c r="I27" s="24" t="s">
        <v>6857</v>
      </c>
      <c r="J27" s="25" t="s">
        <v>63</v>
      </c>
    </row>
    <row r="28" ht="20" customHeight="1" spans="1:10" x14ac:dyDescent="0.25">
      <c r="A28" s="22" t="s">
        <v>2587</v>
      </c>
      <c r="B28" s="21" t="s">
        <v>6896</v>
      </c>
      <c r="C28" s="21" t="s">
        <v>63</v>
      </c>
      <c r="D28" s="22" t="s">
        <v>63</v>
      </c>
      <c r="E28" s="22" t="s">
        <v>63</v>
      </c>
      <c r="F28" s="31">
        <v>0</v>
      </c>
      <c r="G28" s="21">
        <v>0</v>
      </c>
      <c r="H28" s="21">
        <v>4</v>
      </c>
      <c r="I28" s="21" t="s">
        <v>6857</v>
      </c>
      <c r="J28" s="22" t="s">
        <v>63</v>
      </c>
    </row>
    <row r="29" ht="20" customHeight="1" spans="1:10" s="23" customFormat="1" x14ac:dyDescent="0.25">
      <c r="A29" s="25" t="s">
        <v>2685</v>
      </c>
      <c r="B29" s="24" t="s">
        <v>6897</v>
      </c>
      <c r="C29" s="24" t="s">
        <v>63</v>
      </c>
      <c r="D29" s="25" t="s">
        <v>63</v>
      </c>
      <c r="E29" s="25" t="s">
        <v>63</v>
      </c>
      <c r="F29" s="33">
        <v>0</v>
      </c>
      <c r="G29" s="24">
        <v>0</v>
      </c>
      <c r="H29" s="24">
        <v>24</v>
      </c>
      <c r="I29" s="24" t="s">
        <v>6898</v>
      </c>
      <c r="J29" s="25" t="s">
        <v>63</v>
      </c>
    </row>
    <row r="30" ht="20" customHeight="1" spans="1:10" x14ac:dyDescent="0.25">
      <c r="A30" s="22" t="s">
        <v>2700</v>
      </c>
      <c r="B30" s="21" t="s">
        <v>6899</v>
      </c>
      <c r="C30" s="21" t="s">
        <v>63</v>
      </c>
      <c r="D30" s="22" t="s">
        <v>63</v>
      </c>
      <c r="E30" s="22" t="s">
        <v>63</v>
      </c>
      <c r="F30" s="31">
        <v>0</v>
      </c>
      <c r="G30" s="21">
        <v>0</v>
      </c>
      <c r="H30" s="21">
        <v>26</v>
      </c>
      <c r="I30" s="21" t="s">
        <v>6900</v>
      </c>
      <c r="J30" s="22" t="s">
        <v>63</v>
      </c>
    </row>
    <row r="31" ht="20" customHeight="1" spans="1:10" s="23" customFormat="1" x14ac:dyDescent="0.25">
      <c r="A31" s="25" t="s">
        <v>3100</v>
      </c>
      <c r="B31" s="24" t="s">
        <v>6901</v>
      </c>
      <c r="C31" s="24" t="s">
        <v>63</v>
      </c>
      <c r="D31" s="25" t="s">
        <v>63</v>
      </c>
      <c r="E31" s="25" t="s">
        <v>63</v>
      </c>
      <c r="F31" s="33">
        <v>0</v>
      </c>
      <c r="G31" s="24">
        <v>0</v>
      </c>
      <c r="H31" s="24">
        <v>11</v>
      </c>
      <c r="I31" s="24" t="s">
        <v>6902</v>
      </c>
      <c r="J31" s="25" t="s">
        <v>63</v>
      </c>
    </row>
    <row r="32" ht="20" customHeight="1" spans="1:10" x14ac:dyDescent="0.25">
      <c r="A32" s="22" t="s">
        <v>3024</v>
      </c>
      <c r="B32" s="21" t="s">
        <v>6903</v>
      </c>
      <c r="C32" s="21" t="s">
        <v>63</v>
      </c>
      <c r="D32" s="22" t="s">
        <v>63</v>
      </c>
      <c r="E32" s="22" t="s">
        <v>63</v>
      </c>
      <c r="F32" s="31">
        <v>6730.6666484</v>
      </c>
      <c r="G32" s="21">
        <v>3</v>
      </c>
      <c r="H32" s="21">
        <v>2</v>
      </c>
      <c r="I32" s="21" t="s">
        <v>6904</v>
      </c>
      <c r="J32" s="22" t="s">
        <v>63</v>
      </c>
    </row>
    <row r="33" ht="20" customHeight="1" spans="1:10" s="23" customFormat="1" x14ac:dyDescent="0.25">
      <c r="A33" s="25" t="s">
        <v>4624</v>
      </c>
      <c r="B33" s="24" t="s">
        <v>6905</v>
      </c>
      <c r="C33" s="24" t="s">
        <v>6859</v>
      </c>
      <c r="D33" s="25" t="s">
        <v>6906</v>
      </c>
      <c r="E33" s="25" t="s">
        <v>6907</v>
      </c>
      <c r="F33" s="33">
        <v>0</v>
      </c>
      <c r="G33" s="24">
        <v>0</v>
      </c>
      <c r="H33" s="24">
        <v>2</v>
      </c>
      <c r="I33" s="24" t="s">
        <v>6908</v>
      </c>
      <c r="J33" s="25" t="s">
        <v>63</v>
      </c>
    </row>
    <row r="34" ht="20" customHeight="1" spans="1:10" x14ac:dyDescent="0.25">
      <c r="A34" s="22" t="s">
        <v>2757</v>
      </c>
      <c r="B34" s="21" t="s">
        <v>6909</v>
      </c>
      <c r="C34" s="21" t="s">
        <v>63</v>
      </c>
      <c r="D34" s="22" t="s">
        <v>63</v>
      </c>
      <c r="E34" s="22" t="s">
        <v>63</v>
      </c>
      <c r="F34" s="31">
        <v>2755.6666483999998</v>
      </c>
      <c r="G34" s="21">
        <v>2</v>
      </c>
      <c r="H34" s="21">
        <v>18</v>
      </c>
      <c r="I34" s="21" t="s">
        <v>6910</v>
      </c>
      <c r="J34" s="22" t="s">
        <v>63</v>
      </c>
    </row>
    <row r="35" ht="20" customHeight="1" spans="1:10" s="23" customFormat="1" x14ac:dyDescent="0.25">
      <c r="A35" s="25" t="s">
        <v>2652</v>
      </c>
      <c r="B35" s="24" t="s">
        <v>6911</v>
      </c>
      <c r="C35" s="24" t="s">
        <v>63</v>
      </c>
      <c r="D35" s="25" t="s">
        <v>63</v>
      </c>
      <c r="E35" s="25" t="s">
        <v>63</v>
      </c>
      <c r="F35" s="33">
        <v>0</v>
      </c>
      <c r="G35" s="24">
        <v>0</v>
      </c>
      <c r="H35" s="24">
        <v>17</v>
      </c>
      <c r="I35" s="24" t="s">
        <v>6843</v>
      </c>
      <c r="J35" s="25" t="s">
        <v>63</v>
      </c>
    </row>
    <row r="36" ht="20" customHeight="1" spans="1:10" x14ac:dyDescent="0.25">
      <c r="A36" s="22" t="s">
        <v>2516</v>
      </c>
      <c r="B36" s="21" t="s">
        <v>6912</v>
      </c>
      <c r="C36" s="21" t="s">
        <v>63</v>
      </c>
      <c r="D36" s="22" t="s">
        <v>63</v>
      </c>
      <c r="E36" s="22" t="s">
        <v>63</v>
      </c>
      <c r="F36" s="31">
        <v>0</v>
      </c>
      <c r="G36" s="21">
        <v>0</v>
      </c>
      <c r="H36" s="21">
        <v>3</v>
      </c>
      <c r="I36" s="21" t="s">
        <v>6857</v>
      </c>
      <c r="J36" s="22" t="s">
        <v>63</v>
      </c>
    </row>
    <row r="37" ht="20" customHeight="1" spans="1:10" s="23" customFormat="1" x14ac:dyDescent="0.25">
      <c r="A37" s="25" t="s">
        <v>3307</v>
      </c>
      <c r="B37" s="24" t="s">
        <v>6913</v>
      </c>
      <c r="C37" s="24" t="s">
        <v>63</v>
      </c>
      <c r="D37" s="25" t="s">
        <v>63</v>
      </c>
      <c r="E37" s="25" t="s">
        <v>63</v>
      </c>
      <c r="F37" s="33">
        <v>0</v>
      </c>
      <c r="G37" s="24">
        <v>0</v>
      </c>
      <c r="H37" s="24">
        <v>3</v>
      </c>
      <c r="I37" s="24" t="s">
        <v>6857</v>
      </c>
      <c r="J37" s="25" t="s">
        <v>63</v>
      </c>
    </row>
    <row r="38" ht="20" customHeight="1" spans="1:10" x14ac:dyDescent="0.25">
      <c r="A38" s="22" t="s">
        <v>2643</v>
      </c>
      <c r="B38" s="21" t="s">
        <v>6914</v>
      </c>
      <c r="C38" s="21" t="s">
        <v>63</v>
      </c>
      <c r="D38" s="22" t="s">
        <v>63</v>
      </c>
      <c r="E38" s="22" t="s">
        <v>63</v>
      </c>
      <c r="F38" s="31">
        <v>0</v>
      </c>
      <c r="G38" s="21">
        <v>0</v>
      </c>
      <c r="H38" s="21">
        <v>16</v>
      </c>
      <c r="I38" s="21" t="s">
        <v>6915</v>
      </c>
      <c r="J38" s="22" t="s">
        <v>63</v>
      </c>
    </row>
    <row r="39" ht="20" customHeight="1" spans="1:10" s="23" customFormat="1" x14ac:dyDescent="0.25">
      <c r="A39" s="25" t="s">
        <v>4698</v>
      </c>
      <c r="B39" s="24" t="s">
        <v>6916</v>
      </c>
      <c r="C39" s="24" t="s">
        <v>6839</v>
      </c>
      <c r="D39" s="25" t="s">
        <v>6860</v>
      </c>
      <c r="E39" s="25" t="s">
        <v>6917</v>
      </c>
      <c r="F39" s="33">
        <v>0</v>
      </c>
      <c r="G39" s="24">
        <v>0</v>
      </c>
      <c r="H39" s="24">
        <v>6</v>
      </c>
      <c r="I39" s="24" t="s">
        <v>6881</v>
      </c>
      <c r="J39" s="25" t="s">
        <v>63</v>
      </c>
    </row>
    <row r="40" ht="20" customHeight="1" spans="1:10" x14ac:dyDescent="0.25">
      <c r="A40" s="22" t="s">
        <v>4586</v>
      </c>
      <c r="B40" s="21" t="s">
        <v>6918</v>
      </c>
      <c r="C40" s="21" t="s">
        <v>6859</v>
      </c>
      <c r="D40" s="22" t="s">
        <v>1263</v>
      </c>
      <c r="E40" s="22" t="s">
        <v>6919</v>
      </c>
      <c r="F40" s="31">
        <v>0</v>
      </c>
      <c r="G40" s="21">
        <v>0</v>
      </c>
      <c r="H40" s="21">
        <v>2</v>
      </c>
      <c r="I40" s="21" t="s">
        <v>6920</v>
      </c>
      <c r="J40" s="22" t="s">
        <v>63</v>
      </c>
    </row>
    <row r="41" ht="20" customHeight="1" spans="1:10" s="23" customFormat="1" x14ac:dyDescent="0.25">
      <c r="A41" s="25" t="s">
        <v>2994</v>
      </c>
      <c r="B41" s="24" t="s">
        <v>6921</v>
      </c>
      <c r="C41" s="24" t="s">
        <v>63</v>
      </c>
      <c r="D41" s="25" t="s">
        <v>63</v>
      </c>
      <c r="E41" s="25" t="s">
        <v>63</v>
      </c>
      <c r="F41" s="33">
        <v>0</v>
      </c>
      <c r="G41" s="24">
        <v>0</v>
      </c>
      <c r="H41" s="24">
        <v>10</v>
      </c>
      <c r="I41" s="24" t="s">
        <v>6885</v>
      </c>
      <c r="J41" s="25" t="s">
        <v>63</v>
      </c>
    </row>
    <row r="42" ht="20" customHeight="1" spans="1:10" x14ac:dyDescent="0.25">
      <c r="A42" s="22" t="s">
        <v>3220</v>
      </c>
      <c r="B42" s="21" t="s">
        <v>6922</v>
      </c>
      <c r="C42" s="21" t="s">
        <v>63</v>
      </c>
      <c r="D42" s="22" t="s">
        <v>63</v>
      </c>
      <c r="E42" s="22" t="s">
        <v>63</v>
      </c>
      <c r="F42" s="31">
        <v>0</v>
      </c>
      <c r="G42" s="21">
        <v>0</v>
      </c>
      <c r="H42" s="21">
        <v>6</v>
      </c>
      <c r="I42" s="21" t="s">
        <v>6923</v>
      </c>
      <c r="J42" s="22" t="s">
        <v>63</v>
      </c>
    </row>
    <row r="43" ht="20" customHeight="1" spans="1:10" s="23" customFormat="1" x14ac:dyDescent="0.25">
      <c r="A43" s="25" t="s">
        <v>4386</v>
      </c>
      <c r="B43" s="24" t="s">
        <v>6924</v>
      </c>
      <c r="C43" s="24" t="s">
        <v>6839</v>
      </c>
      <c r="D43" s="25" t="s">
        <v>6925</v>
      </c>
      <c r="E43" s="25" t="s">
        <v>6926</v>
      </c>
      <c r="F43" s="33">
        <v>0</v>
      </c>
      <c r="G43" s="24">
        <v>0</v>
      </c>
      <c r="H43" s="24">
        <v>9</v>
      </c>
      <c r="I43" s="24" t="s">
        <v>6927</v>
      </c>
      <c r="J43" s="25" t="s">
        <v>63</v>
      </c>
    </row>
    <row r="44" ht="20" customHeight="1" spans="1:10" x14ac:dyDescent="0.25">
      <c r="A44" s="22" t="s">
        <v>2667</v>
      </c>
      <c r="B44" s="21" t="s">
        <v>6928</v>
      </c>
      <c r="C44" s="21" t="s">
        <v>63</v>
      </c>
      <c r="D44" s="22" t="s">
        <v>63</v>
      </c>
      <c r="E44" s="22" t="s">
        <v>63</v>
      </c>
      <c r="F44" s="31">
        <v>730.6666484</v>
      </c>
      <c r="G44" s="21">
        <v>1</v>
      </c>
      <c r="H44" s="21">
        <v>5</v>
      </c>
      <c r="I44" s="21" t="s">
        <v>6929</v>
      </c>
      <c r="J44" s="22" t="s">
        <v>63</v>
      </c>
    </row>
    <row r="45" ht="20" customHeight="1" spans="1:10" s="23" customFormat="1" x14ac:dyDescent="0.25">
      <c r="A45" s="25" t="s">
        <v>4564</v>
      </c>
      <c r="B45" s="24" t="s">
        <v>6930</v>
      </c>
      <c r="C45" s="24" t="s">
        <v>63</v>
      </c>
      <c r="D45" s="25" t="s">
        <v>63</v>
      </c>
      <c r="E45" s="25" t="s">
        <v>63</v>
      </c>
      <c r="F45" s="33">
        <v>0</v>
      </c>
      <c r="G45" s="24">
        <v>0</v>
      </c>
      <c r="H45" s="24">
        <v>2</v>
      </c>
      <c r="I45" s="24" t="s">
        <v>6857</v>
      </c>
      <c r="J45" s="25" t="s">
        <v>63</v>
      </c>
    </row>
    <row r="46" ht="20" customHeight="1" spans="1:10" x14ac:dyDescent="0.25">
      <c r="A46" s="22" t="s">
        <v>5326</v>
      </c>
      <c r="B46" s="21" t="s">
        <v>6931</v>
      </c>
      <c r="C46" s="21" t="s">
        <v>6932</v>
      </c>
      <c r="D46" s="22" t="s">
        <v>6933</v>
      </c>
      <c r="E46" s="22" t="s">
        <v>6934</v>
      </c>
      <c r="F46" s="31">
        <v>0</v>
      </c>
      <c r="G46" s="21">
        <v>0</v>
      </c>
      <c r="H46" s="21">
        <v>0</v>
      </c>
      <c r="I46" s="21" t="s">
        <v>6935</v>
      </c>
      <c r="J46" s="22" t="s">
        <v>63</v>
      </c>
    </row>
    <row r="47" ht="20" customHeight="1" spans="1:10" s="23" customFormat="1" x14ac:dyDescent="0.25">
      <c r="A47" s="25" t="s">
        <v>4774</v>
      </c>
      <c r="B47" s="24" t="s">
        <v>6936</v>
      </c>
      <c r="C47" s="24" t="s">
        <v>6839</v>
      </c>
      <c r="D47" s="25" t="s">
        <v>6937</v>
      </c>
      <c r="E47" s="25" t="s">
        <v>6938</v>
      </c>
      <c r="F47" s="33">
        <v>0</v>
      </c>
      <c r="G47" s="24">
        <v>0</v>
      </c>
      <c r="H47" s="24">
        <v>4</v>
      </c>
      <c r="I47" s="24" t="s">
        <v>6939</v>
      </c>
      <c r="J47" s="25" t="s">
        <v>63</v>
      </c>
    </row>
    <row r="48" ht="20" customHeight="1" spans="1:10" x14ac:dyDescent="0.25">
      <c r="A48" s="22" t="s">
        <v>2856</v>
      </c>
      <c r="B48" s="21" t="s">
        <v>6940</v>
      </c>
      <c r="C48" s="21" t="s">
        <v>63</v>
      </c>
      <c r="D48" s="22" t="s">
        <v>63</v>
      </c>
      <c r="E48" s="22" t="s">
        <v>63</v>
      </c>
      <c r="F48" s="31">
        <v>0</v>
      </c>
      <c r="G48" s="21">
        <v>0</v>
      </c>
      <c r="H48" s="21">
        <v>19</v>
      </c>
      <c r="I48" s="21" t="s">
        <v>6941</v>
      </c>
      <c r="J48" s="22" t="s">
        <v>63</v>
      </c>
    </row>
    <row r="49" ht="20" customHeight="1" spans="1:10" s="23" customFormat="1" x14ac:dyDescent="0.25">
      <c r="A49" s="25" t="s">
        <v>4781</v>
      </c>
      <c r="B49" s="24" t="s">
        <v>6942</v>
      </c>
      <c r="C49" s="24" t="s">
        <v>6839</v>
      </c>
      <c r="D49" s="25" t="s">
        <v>6937</v>
      </c>
      <c r="E49" s="25" t="s">
        <v>6943</v>
      </c>
      <c r="F49" s="33">
        <v>0</v>
      </c>
      <c r="G49" s="24">
        <v>0</v>
      </c>
      <c r="H49" s="24">
        <v>4</v>
      </c>
      <c r="I49" s="24" t="s">
        <v>6944</v>
      </c>
      <c r="J49" s="25" t="s">
        <v>63</v>
      </c>
    </row>
    <row r="50" ht="20" customHeight="1" spans="1:10" x14ac:dyDescent="0.25">
      <c r="A50" s="22" t="s">
        <v>4758</v>
      </c>
      <c r="B50" s="21" t="s">
        <v>6945</v>
      </c>
      <c r="C50" s="21" t="s">
        <v>6839</v>
      </c>
      <c r="D50" s="22" t="s">
        <v>6937</v>
      </c>
      <c r="E50" s="22" t="s">
        <v>6946</v>
      </c>
      <c r="F50" s="31">
        <v>0</v>
      </c>
      <c r="G50" s="21">
        <v>0</v>
      </c>
      <c r="H50" s="21">
        <v>4</v>
      </c>
      <c r="I50" s="21" t="s">
        <v>6939</v>
      </c>
      <c r="J50" s="22" t="s">
        <v>63</v>
      </c>
    </row>
    <row r="51" ht="20" customHeight="1" spans="1:10" s="23" customFormat="1" x14ac:dyDescent="0.25">
      <c r="A51" s="25" t="s">
        <v>3450</v>
      </c>
      <c r="B51" s="24" t="s">
        <v>6947</v>
      </c>
      <c r="C51" s="24" t="s">
        <v>63</v>
      </c>
      <c r="D51" s="25" t="s">
        <v>63</v>
      </c>
      <c r="E51" s="25" t="s">
        <v>63</v>
      </c>
      <c r="F51" s="33">
        <v>0</v>
      </c>
      <c r="G51" s="24">
        <v>0</v>
      </c>
      <c r="H51" s="24">
        <v>8</v>
      </c>
      <c r="I51" s="24" t="s">
        <v>6857</v>
      </c>
      <c r="J51" s="25" t="s">
        <v>6948</v>
      </c>
    </row>
    <row r="52" ht="20" customHeight="1" spans="1:10" x14ac:dyDescent="0.25">
      <c r="A52" s="22" t="s">
        <v>4633</v>
      </c>
      <c r="B52" s="21" t="s">
        <v>6949</v>
      </c>
      <c r="C52" s="21" t="s">
        <v>6859</v>
      </c>
      <c r="D52" s="22" t="s">
        <v>6950</v>
      </c>
      <c r="E52" s="22" t="s">
        <v>6951</v>
      </c>
      <c r="F52" s="31">
        <v>0</v>
      </c>
      <c r="G52" s="21">
        <v>0</v>
      </c>
      <c r="H52" s="21">
        <v>2</v>
      </c>
      <c r="I52" s="21" t="s">
        <v>6952</v>
      </c>
      <c r="J52" s="22" t="s">
        <v>63</v>
      </c>
    </row>
    <row r="53" ht="20" customHeight="1" spans="1:10" s="23" customFormat="1" x14ac:dyDescent="0.25">
      <c r="A53" s="25" t="s">
        <v>5605</v>
      </c>
      <c r="B53" s="24" t="s">
        <v>6953</v>
      </c>
      <c r="C53" s="24" t="s">
        <v>6954</v>
      </c>
      <c r="D53" s="25" t="s">
        <v>910</v>
      </c>
      <c r="E53" s="25" t="s">
        <v>6955</v>
      </c>
      <c r="F53" s="33">
        <v>0</v>
      </c>
      <c r="G53" s="24">
        <v>0</v>
      </c>
      <c r="H53" s="24">
        <v>7</v>
      </c>
      <c r="I53" s="24" t="s">
        <v>6857</v>
      </c>
      <c r="J53" s="25" t="s">
        <v>63</v>
      </c>
    </row>
    <row r="54" ht="20" customHeight="1" spans="1:10" x14ac:dyDescent="0.25">
      <c r="A54" s="22" t="s">
        <v>2607</v>
      </c>
      <c r="B54" s="21" t="s">
        <v>6956</v>
      </c>
      <c r="C54" s="21" t="s">
        <v>63</v>
      </c>
      <c r="D54" s="22" t="s">
        <v>63</v>
      </c>
      <c r="E54" s="22" t="s">
        <v>63</v>
      </c>
      <c r="F54" s="31">
        <v>0</v>
      </c>
      <c r="G54" s="21">
        <v>0</v>
      </c>
      <c r="H54" s="21">
        <v>11</v>
      </c>
      <c r="I54" s="21" t="s">
        <v>6857</v>
      </c>
      <c r="J54" s="22" t="s">
        <v>63</v>
      </c>
    </row>
    <row r="55" ht="20" customHeight="1" spans="1:10" s="23" customFormat="1" x14ac:dyDescent="0.25">
      <c r="A55" s="25" t="s">
        <v>4298</v>
      </c>
      <c r="B55" s="24" t="s">
        <v>6957</v>
      </c>
      <c r="C55" s="24" t="s">
        <v>6839</v>
      </c>
      <c r="D55" s="25" t="s">
        <v>6845</v>
      </c>
      <c r="E55" s="25" t="s">
        <v>6958</v>
      </c>
      <c r="F55" s="33">
        <v>0</v>
      </c>
      <c r="G55" s="24">
        <v>0</v>
      </c>
      <c r="H55" s="24">
        <v>42</v>
      </c>
      <c r="I55" s="24" t="s">
        <v>6959</v>
      </c>
      <c r="J55" s="25" t="s">
        <v>63</v>
      </c>
    </row>
    <row r="56" ht="20" customHeight="1" spans="1:10" x14ac:dyDescent="0.25">
      <c r="A56" s="22" t="s">
        <v>4416</v>
      </c>
      <c r="B56" s="21" t="s">
        <v>6960</v>
      </c>
      <c r="C56" s="21" t="s">
        <v>6859</v>
      </c>
      <c r="D56" s="22" t="s">
        <v>6961</v>
      </c>
      <c r="E56" s="22" t="s">
        <v>6962</v>
      </c>
      <c r="F56" s="31">
        <v>0</v>
      </c>
      <c r="G56" s="21">
        <v>0</v>
      </c>
      <c r="H56" s="21">
        <v>3</v>
      </c>
      <c r="I56" s="21" t="s">
        <v>6963</v>
      </c>
      <c r="J56" s="22" t="s">
        <v>63</v>
      </c>
    </row>
    <row r="57" ht="20" customHeight="1" spans="1:10" s="23" customFormat="1" x14ac:dyDescent="0.25">
      <c r="A57" s="25" t="s">
        <v>3296</v>
      </c>
      <c r="B57" s="24" t="s">
        <v>6964</v>
      </c>
      <c r="C57" s="24" t="s">
        <v>63</v>
      </c>
      <c r="D57" s="25" t="s">
        <v>63</v>
      </c>
      <c r="E57" s="25" t="s">
        <v>63</v>
      </c>
      <c r="F57" s="33">
        <v>0</v>
      </c>
      <c r="G57" s="24">
        <v>0</v>
      </c>
      <c r="H57" s="24">
        <v>1</v>
      </c>
      <c r="I57" s="24" t="s">
        <v>6857</v>
      </c>
      <c r="J57" s="25" t="s">
        <v>63</v>
      </c>
    </row>
    <row r="58" ht="20" customHeight="1" spans="1:10" x14ac:dyDescent="0.25">
      <c r="A58" s="22" t="s">
        <v>2717</v>
      </c>
      <c r="B58" s="21" t="s">
        <v>6965</v>
      </c>
      <c r="C58" s="21" t="s">
        <v>63</v>
      </c>
      <c r="D58" s="22" t="s">
        <v>63</v>
      </c>
      <c r="E58" s="22" t="s">
        <v>63</v>
      </c>
      <c r="F58" s="31">
        <v>6730.6666484</v>
      </c>
      <c r="G58" s="21">
        <v>3</v>
      </c>
      <c r="H58" s="21">
        <v>23</v>
      </c>
      <c r="I58" s="21" t="s">
        <v>6966</v>
      </c>
      <c r="J58" s="22" t="s">
        <v>63</v>
      </c>
    </row>
    <row r="59" ht="20" customHeight="1" spans="1:10" s="23" customFormat="1" x14ac:dyDescent="0.25">
      <c r="A59" s="25" t="s">
        <v>6967</v>
      </c>
      <c r="B59" s="24" t="s">
        <v>6968</v>
      </c>
      <c r="C59" s="24" t="s">
        <v>6969</v>
      </c>
      <c r="D59" s="25" t="s">
        <v>6970</v>
      </c>
      <c r="E59" s="25" t="s">
        <v>6971</v>
      </c>
      <c r="F59" s="33">
        <v>0</v>
      </c>
      <c r="G59" s="24">
        <v>0</v>
      </c>
      <c r="H59" s="24">
        <v>0</v>
      </c>
      <c r="I59" s="24" t="s">
        <v>6857</v>
      </c>
      <c r="J59" s="25" t="s">
        <v>63</v>
      </c>
    </row>
    <row r="60" ht="20" customHeight="1" spans="1:10" x14ac:dyDescent="0.25">
      <c r="A60" s="22" t="s">
        <v>4642</v>
      </c>
      <c r="B60" s="21" t="s">
        <v>6972</v>
      </c>
      <c r="C60" s="21" t="s">
        <v>6839</v>
      </c>
      <c r="D60" s="22" t="s">
        <v>1549</v>
      </c>
      <c r="E60" s="22" t="s">
        <v>6973</v>
      </c>
      <c r="F60" s="31">
        <v>0</v>
      </c>
      <c r="G60" s="21">
        <v>0</v>
      </c>
      <c r="H60" s="21">
        <v>10</v>
      </c>
      <c r="I60" s="21" t="s">
        <v>6959</v>
      </c>
      <c r="J60" s="22" t="s">
        <v>63</v>
      </c>
    </row>
    <row r="61" ht="20" customHeight="1" spans="1:10" s="23" customFormat="1" x14ac:dyDescent="0.25">
      <c r="A61" s="25" t="s">
        <v>3532</v>
      </c>
      <c r="B61" s="24" t="s">
        <v>6974</v>
      </c>
      <c r="C61" s="24" t="s">
        <v>63</v>
      </c>
      <c r="D61" s="25" t="s">
        <v>63</v>
      </c>
      <c r="E61" s="25" t="s">
        <v>63</v>
      </c>
      <c r="F61" s="33">
        <v>0</v>
      </c>
      <c r="G61" s="24">
        <v>0</v>
      </c>
      <c r="H61" s="24">
        <v>3</v>
      </c>
      <c r="I61" s="24" t="s">
        <v>6857</v>
      </c>
      <c r="J61" s="25" t="s">
        <v>6975</v>
      </c>
    </row>
    <row r="62" ht="20" customHeight="1" spans="1:10" x14ac:dyDescent="0.25">
      <c r="A62" s="22" t="s">
        <v>4680</v>
      </c>
      <c r="B62" s="21" t="s">
        <v>6976</v>
      </c>
      <c r="C62" s="21" t="s">
        <v>6859</v>
      </c>
      <c r="D62" s="22" t="s">
        <v>6977</v>
      </c>
      <c r="E62" s="22" t="s">
        <v>6978</v>
      </c>
      <c r="F62" s="31">
        <v>0</v>
      </c>
      <c r="G62" s="21">
        <v>0</v>
      </c>
      <c r="H62" s="21">
        <v>16</v>
      </c>
      <c r="I62" s="21" t="s">
        <v>6979</v>
      </c>
      <c r="J62" s="22" t="s">
        <v>63</v>
      </c>
    </row>
    <row r="63" ht="20" customHeight="1" spans="1:10" s="23" customFormat="1" x14ac:dyDescent="0.25">
      <c r="A63" s="25" t="s">
        <v>3365</v>
      </c>
      <c r="B63" s="24" t="s">
        <v>6980</v>
      </c>
      <c r="C63" s="24" t="s">
        <v>63</v>
      </c>
      <c r="D63" s="25" t="s">
        <v>63</v>
      </c>
      <c r="E63" s="25" t="s">
        <v>63</v>
      </c>
      <c r="F63" s="33">
        <v>0</v>
      </c>
      <c r="G63" s="24">
        <v>0</v>
      </c>
      <c r="H63" s="24">
        <v>20</v>
      </c>
      <c r="I63" s="24" t="s">
        <v>6857</v>
      </c>
      <c r="J63" s="25" t="s">
        <v>63</v>
      </c>
    </row>
    <row r="64" ht="20" customHeight="1" spans="1:10" x14ac:dyDescent="0.25">
      <c r="A64" s="22" t="s">
        <v>4239</v>
      </c>
      <c r="B64" s="21" t="s">
        <v>6981</v>
      </c>
      <c r="C64" s="21" t="s">
        <v>63</v>
      </c>
      <c r="D64" s="22" t="s">
        <v>63</v>
      </c>
      <c r="E64" s="22" t="s">
        <v>63</v>
      </c>
      <c r="F64" s="31">
        <v>0</v>
      </c>
      <c r="G64" s="21">
        <v>0</v>
      </c>
      <c r="H64" s="21">
        <v>6</v>
      </c>
      <c r="I64" s="21" t="s">
        <v>6857</v>
      </c>
      <c r="J64" s="22" t="s">
        <v>6982</v>
      </c>
    </row>
    <row r="65" ht="20" customHeight="1" spans="1:10" s="23" customFormat="1" x14ac:dyDescent="0.25">
      <c r="A65" s="25" t="s">
        <v>4803</v>
      </c>
      <c r="B65" s="24" t="s">
        <v>6983</v>
      </c>
      <c r="C65" s="24" t="s">
        <v>6859</v>
      </c>
      <c r="D65" s="25" t="s">
        <v>6984</v>
      </c>
      <c r="E65" s="25" t="s">
        <v>6985</v>
      </c>
      <c r="F65" s="33">
        <v>0</v>
      </c>
      <c r="G65" s="24">
        <v>0</v>
      </c>
      <c r="H65" s="24">
        <v>4</v>
      </c>
      <c r="I65" s="24" t="s">
        <v>6935</v>
      </c>
      <c r="J65" s="25" t="s">
        <v>63</v>
      </c>
    </row>
    <row r="66" ht="20" customHeight="1" spans="1:10" x14ac:dyDescent="0.25">
      <c r="A66" s="22" t="s">
        <v>2925</v>
      </c>
      <c r="B66" s="21" t="s">
        <v>6986</v>
      </c>
      <c r="C66" s="21" t="s">
        <v>63</v>
      </c>
      <c r="D66" s="22" t="s">
        <v>63</v>
      </c>
      <c r="E66" s="22" t="s">
        <v>63</v>
      </c>
      <c r="F66" s="31">
        <v>0</v>
      </c>
      <c r="G66" s="21">
        <v>0</v>
      </c>
      <c r="H66" s="21">
        <v>4</v>
      </c>
      <c r="I66" s="21" t="s">
        <v>6857</v>
      </c>
      <c r="J66" s="22" t="s">
        <v>63</v>
      </c>
    </row>
    <row r="67" ht="20" customHeight="1" spans="1:10" s="23" customFormat="1" x14ac:dyDescent="0.25">
      <c r="A67" s="25" t="s">
        <v>3484</v>
      </c>
      <c r="B67" s="24" t="s">
        <v>6987</v>
      </c>
      <c r="C67" s="24" t="s">
        <v>63</v>
      </c>
      <c r="D67" s="25" t="s">
        <v>63</v>
      </c>
      <c r="E67" s="25" t="s">
        <v>63</v>
      </c>
      <c r="F67" s="33">
        <v>0</v>
      </c>
      <c r="G67" s="24">
        <v>0</v>
      </c>
      <c r="H67" s="24">
        <v>2</v>
      </c>
      <c r="I67" s="24" t="s">
        <v>6857</v>
      </c>
      <c r="J67" s="25" t="s">
        <v>63</v>
      </c>
    </row>
    <row r="68" ht="20" customHeight="1" spans="1:10" x14ac:dyDescent="0.25">
      <c r="A68" s="22" t="s">
        <v>5236</v>
      </c>
      <c r="B68" s="21" t="s">
        <v>6988</v>
      </c>
      <c r="C68" s="21" t="s">
        <v>6932</v>
      </c>
      <c r="D68" s="22" t="s">
        <v>1626</v>
      </c>
      <c r="E68" s="22" t="s">
        <v>6989</v>
      </c>
      <c r="F68" s="31">
        <v>0</v>
      </c>
      <c r="G68" s="21">
        <v>0</v>
      </c>
      <c r="H68" s="21">
        <v>0</v>
      </c>
      <c r="I68" s="21" t="s">
        <v>6963</v>
      </c>
      <c r="J68" s="22" t="s">
        <v>63</v>
      </c>
    </row>
    <row r="69" ht="20" customHeight="1" spans="1:10" s="23" customFormat="1" x14ac:dyDescent="0.25">
      <c r="A69" s="25" t="s">
        <v>4660</v>
      </c>
      <c r="B69" s="24" t="s">
        <v>6990</v>
      </c>
      <c r="C69" s="24" t="s">
        <v>6873</v>
      </c>
      <c r="D69" s="25" t="s">
        <v>6991</v>
      </c>
      <c r="E69" s="25" t="s">
        <v>6992</v>
      </c>
      <c r="F69" s="33">
        <v>0</v>
      </c>
      <c r="G69" s="24">
        <v>0</v>
      </c>
      <c r="H69" s="24">
        <v>0</v>
      </c>
      <c r="I69" s="24" t="s">
        <v>6993</v>
      </c>
      <c r="J69" s="25" t="s">
        <v>63</v>
      </c>
    </row>
    <row r="70" ht="20" customHeight="1" spans="1:10" x14ac:dyDescent="0.25">
      <c r="A70" s="22" t="s">
        <v>4709</v>
      </c>
      <c r="B70" s="21" t="s">
        <v>6994</v>
      </c>
      <c r="C70" s="21" t="s">
        <v>6859</v>
      </c>
      <c r="D70" s="22" t="s">
        <v>6995</v>
      </c>
      <c r="E70" s="22" t="s">
        <v>6996</v>
      </c>
      <c r="F70" s="31">
        <v>0</v>
      </c>
      <c r="G70" s="21">
        <v>0</v>
      </c>
      <c r="H70" s="21">
        <v>6</v>
      </c>
      <c r="I70" s="21" t="s">
        <v>6952</v>
      </c>
      <c r="J70" s="22" t="s">
        <v>63</v>
      </c>
    </row>
    <row r="71" ht="20" customHeight="1" spans="1:10" s="23" customFormat="1" x14ac:dyDescent="0.25">
      <c r="A71" s="25" t="s">
        <v>2633</v>
      </c>
      <c r="B71" s="24" t="s">
        <v>6997</v>
      </c>
      <c r="C71" s="24" t="s">
        <v>6873</v>
      </c>
      <c r="D71" s="25" t="s">
        <v>6998</v>
      </c>
      <c r="E71" s="25" t="s">
        <v>6999</v>
      </c>
      <c r="F71" s="33">
        <v>0</v>
      </c>
      <c r="G71" s="24">
        <v>0</v>
      </c>
      <c r="H71" s="24">
        <v>0</v>
      </c>
      <c r="I71" s="24" t="s">
        <v>7000</v>
      </c>
      <c r="J71" s="25" t="s">
        <v>63</v>
      </c>
    </row>
    <row r="72" ht="20" customHeight="1" spans="1:10" x14ac:dyDescent="0.25">
      <c r="A72" s="22" t="s">
        <v>2633</v>
      </c>
      <c r="B72" s="21" t="s">
        <v>7001</v>
      </c>
      <c r="C72" s="21" t="s">
        <v>63</v>
      </c>
      <c r="D72" s="22" t="s">
        <v>63</v>
      </c>
      <c r="E72" s="22" t="s">
        <v>63</v>
      </c>
      <c r="F72" s="31">
        <v>0</v>
      </c>
      <c r="G72" s="21">
        <v>0</v>
      </c>
      <c r="H72" s="21">
        <v>14</v>
      </c>
      <c r="I72" s="21" t="s">
        <v>6857</v>
      </c>
      <c r="J72" s="22" t="s">
        <v>63</v>
      </c>
    </row>
    <row r="73" ht="20" customHeight="1" spans="1:10" s="23" customFormat="1" x14ac:dyDescent="0.25">
      <c r="A73" s="25" t="s">
        <v>7002</v>
      </c>
      <c r="B73" s="24" t="s">
        <v>7003</v>
      </c>
      <c r="C73" s="24" t="s">
        <v>63</v>
      </c>
      <c r="D73" s="25" t="s">
        <v>63</v>
      </c>
      <c r="E73" s="25" t="s">
        <v>63</v>
      </c>
      <c r="F73" s="33">
        <v>0</v>
      </c>
      <c r="G73" s="24">
        <v>0</v>
      </c>
      <c r="H73" s="24">
        <v>0</v>
      </c>
      <c r="I73" s="24" t="s">
        <v>7004</v>
      </c>
      <c r="J73" s="25" t="s">
        <v>63</v>
      </c>
    </row>
    <row r="74" ht="20" customHeight="1" spans="1:10" x14ac:dyDescent="0.25">
      <c r="A74" s="22" t="s">
        <v>3356</v>
      </c>
      <c r="B74" s="21" t="s">
        <v>7005</v>
      </c>
      <c r="C74" s="21" t="s">
        <v>63</v>
      </c>
      <c r="D74" s="22" t="s">
        <v>63</v>
      </c>
      <c r="E74" s="22" t="s">
        <v>63</v>
      </c>
      <c r="F74" s="31">
        <v>0</v>
      </c>
      <c r="G74" s="21">
        <v>0</v>
      </c>
      <c r="H74" s="21">
        <v>2</v>
      </c>
      <c r="I74" s="21" t="s">
        <v>6857</v>
      </c>
      <c r="J74" s="22" t="s">
        <v>7006</v>
      </c>
    </row>
    <row r="75" ht="20" customHeight="1" spans="1:10" s="23" customFormat="1" x14ac:dyDescent="0.25">
      <c r="A75" s="25" t="s">
        <v>2880</v>
      </c>
      <c r="B75" s="24" t="s">
        <v>7007</v>
      </c>
      <c r="C75" s="24" t="s">
        <v>63</v>
      </c>
      <c r="D75" s="25" t="s">
        <v>63</v>
      </c>
      <c r="E75" s="25" t="s">
        <v>63</v>
      </c>
      <c r="F75" s="33">
        <v>2025</v>
      </c>
      <c r="G75" s="24">
        <v>1</v>
      </c>
      <c r="H75" s="24">
        <v>15</v>
      </c>
      <c r="I75" s="24" t="s">
        <v>7008</v>
      </c>
      <c r="J75" s="25" t="s">
        <v>63</v>
      </c>
    </row>
    <row r="76" ht="20" customHeight="1" spans="1:10" x14ac:dyDescent="0.25">
      <c r="A76" s="22" t="s">
        <v>2616</v>
      </c>
      <c r="B76" s="21" t="s">
        <v>7009</v>
      </c>
      <c r="C76" s="21" t="s">
        <v>63</v>
      </c>
      <c r="D76" s="22" t="s">
        <v>63</v>
      </c>
      <c r="E76" s="22" t="s">
        <v>63</v>
      </c>
      <c r="F76" s="31">
        <v>0</v>
      </c>
      <c r="G76" s="21">
        <v>0</v>
      </c>
      <c r="H76" s="21">
        <v>10</v>
      </c>
      <c r="I76" s="21" t="s">
        <v>7010</v>
      </c>
      <c r="J76" s="22" t="s">
        <v>63</v>
      </c>
    </row>
    <row r="77" ht="20" customHeight="1" spans="1:10" s="23" customFormat="1" x14ac:dyDescent="0.25">
      <c r="A77" s="25" t="s">
        <v>5147</v>
      </c>
      <c r="B77" s="24" t="s">
        <v>7011</v>
      </c>
      <c r="C77" s="24" t="s">
        <v>6932</v>
      </c>
      <c r="D77" s="25" t="s">
        <v>1748</v>
      </c>
      <c r="E77" s="25" t="s">
        <v>7012</v>
      </c>
      <c r="F77" s="33">
        <v>0</v>
      </c>
      <c r="G77" s="24">
        <v>0</v>
      </c>
      <c r="H77" s="24">
        <v>0</v>
      </c>
      <c r="I77" s="24" t="s">
        <v>6862</v>
      </c>
      <c r="J77" s="25" t="s">
        <v>63</v>
      </c>
    </row>
    <row r="78" ht="20" customHeight="1" spans="1:10" x14ac:dyDescent="0.25">
      <c r="A78" s="22" t="s">
        <v>2530</v>
      </c>
      <c r="B78" s="21" t="s">
        <v>7013</v>
      </c>
      <c r="C78" s="21" t="s">
        <v>63</v>
      </c>
      <c r="D78" s="22" t="s">
        <v>63</v>
      </c>
      <c r="E78" s="22" t="s">
        <v>63</v>
      </c>
      <c r="F78" s="31">
        <v>0</v>
      </c>
      <c r="G78" s="21">
        <v>0</v>
      </c>
      <c r="H78" s="21">
        <v>2</v>
      </c>
      <c r="I78" s="21" t="s">
        <v>6857</v>
      </c>
      <c r="J78" s="22" t="s">
        <v>63</v>
      </c>
    </row>
    <row r="79" ht="20" customHeight="1" spans="1:10" s="23" customFormat="1" x14ac:dyDescent="0.25">
      <c r="A79" s="25" t="s">
        <v>5853</v>
      </c>
      <c r="B79" s="24" t="s">
        <v>7014</v>
      </c>
      <c r="C79" s="24" t="s">
        <v>6954</v>
      </c>
      <c r="D79" s="25" t="s">
        <v>7015</v>
      </c>
      <c r="E79" s="25" t="s">
        <v>7016</v>
      </c>
      <c r="F79" s="33">
        <v>0</v>
      </c>
      <c r="G79" s="24">
        <v>0</v>
      </c>
      <c r="H79" s="24">
        <v>1</v>
      </c>
      <c r="I79" s="24" t="s">
        <v>7017</v>
      </c>
      <c r="J79" s="25" t="s">
        <v>63</v>
      </c>
    </row>
    <row r="80" ht="20" customHeight="1" spans="1:10" x14ac:dyDescent="0.25">
      <c r="A80" s="22" t="s">
        <v>2838</v>
      </c>
      <c r="B80" s="21" t="s">
        <v>7018</v>
      </c>
      <c r="C80" s="21" t="s">
        <v>63</v>
      </c>
      <c r="D80" s="22" t="s">
        <v>63</v>
      </c>
      <c r="E80" s="22" t="s">
        <v>63</v>
      </c>
      <c r="F80" s="31">
        <v>0</v>
      </c>
      <c r="G80" s="21">
        <v>0</v>
      </c>
      <c r="H80" s="21">
        <v>2</v>
      </c>
      <c r="I80" s="21" t="s">
        <v>6857</v>
      </c>
      <c r="J80" s="22" t="s">
        <v>63</v>
      </c>
    </row>
    <row r="81" ht="20" customHeight="1" spans="1:10" s="23" customFormat="1" x14ac:dyDescent="0.25">
      <c r="A81" s="25" t="s">
        <v>3460</v>
      </c>
      <c r="B81" s="24" t="s">
        <v>7019</v>
      </c>
      <c r="C81" s="24" t="s">
        <v>63</v>
      </c>
      <c r="D81" s="25" t="s">
        <v>63</v>
      </c>
      <c r="E81" s="25" t="s">
        <v>63</v>
      </c>
      <c r="F81" s="33">
        <v>0</v>
      </c>
      <c r="G81" s="24">
        <v>0</v>
      </c>
      <c r="H81" s="24">
        <v>3</v>
      </c>
      <c r="I81" s="24" t="s">
        <v>6857</v>
      </c>
      <c r="J81" s="25" t="s">
        <v>7020</v>
      </c>
    </row>
    <row r="82" ht="20" customHeight="1" spans="1:10" x14ac:dyDescent="0.25">
      <c r="A82" s="22" t="s">
        <v>5736</v>
      </c>
      <c r="B82" s="21" t="s">
        <v>7021</v>
      </c>
      <c r="C82" s="21" t="s">
        <v>6873</v>
      </c>
      <c r="D82" s="22" t="s">
        <v>1764</v>
      </c>
      <c r="E82" s="22" t="s">
        <v>7022</v>
      </c>
      <c r="F82" s="31">
        <v>0</v>
      </c>
      <c r="G82" s="21">
        <v>0</v>
      </c>
      <c r="H82" s="21">
        <v>0</v>
      </c>
      <c r="I82" s="21" t="s">
        <v>6857</v>
      </c>
      <c r="J82" s="22" t="s">
        <v>63</v>
      </c>
    </row>
    <row r="83" ht="20" customHeight="1" spans="1:10" s="23" customFormat="1" x14ac:dyDescent="0.25">
      <c r="A83" s="25" t="s">
        <v>4766</v>
      </c>
      <c r="B83" s="24" t="s">
        <v>7023</v>
      </c>
      <c r="C83" s="24" t="s">
        <v>6839</v>
      </c>
      <c r="D83" s="25" t="s">
        <v>6937</v>
      </c>
      <c r="E83" s="25" t="s">
        <v>7024</v>
      </c>
      <c r="F83" s="33">
        <v>0</v>
      </c>
      <c r="G83" s="24">
        <v>0</v>
      </c>
      <c r="H83" s="24">
        <v>4</v>
      </c>
      <c r="I83" s="24" t="s">
        <v>6944</v>
      </c>
      <c r="J83" s="25" t="s">
        <v>63</v>
      </c>
    </row>
    <row r="84" ht="20" customHeight="1" spans="1:10" x14ac:dyDescent="0.25">
      <c r="A84" s="22" t="s">
        <v>4527</v>
      </c>
      <c r="B84" s="21" t="s">
        <v>7025</v>
      </c>
      <c r="C84" s="21" t="s">
        <v>6873</v>
      </c>
      <c r="D84" s="22" t="s">
        <v>7026</v>
      </c>
      <c r="E84" s="22" t="s">
        <v>7027</v>
      </c>
      <c r="F84" s="31">
        <v>0</v>
      </c>
      <c r="G84" s="21">
        <v>0</v>
      </c>
      <c r="H84" s="21">
        <v>0</v>
      </c>
      <c r="I84" s="21" t="s">
        <v>6843</v>
      </c>
      <c r="J84" s="22" t="s">
        <v>63</v>
      </c>
    </row>
  </sheetData>
  <autoFilter ref="A3:J8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 outlineLevelRow="0" outlineLevelCol="0" x14ac:dyDescent="55"/>
  <cols>
    <col min="1" max="5" width="43" customWidth="1"/>
  </cols>
  <sheetData>
    <row r="1" ht="28" customHeight="1" spans="1:5" s="47" customFormat="1" x14ac:dyDescent="0.25">
      <c r="A1" s="47" t="s">
        <v>7028</v>
      </c>
      <c r="B1" s="47"/>
      <c r="C1" s="47"/>
      <c r="D1" s="47"/>
      <c r="E1" s="47"/>
    </row>
    <row r="2" ht="28" customHeight="1" spans="1:5" s="19" customFormat="1" x14ac:dyDescent="0.25">
      <c r="A2" s="20" t="s">
        <v>7029</v>
      </c>
      <c r="B2" s="20" t="s">
        <v>38</v>
      </c>
      <c r="C2" s="20" t="s">
        <v>7030</v>
      </c>
      <c r="D2" s="20" t="s">
        <v>7031</v>
      </c>
      <c r="E2" s="20" t="s">
        <v>7032</v>
      </c>
    </row>
    <row r="3" ht="20" customHeight="1" spans="1:5" x14ac:dyDescent="0.25">
      <c r="A3" s="22" t="s">
        <v>85</v>
      </c>
      <c r="B3" s="21" t="s">
        <v>86</v>
      </c>
      <c r="C3" s="21" t="s">
        <v>87</v>
      </c>
      <c r="D3" s="22" t="s">
        <v>7033</v>
      </c>
      <c r="E3" s="21" t="s">
        <v>7034</v>
      </c>
    </row>
    <row r="4" ht="20" customHeight="1" spans="1:5" s="23" customFormat="1" x14ac:dyDescent="0.25">
      <c r="A4" s="25" t="s">
        <v>137</v>
      </c>
      <c r="B4" s="24" t="s">
        <v>138</v>
      </c>
      <c r="C4" s="24" t="s">
        <v>139</v>
      </c>
      <c r="D4" s="25" t="s">
        <v>7033</v>
      </c>
      <c r="E4" s="24" t="s">
        <v>7034</v>
      </c>
    </row>
    <row r="5" ht="20" customHeight="1" spans="1:5" x14ac:dyDescent="0.25">
      <c r="A5" s="22" t="s">
        <v>731</v>
      </c>
      <c r="B5" s="21" t="s">
        <v>732</v>
      </c>
      <c r="C5" s="21" t="s">
        <v>733</v>
      </c>
      <c r="D5" s="22" t="s">
        <v>7033</v>
      </c>
      <c r="E5" s="21" t="s">
        <v>7034</v>
      </c>
    </row>
    <row r="6" ht="20" customHeight="1" spans="1:5" s="23" customFormat="1" x14ac:dyDescent="0.25">
      <c r="A6" s="25" t="s">
        <v>137</v>
      </c>
      <c r="B6" s="24" t="s">
        <v>166</v>
      </c>
      <c r="C6" s="24" t="s">
        <v>2242</v>
      </c>
      <c r="D6" s="25" t="s">
        <v>7033</v>
      </c>
      <c r="E6" s="24" t="s">
        <v>7034</v>
      </c>
    </row>
    <row r="7" ht="20" customHeight="1" spans="1:5" x14ac:dyDescent="0.25">
      <c r="A7" s="22" t="s">
        <v>53</v>
      </c>
      <c r="B7" s="21" t="s">
        <v>1674</v>
      </c>
      <c r="C7" s="21" t="s">
        <v>55</v>
      </c>
      <c r="D7" s="22" t="s">
        <v>7033</v>
      </c>
      <c r="E7" s="21" t="s">
        <v>7034</v>
      </c>
    </row>
    <row r="8" ht="20" customHeight="1" spans="1:5" s="23" customFormat="1" x14ac:dyDescent="0.25">
      <c r="A8" s="25" t="s">
        <v>436</v>
      </c>
      <c r="B8" s="24" t="s">
        <v>437</v>
      </c>
      <c r="C8" s="24" t="s">
        <v>1688</v>
      </c>
      <c r="D8" s="25" t="s">
        <v>7033</v>
      </c>
      <c r="E8" s="24" t="s">
        <v>7034</v>
      </c>
    </row>
    <row r="9" ht="20" customHeight="1" spans="1:5" x14ac:dyDescent="0.25">
      <c r="A9" s="22" t="s">
        <v>1450</v>
      </c>
      <c r="B9" s="21" t="s">
        <v>69</v>
      </c>
      <c r="C9" s="21" t="s">
        <v>1451</v>
      </c>
      <c r="D9" s="22" t="s">
        <v>7033</v>
      </c>
      <c r="E9" s="21" t="s">
        <v>7034</v>
      </c>
    </row>
    <row r="10" ht="20" customHeight="1" spans="1:5" s="23" customFormat="1" x14ac:dyDescent="0.25">
      <c r="A10" s="25" t="s">
        <v>53</v>
      </c>
      <c r="B10" s="24" t="s">
        <v>105</v>
      </c>
      <c r="C10" s="24" t="s">
        <v>610</v>
      </c>
      <c r="D10" s="25" t="s">
        <v>7033</v>
      </c>
      <c r="E10" s="24" t="s">
        <v>7034</v>
      </c>
    </row>
    <row r="11" ht="20" customHeight="1" spans="1:5" x14ac:dyDescent="0.25">
      <c r="A11" s="22" t="s">
        <v>1245</v>
      </c>
      <c r="B11" s="21" t="s">
        <v>1246</v>
      </c>
      <c r="C11" s="21" t="s">
        <v>1409</v>
      </c>
      <c r="D11" s="22" t="s">
        <v>7033</v>
      </c>
      <c r="E11" s="21" t="s">
        <v>7034</v>
      </c>
    </row>
    <row r="12" ht="20" customHeight="1" spans="1:5" s="23" customFormat="1" x14ac:dyDescent="0.25">
      <c r="A12" s="25" t="s">
        <v>832</v>
      </c>
      <c r="B12" s="24" t="s">
        <v>1478</v>
      </c>
      <c r="C12" s="24" t="s">
        <v>70</v>
      </c>
      <c r="D12" s="25" t="s">
        <v>7033</v>
      </c>
      <c r="E12" s="24" t="s">
        <v>7034</v>
      </c>
    </row>
    <row r="13" ht="20" customHeight="1" spans="1:5" x14ac:dyDescent="0.25">
      <c r="A13" s="22" t="s">
        <v>53</v>
      </c>
      <c r="B13" s="21" t="s">
        <v>1674</v>
      </c>
      <c r="C13" s="21" t="s">
        <v>610</v>
      </c>
      <c r="D13" s="22" t="s">
        <v>7033</v>
      </c>
      <c r="E13" s="21" t="s">
        <v>7034</v>
      </c>
    </row>
    <row r="14" ht="20" customHeight="1" spans="1:5" s="23" customFormat="1" x14ac:dyDescent="0.25">
      <c r="A14" s="25" t="s">
        <v>1733</v>
      </c>
      <c r="B14" s="24" t="s">
        <v>1725</v>
      </c>
      <c r="C14" s="24" t="s">
        <v>1726</v>
      </c>
      <c r="D14" s="25" t="s">
        <v>7033</v>
      </c>
      <c r="E14" s="24" t="s">
        <v>7034</v>
      </c>
    </row>
    <row r="15" ht="20" customHeight="1" spans="1:5" x14ac:dyDescent="0.25">
      <c r="A15" s="22" t="s">
        <v>53</v>
      </c>
      <c r="B15" s="21" t="s">
        <v>54</v>
      </c>
      <c r="C15" s="21" t="s">
        <v>1938</v>
      </c>
      <c r="D15" s="22" t="s">
        <v>7033</v>
      </c>
      <c r="E15" s="21" t="s">
        <v>7034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workbookViewId="0"/>
  </sheetViews>
  <sheetFormatPr defaultRowHeight="15" outlineLevelRow="0" outlineLevelCol="0" x14ac:dyDescent="55"/>
  <cols>
    <col min="1" max="5" width="49" customWidth="1"/>
  </cols>
  <sheetData>
    <row r="1" ht="28" customHeight="1" spans="1:5" s="17" customFormat="1" x14ac:dyDescent="0.25">
      <c r="A1" s="17" t="s">
        <v>7035</v>
      </c>
      <c r="B1" s="17"/>
      <c r="C1" s="17"/>
      <c r="D1" s="17"/>
      <c r="E1" s="17"/>
    </row>
    <row r="2" ht="28" customHeight="1" spans="1:5" s="3" customFormat="1" x14ac:dyDescent="0.25">
      <c r="A2" s="4" t="s">
        <v>7036</v>
      </c>
      <c r="B2" s="4" t="s">
        <v>7037</v>
      </c>
      <c r="C2" s="4" t="s">
        <v>7038</v>
      </c>
      <c r="D2" s="4" t="s">
        <v>7039</v>
      </c>
      <c r="E2" s="4" t="s">
        <v>7040</v>
      </c>
    </row>
    <row r="3" ht="20" customHeight="1" spans="1:5" x14ac:dyDescent="0.25">
      <c r="A3" s="22" t="s">
        <v>181</v>
      </c>
      <c r="B3" s="21" t="s">
        <v>63</v>
      </c>
      <c r="C3" s="22" t="s">
        <v>57</v>
      </c>
      <c r="D3" s="21" t="s">
        <v>7041</v>
      </c>
      <c r="E3" s="21" t="s">
        <v>7042</v>
      </c>
    </row>
    <row r="4" ht="20" customHeight="1" spans="1:5" s="23" customFormat="1" x14ac:dyDescent="0.25">
      <c r="A4" s="25" t="s">
        <v>529</v>
      </c>
      <c r="B4" s="24" t="s">
        <v>63</v>
      </c>
      <c r="C4" s="25" t="s">
        <v>57</v>
      </c>
      <c r="D4" s="24" t="s">
        <v>7041</v>
      </c>
      <c r="E4" s="24" t="s">
        <v>7042</v>
      </c>
    </row>
    <row r="5" ht="20" customHeight="1" spans="1:5" x14ac:dyDescent="0.25">
      <c r="A5" s="22" t="s">
        <v>132</v>
      </c>
      <c r="B5" s="21" t="s">
        <v>63</v>
      </c>
      <c r="C5" s="22" t="s">
        <v>57</v>
      </c>
      <c r="D5" s="21" t="s">
        <v>7041</v>
      </c>
      <c r="E5" s="21" t="s">
        <v>7042</v>
      </c>
    </row>
    <row r="6" ht="20" customHeight="1" spans="1:5" s="23" customFormat="1" x14ac:dyDescent="0.25">
      <c r="A6" s="25" t="s">
        <v>544</v>
      </c>
      <c r="B6" s="24" t="s">
        <v>63</v>
      </c>
      <c r="C6" s="25" t="s">
        <v>57</v>
      </c>
      <c r="D6" s="24" t="s">
        <v>7041</v>
      </c>
      <c r="E6" s="24" t="s">
        <v>7042</v>
      </c>
    </row>
    <row r="7" ht="20" customHeight="1" spans="1:5" x14ac:dyDescent="0.25">
      <c r="A7" s="22" t="s">
        <v>1694</v>
      </c>
      <c r="B7" s="21" t="s">
        <v>63</v>
      </c>
      <c r="C7" s="22" t="s">
        <v>57</v>
      </c>
      <c r="D7" s="21" t="s">
        <v>7041</v>
      </c>
      <c r="E7" s="21" t="s">
        <v>7042</v>
      </c>
    </row>
    <row r="8" ht="20" customHeight="1" spans="1:5" s="23" customFormat="1" x14ac:dyDescent="0.25">
      <c r="A8" s="25" t="s">
        <v>307</v>
      </c>
      <c r="B8" s="24" t="s">
        <v>63</v>
      </c>
      <c r="C8" s="25" t="s">
        <v>57</v>
      </c>
      <c r="D8" s="24" t="s">
        <v>7041</v>
      </c>
      <c r="E8" s="24" t="s">
        <v>7042</v>
      </c>
    </row>
    <row r="9" ht="20" customHeight="1" spans="1:5" x14ac:dyDescent="0.25">
      <c r="A9" s="22" t="s">
        <v>259</v>
      </c>
      <c r="B9" s="21" t="s">
        <v>63</v>
      </c>
      <c r="C9" s="22" t="s">
        <v>57</v>
      </c>
      <c r="D9" s="21" t="s">
        <v>7041</v>
      </c>
      <c r="E9" s="21" t="s">
        <v>7042</v>
      </c>
    </row>
    <row r="10" ht="20" customHeight="1" spans="1:5" s="23" customFormat="1" x14ac:dyDescent="0.25">
      <c r="A10" s="25" t="s">
        <v>140</v>
      </c>
      <c r="B10" s="24" t="s">
        <v>63</v>
      </c>
      <c r="C10" s="25" t="s">
        <v>57</v>
      </c>
      <c r="D10" s="24" t="s">
        <v>7041</v>
      </c>
      <c r="E10" s="24" t="s">
        <v>7042</v>
      </c>
    </row>
    <row r="11" ht="20" customHeight="1" spans="1:5" x14ac:dyDescent="0.25">
      <c r="A11" s="22" t="s">
        <v>56</v>
      </c>
      <c r="B11" s="21" t="s">
        <v>63</v>
      </c>
      <c r="C11" s="22" t="s">
        <v>57</v>
      </c>
      <c r="D11" s="21" t="s">
        <v>7041</v>
      </c>
      <c r="E11" s="21" t="s">
        <v>7042</v>
      </c>
    </row>
    <row r="12" ht="20" customHeight="1" spans="1:5" s="23" customFormat="1" x14ac:dyDescent="0.25">
      <c r="A12" s="25" t="s">
        <v>301</v>
      </c>
      <c r="B12" s="24" t="s">
        <v>63</v>
      </c>
      <c r="C12" s="25" t="s">
        <v>57</v>
      </c>
      <c r="D12" s="24" t="s">
        <v>7041</v>
      </c>
      <c r="E12" s="24" t="s">
        <v>7042</v>
      </c>
    </row>
    <row r="13" ht="20" customHeight="1" spans="1:5" x14ac:dyDescent="0.25">
      <c r="A13" s="22" t="s">
        <v>7043</v>
      </c>
      <c r="B13" s="21" t="s">
        <v>63</v>
      </c>
      <c r="C13" s="22" t="s">
        <v>57</v>
      </c>
      <c r="D13" s="21" t="s">
        <v>7041</v>
      </c>
      <c r="E13" s="21" t="s">
        <v>7042</v>
      </c>
    </row>
    <row r="14" ht="20" customHeight="1" spans="1:5" s="23" customFormat="1" x14ac:dyDescent="0.25">
      <c r="A14" s="25" t="s">
        <v>331</v>
      </c>
      <c r="B14" s="24" t="s">
        <v>63</v>
      </c>
      <c r="C14" s="25" t="s">
        <v>57</v>
      </c>
      <c r="D14" s="24" t="s">
        <v>7041</v>
      </c>
      <c r="E14" s="24" t="s">
        <v>7042</v>
      </c>
    </row>
    <row r="15" ht="20" customHeight="1" spans="1:5" x14ac:dyDescent="0.25">
      <c r="A15" s="22" t="s">
        <v>7044</v>
      </c>
      <c r="B15" s="21" t="s">
        <v>63</v>
      </c>
      <c r="C15" s="22" t="s">
        <v>57</v>
      </c>
      <c r="D15" s="21" t="s">
        <v>7041</v>
      </c>
      <c r="E15" s="21" t="s">
        <v>7042</v>
      </c>
    </row>
    <row r="16" ht="20" customHeight="1" spans="1:5" s="23" customFormat="1" x14ac:dyDescent="0.25">
      <c r="A16" s="25" t="s">
        <v>127</v>
      </c>
      <c r="B16" s="24" t="s">
        <v>63</v>
      </c>
      <c r="C16" s="25" t="s">
        <v>57</v>
      </c>
      <c r="D16" s="24" t="s">
        <v>7041</v>
      </c>
      <c r="E16" s="24" t="s">
        <v>7042</v>
      </c>
    </row>
    <row r="17" ht="20" customHeight="1" spans="1:5" x14ac:dyDescent="0.25">
      <c r="A17" s="22" t="s">
        <v>763</v>
      </c>
      <c r="B17" s="21" t="s">
        <v>63</v>
      </c>
      <c r="C17" s="22" t="s">
        <v>57</v>
      </c>
      <c r="D17" s="21" t="s">
        <v>7041</v>
      </c>
      <c r="E17" s="21" t="s">
        <v>7042</v>
      </c>
    </row>
    <row r="18" ht="20" customHeight="1" spans="1:5" s="23" customFormat="1" x14ac:dyDescent="0.25">
      <c r="A18" s="25" t="s">
        <v>100</v>
      </c>
      <c r="B18" s="24" t="s">
        <v>63</v>
      </c>
      <c r="C18" s="25" t="s">
        <v>57</v>
      </c>
      <c r="D18" s="24" t="s">
        <v>7041</v>
      </c>
      <c r="E18" s="24" t="s">
        <v>7042</v>
      </c>
    </row>
    <row r="19" ht="20" customHeight="1" spans="1:5" x14ac:dyDescent="0.25">
      <c r="A19" s="22" t="s">
        <v>246</v>
      </c>
      <c r="B19" s="21" t="s">
        <v>63</v>
      </c>
      <c r="C19" s="22" t="s">
        <v>57</v>
      </c>
      <c r="D19" s="21" t="s">
        <v>7041</v>
      </c>
      <c r="E19" s="21" t="s">
        <v>7042</v>
      </c>
    </row>
    <row r="20" ht="20" customHeight="1" spans="1:5" s="23" customFormat="1" x14ac:dyDescent="0.25">
      <c r="A20" s="25" t="s">
        <v>1205</v>
      </c>
      <c r="B20" s="24" t="s">
        <v>63</v>
      </c>
      <c r="C20" s="25" t="s">
        <v>57</v>
      </c>
      <c r="D20" s="24" t="s">
        <v>7041</v>
      </c>
      <c r="E20" s="24" t="s">
        <v>7042</v>
      </c>
    </row>
    <row r="21" ht="20" customHeight="1" spans="1:5" x14ac:dyDescent="0.25">
      <c r="A21" s="22" t="s">
        <v>209</v>
      </c>
      <c r="B21" s="21" t="s">
        <v>63</v>
      </c>
      <c r="C21" s="22" t="s">
        <v>57</v>
      </c>
      <c r="D21" s="21" t="s">
        <v>7041</v>
      </c>
      <c r="E21" s="21" t="s">
        <v>7042</v>
      </c>
    </row>
    <row r="22" ht="20" customHeight="1" spans="1:5" s="23" customFormat="1" x14ac:dyDescent="0.25">
      <c r="A22" s="25" t="s">
        <v>186</v>
      </c>
      <c r="B22" s="24" t="s">
        <v>63</v>
      </c>
      <c r="C22" s="25" t="s">
        <v>57</v>
      </c>
      <c r="D22" s="24" t="s">
        <v>7041</v>
      </c>
      <c r="E22" s="24" t="s">
        <v>7042</v>
      </c>
    </row>
    <row r="23" ht="20" customHeight="1" spans="1:5" x14ac:dyDescent="0.25">
      <c r="A23" s="22" t="s">
        <v>113</v>
      </c>
      <c r="B23" s="21" t="s">
        <v>63</v>
      </c>
      <c r="C23" s="22" t="s">
        <v>57</v>
      </c>
      <c r="D23" s="21" t="s">
        <v>7041</v>
      </c>
      <c r="E23" s="21" t="s">
        <v>7042</v>
      </c>
    </row>
    <row r="24" ht="20" customHeight="1" spans="1:5" s="23" customFormat="1" x14ac:dyDescent="0.25">
      <c r="A24" s="25" t="s">
        <v>616</v>
      </c>
      <c r="B24" s="24" t="s">
        <v>63</v>
      </c>
      <c r="C24" s="25" t="s">
        <v>57</v>
      </c>
      <c r="D24" s="24" t="s">
        <v>7041</v>
      </c>
      <c r="E24" s="24" t="s">
        <v>7042</v>
      </c>
    </row>
    <row r="25" ht="20" customHeight="1" spans="1:5" x14ac:dyDescent="0.25">
      <c r="A25" s="22" t="s">
        <v>691</v>
      </c>
      <c r="B25" s="21" t="s">
        <v>63</v>
      </c>
      <c r="C25" s="22" t="s">
        <v>57</v>
      </c>
      <c r="D25" s="21" t="s">
        <v>7041</v>
      </c>
      <c r="E25" s="21" t="s">
        <v>7042</v>
      </c>
    </row>
    <row r="26" ht="20" customHeight="1" spans="1:5" s="23" customFormat="1" x14ac:dyDescent="0.25">
      <c r="A26" s="25" t="s">
        <v>482</v>
      </c>
      <c r="B26" s="24" t="s">
        <v>63</v>
      </c>
      <c r="C26" s="25" t="s">
        <v>57</v>
      </c>
      <c r="D26" s="24" t="s">
        <v>7041</v>
      </c>
      <c r="E26" s="24" t="s">
        <v>7042</v>
      </c>
    </row>
    <row r="27" ht="20" customHeight="1" spans="1:5" x14ac:dyDescent="0.25">
      <c r="A27" s="22" t="s">
        <v>275</v>
      </c>
      <c r="B27" s="21" t="s">
        <v>63</v>
      </c>
      <c r="C27" s="22" t="s">
        <v>57</v>
      </c>
      <c r="D27" s="21" t="s">
        <v>7041</v>
      </c>
      <c r="E27" s="21" t="s">
        <v>7042</v>
      </c>
    </row>
    <row r="28" ht="20" customHeight="1" spans="1:5" s="23" customFormat="1" x14ac:dyDescent="0.25">
      <c r="A28" s="25" t="s">
        <v>505</v>
      </c>
      <c r="B28" s="24" t="s">
        <v>63</v>
      </c>
      <c r="C28" s="25" t="s">
        <v>57</v>
      </c>
      <c r="D28" s="24" t="s">
        <v>7041</v>
      </c>
      <c r="E28" s="24" t="s">
        <v>7042</v>
      </c>
    </row>
    <row r="29" ht="20" customHeight="1" spans="1:5" x14ac:dyDescent="0.25">
      <c r="A29" s="22" t="s">
        <v>937</v>
      </c>
      <c r="B29" s="21" t="s">
        <v>63</v>
      </c>
      <c r="C29" s="22" t="s">
        <v>57</v>
      </c>
      <c r="D29" s="21" t="s">
        <v>7041</v>
      </c>
      <c r="E29" s="21" t="s">
        <v>7042</v>
      </c>
    </row>
    <row r="30" ht="20" customHeight="1" spans="1:5" s="23" customFormat="1" x14ac:dyDescent="0.25">
      <c r="A30" s="25" t="s">
        <v>80</v>
      </c>
      <c r="B30" s="24" t="s">
        <v>63</v>
      </c>
      <c r="C30" s="25" t="s">
        <v>57</v>
      </c>
      <c r="D30" s="24" t="s">
        <v>7041</v>
      </c>
      <c r="E30" s="24" t="s">
        <v>7042</v>
      </c>
    </row>
    <row r="31" ht="20" customHeight="1" spans="1:5" x14ac:dyDescent="0.25">
      <c r="A31" s="22" t="s">
        <v>118</v>
      </c>
      <c r="B31" s="21" t="s">
        <v>63</v>
      </c>
      <c r="C31" s="22" t="s">
        <v>57</v>
      </c>
      <c r="D31" s="21" t="s">
        <v>7041</v>
      </c>
      <c r="E31" s="21" t="s">
        <v>7042</v>
      </c>
    </row>
    <row r="32" ht="20" customHeight="1" spans="1:5" s="23" customFormat="1" x14ac:dyDescent="0.25">
      <c r="A32" s="25" t="s">
        <v>201</v>
      </c>
      <c r="B32" s="24" t="s">
        <v>63</v>
      </c>
      <c r="C32" s="25" t="s">
        <v>57</v>
      </c>
      <c r="D32" s="24" t="s">
        <v>7041</v>
      </c>
      <c r="E32" s="24" t="s">
        <v>7042</v>
      </c>
    </row>
    <row r="33" ht="20" customHeight="1" spans="1:5" x14ac:dyDescent="0.25">
      <c r="A33" s="22" t="s">
        <v>534</v>
      </c>
      <c r="B33" s="21" t="s">
        <v>63</v>
      </c>
      <c r="C33" s="22" t="s">
        <v>57</v>
      </c>
      <c r="D33" s="21" t="s">
        <v>7041</v>
      </c>
      <c r="E33" s="21" t="s">
        <v>7042</v>
      </c>
    </row>
    <row r="34" ht="20" customHeight="1" spans="1:5" s="23" customFormat="1" x14ac:dyDescent="0.25">
      <c r="A34" s="25" t="s">
        <v>534</v>
      </c>
      <c r="B34" s="24" t="s">
        <v>63</v>
      </c>
      <c r="C34" s="25" t="s">
        <v>57</v>
      </c>
      <c r="D34" s="24" t="s">
        <v>7041</v>
      </c>
      <c r="E34" s="24" t="s">
        <v>7042</v>
      </c>
    </row>
    <row r="35" ht="20" customHeight="1" spans="1:5" x14ac:dyDescent="0.25">
      <c r="A35" s="22" t="s">
        <v>534</v>
      </c>
      <c r="B35" s="21" t="s">
        <v>63</v>
      </c>
      <c r="C35" s="22" t="s">
        <v>57</v>
      </c>
      <c r="D35" s="21" t="s">
        <v>7041</v>
      </c>
      <c r="E35" s="21" t="s">
        <v>7042</v>
      </c>
    </row>
    <row r="36" ht="20" customHeight="1" spans="1:5" s="23" customFormat="1" x14ac:dyDescent="0.25">
      <c r="A36" s="25" t="s">
        <v>314</v>
      </c>
      <c r="B36" s="24" t="s">
        <v>63</v>
      </c>
      <c r="C36" s="25" t="s">
        <v>57</v>
      </c>
      <c r="D36" s="24" t="s">
        <v>7041</v>
      </c>
      <c r="E36" s="24" t="s">
        <v>7042</v>
      </c>
    </row>
    <row r="37" ht="20" customHeight="1" spans="1:5" x14ac:dyDescent="0.25">
      <c r="A37" s="22" t="s">
        <v>868</v>
      </c>
      <c r="B37" s="21" t="s">
        <v>63</v>
      </c>
      <c r="C37" s="22" t="s">
        <v>57</v>
      </c>
      <c r="D37" s="21" t="s">
        <v>7041</v>
      </c>
      <c r="E37" s="21" t="s">
        <v>7042</v>
      </c>
    </row>
    <row r="38" ht="20" customHeight="1" spans="1:5" s="23" customFormat="1" x14ac:dyDescent="0.25">
      <c r="A38" s="25" t="s">
        <v>430</v>
      </c>
      <c r="B38" s="24" t="s">
        <v>63</v>
      </c>
      <c r="C38" s="25" t="s">
        <v>57</v>
      </c>
      <c r="D38" s="24" t="s">
        <v>7041</v>
      </c>
      <c r="E38" s="24" t="s">
        <v>7042</v>
      </c>
    </row>
    <row r="39" ht="20" customHeight="1" spans="1:5" x14ac:dyDescent="0.25">
      <c r="A39" s="22" t="s">
        <v>7045</v>
      </c>
      <c r="B39" s="21" t="s">
        <v>63</v>
      </c>
      <c r="C39" s="22" t="s">
        <v>57</v>
      </c>
      <c r="D39" s="21" t="s">
        <v>7041</v>
      </c>
      <c r="E39" s="21" t="s">
        <v>7042</v>
      </c>
    </row>
    <row r="40" ht="20" customHeight="1" spans="1:5" s="23" customFormat="1" x14ac:dyDescent="0.25">
      <c r="A40" s="25" t="s">
        <v>7046</v>
      </c>
      <c r="B40" s="24" t="s">
        <v>63</v>
      </c>
      <c r="C40" s="25" t="s">
        <v>57</v>
      </c>
      <c r="D40" s="24" t="s">
        <v>7041</v>
      </c>
      <c r="E40" s="24" t="s">
        <v>7042</v>
      </c>
    </row>
    <row r="41" ht="20" customHeight="1" spans="1:5" x14ac:dyDescent="0.25">
      <c r="A41" s="22" t="s">
        <v>122</v>
      </c>
      <c r="B41" s="21" t="s">
        <v>63</v>
      </c>
      <c r="C41" s="22" t="s">
        <v>57</v>
      </c>
      <c r="D41" s="21" t="s">
        <v>7041</v>
      </c>
      <c r="E41" s="21" t="s">
        <v>7042</v>
      </c>
    </row>
    <row r="42" ht="20" customHeight="1" spans="1:5" s="23" customFormat="1" x14ac:dyDescent="0.25">
      <c r="A42" s="25" t="s">
        <v>360</v>
      </c>
      <c r="B42" s="24" t="s">
        <v>63</v>
      </c>
      <c r="C42" s="25" t="s">
        <v>57</v>
      </c>
      <c r="D42" s="24" t="s">
        <v>7041</v>
      </c>
      <c r="E42" s="24" t="s">
        <v>7042</v>
      </c>
    </row>
    <row r="43" ht="20" customHeight="1" spans="1:5" x14ac:dyDescent="0.25">
      <c r="A43" s="22" t="s">
        <v>7047</v>
      </c>
      <c r="B43" s="21" t="s">
        <v>63</v>
      </c>
      <c r="C43" s="22" t="s">
        <v>57</v>
      </c>
      <c r="D43" s="21" t="s">
        <v>7041</v>
      </c>
      <c r="E43" s="21" t="s">
        <v>7042</v>
      </c>
    </row>
    <row r="44" ht="20" customHeight="1" spans="1:5" s="23" customFormat="1" x14ac:dyDescent="0.25">
      <c r="A44" s="25" t="s">
        <v>223</v>
      </c>
      <c r="B44" s="24" t="s">
        <v>63</v>
      </c>
      <c r="C44" s="25" t="s">
        <v>57</v>
      </c>
      <c r="D44" s="24" t="s">
        <v>7041</v>
      </c>
      <c r="E44" s="24" t="s">
        <v>7042</v>
      </c>
    </row>
    <row r="45" ht="20" customHeight="1" spans="1:5" x14ac:dyDescent="0.25">
      <c r="A45" s="22" t="s">
        <v>160</v>
      </c>
      <c r="B45" s="21" t="s">
        <v>63</v>
      </c>
      <c r="C45" s="22" t="s">
        <v>57</v>
      </c>
      <c r="D45" s="21" t="s">
        <v>7041</v>
      </c>
      <c r="E45" s="21" t="s">
        <v>7042</v>
      </c>
    </row>
    <row r="46" ht="20" customHeight="1" spans="1:5" s="23" customFormat="1" x14ac:dyDescent="0.25">
      <c r="A46" s="25" t="s">
        <v>235</v>
      </c>
      <c r="B46" s="24" t="s">
        <v>63</v>
      </c>
      <c r="C46" s="25" t="s">
        <v>57</v>
      </c>
      <c r="D46" s="24" t="s">
        <v>7041</v>
      </c>
      <c r="E46" s="24" t="s">
        <v>7042</v>
      </c>
    </row>
    <row r="47" ht="20" customHeight="1" spans="1:5" x14ac:dyDescent="0.25">
      <c r="A47" s="22" t="s">
        <v>1000</v>
      </c>
      <c r="B47" s="21" t="s">
        <v>63</v>
      </c>
      <c r="C47" s="22" t="s">
        <v>57</v>
      </c>
      <c r="D47" s="21" t="s">
        <v>7041</v>
      </c>
      <c r="E47" s="21" t="s">
        <v>7042</v>
      </c>
    </row>
    <row r="48" ht="20" customHeight="1" spans="1:5" s="23" customFormat="1" x14ac:dyDescent="0.25">
      <c r="A48" s="25" t="s">
        <v>71</v>
      </c>
      <c r="B48" s="24" t="s">
        <v>63</v>
      </c>
      <c r="C48" s="25" t="s">
        <v>57</v>
      </c>
      <c r="D48" s="24" t="s">
        <v>7041</v>
      </c>
      <c r="E48" s="24" t="s">
        <v>7042</v>
      </c>
    </row>
    <row r="49" ht="20" customHeight="1" spans="1:5" x14ac:dyDescent="0.25">
      <c r="A49" s="22" t="s">
        <v>88</v>
      </c>
      <c r="B49" s="21" t="s">
        <v>63</v>
      </c>
      <c r="C49" s="22" t="s">
        <v>57</v>
      </c>
      <c r="D49" s="21" t="s">
        <v>7041</v>
      </c>
      <c r="E49" s="21" t="s">
        <v>7042</v>
      </c>
    </row>
    <row r="50" ht="20" customHeight="1" spans="1:5" s="23" customFormat="1" x14ac:dyDescent="0.25">
      <c r="A50" s="25" t="s">
        <v>7048</v>
      </c>
      <c r="B50" s="24" t="s">
        <v>63</v>
      </c>
      <c r="C50" s="25" t="s">
        <v>57</v>
      </c>
      <c r="D50" s="24" t="s">
        <v>7041</v>
      </c>
      <c r="E50" s="24" t="s">
        <v>7042</v>
      </c>
    </row>
    <row r="51" ht="20" customHeight="1" spans="1:5" x14ac:dyDescent="0.25">
      <c r="A51" s="22" t="s">
        <v>7049</v>
      </c>
      <c r="B51" s="21" t="s">
        <v>63</v>
      </c>
      <c r="C51" s="22" t="s">
        <v>57</v>
      </c>
      <c r="D51" s="21" t="s">
        <v>7041</v>
      </c>
      <c r="E51" s="21" t="s">
        <v>7042</v>
      </c>
    </row>
    <row r="52" ht="20" customHeight="1" spans="1:5" s="23" customFormat="1" x14ac:dyDescent="0.25">
      <c r="A52" s="25" t="s">
        <v>153</v>
      </c>
      <c r="B52" s="24" t="s">
        <v>63</v>
      </c>
      <c r="C52" s="25" t="s">
        <v>57</v>
      </c>
      <c r="D52" s="24" t="s">
        <v>7041</v>
      </c>
      <c r="E52" s="24" t="s">
        <v>7042</v>
      </c>
    </row>
    <row r="53" ht="20" customHeight="1" spans="1:5" x14ac:dyDescent="0.25">
      <c r="A53" s="22" t="s">
        <v>683</v>
      </c>
      <c r="B53" s="21" t="s">
        <v>63</v>
      </c>
      <c r="C53" s="22" t="s">
        <v>57</v>
      </c>
      <c r="D53" s="21" t="s">
        <v>7041</v>
      </c>
      <c r="E53" s="21" t="s">
        <v>7042</v>
      </c>
    </row>
    <row r="54" ht="20" customHeight="1" spans="1:5" s="23" customFormat="1" x14ac:dyDescent="0.25">
      <c r="A54" s="25" t="s">
        <v>866</v>
      </c>
      <c r="B54" s="24" t="s">
        <v>63</v>
      </c>
      <c r="C54" s="25" t="s">
        <v>57</v>
      </c>
      <c r="D54" s="24" t="s">
        <v>7041</v>
      </c>
      <c r="E54" s="24" t="s">
        <v>7042</v>
      </c>
    </row>
    <row r="55" ht="20" customHeight="1" spans="1:5" x14ac:dyDescent="0.25">
      <c r="A55" s="22" t="s">
        <v>1051</v>
      </c>
      <c r="B55" s="21" t="s">
        <v>63</v>
      </c>
      <c r="C55" s="22" t="s">
        <v>57</v>
      </c>
      <c r="D55" s="21" t="s">
        <v>7041</v>
      </c>
      <c r="E55" s="21" t="s">
        <v>7042</v>
      </c>
    </row>
    <row r="56" ht="20" customHeight="1" spans="1:5" s="23" customFormat="1" x14ac:dyDescent="0.25">
      <c r="A56" s="25" t="s">
        <v>1140</v>
      </c>
      <c r="B56" s="24" t="s">
        <v>63</v>
      </c>
      <c r="C56" s="25" t="s">
        <v>57</v>
      </c>
      <c r="D56" s="24" t="s">
        <v>7041</v>
      </c>
      <c r="E56" s="24" t="s">
        <v>7042</v>
      </c>
    </row>
    <row r="57" ht="20" customHeight="1" spans="1:5" x14ac:dyDescent="0.25">
      <c r="A57" s="22" t="s">
        <v>2043</v>
      </c>
      <c r="B57" s="21" t="s">
        <v>63</v>
      </c>
      <c r="C57" s="22" t="s">
        <v>2044</v>
      </c>
      <c r="D57" s="21" t="s">
        <v>7041</v>
      </c>
      <c r="E57" s="21" t="s">
        <v>7042</v>
      </c>
    </row>
    <row r="58" ht="20" customHeight="1" spans="1:5" s="23" customFormat="1" x14ac:dyDescent="0.25">
      <c r="A58" s="25" t="s">
        <v>7050</v>
      </c>
      <c r="B58" s="24" t="s">
        <v>63</v>
      </c>
      <c r="C58" s="25" t="s">
        <v>57</v>
      </c>
      <c r="D58" s="24" t="s">
        <v>7041</v>
      </c>
      <c r="E58" s="24" t="s">
        <v>7042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Painel &amp; Resumo</vt:lpstr>
      <vt:lpstr>🚗 Ordens de Saída (Veículos)</vt:lpstr>
      <vt:lpstr>📦 Entradas de Almoxarifado</vt:lpstr>
      <vt:lpstr>📤 Saídas &amp; Baixas de Estoque</vt:lpstr>
      <vt:lpstr>🏢 Cadastro de Fornecedores</vt:lpstr>
      <vt:lpstr>🚐 Veículos &amp; Frotas</vt:lpstr>
      <vt:lpstr>👮 Motoristas &amp; Condutores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Almoxarifado, Estoque e Transporte</dc:creator>
  <dc:title/>
  <dc:subject/>
  <dc:description/>
  <cp:keywords/>
  <cp:category/>
  <cp:lastModifiedBy>Administração Central</cp:lastModifiedBy>
  <dcterms:created xsi:type="dcterms:W3CDTF">2026-09-24T23:16:05Z</dcterms:created>
  <dcterms:modified xsi:type="dcterms:W3CDTF">2026-09-24T23:16:05Z</dcterms:modified>
</cp:coreProperties>
</file>